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bc9317a4f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 проекте" sheetId="1" r:id="R9a91d053554547c5"/>
    <x:sheet xmlns:r="http://schemas.openxmlformats.org/officeDocument/2006/relationships" name="Все сочетания" sheetId="2" r:id="R8c17e2ab97be4125"/>
    <x:sheet xmlns:r="http://schemas.openxmlformats.org/officeDocument/2006/relationships" name="Орехи" sheetId="3" r:id="Rd577bc0d79eb4b94"/>
    <x:sheet xmlns:r="http://schemas.openxmlformats.org/officeDocument/2006/relationships" name="Какао и шоколад" sheetId="4" r:id="R26e5a674d29b4f43"/>
    <x:sheet xmlns:r="http://schemas.openxmlformats.org/officeDocument/2006/relationships" name="Кофе" sheetId="5" r:id="R055a228f51224dde"/>
    <x:sheet xmlns:r="http://schemas.openxmlformats.org/officeDocument/2006/relationships" name="Чай" sheetId="6" r:id="Rff9bc16f98e94fa5"/>
    <x:sheet xmlns:r="http://schemas.openxmlformats.org/officeDocument/2006/relationships" name="Напитки" sheetId="7" r:id="R731be0b87dec42c8"/>
    <x:sheet xmlns:r="http://schemas.openxmlformats.org/officeDocument/2006/relationships" name="Еда" sheetId="8" r:id="Re7530bdaf692400e"/>
    <x:sheet xmlns:r="http://schemas.openxmlformats.org/officeDocument/2006/relationships" name="Десерты" sheetId="9" r:id="Rb5afec7ec28240f0"/>
    <x:sheet xmlns:r="http://schemas.openxmlformats.org/officeDocument/2006/relationships" name="Соусы и маринады" sheetId="10" r:id="R23e0d4c97c0c4a44"/>
    <x:sheet xmlns:r="http://schemas.openxmlformats.org/officeDocument/2006/relationships" name="Паспорта ингредиентов" sheetId="11" r:id="Rf62325288d914143"/>
    <x:sheet xmlns:r="http://schemas.openxmlformats.org/officeDocument/2006/relationships" name="ТОП партнёров" sheetId="12" r:id="Reca6482aa10e431f"/>
    <x:sheet xmlns:r="http://schemas.openxmlformats.org/officeDocument/2006/relationships" name="Обжарка и экстракция" sheetId="13" r:id="Rfcd0cd210c214c82"/>
    <x:sheet xmlns:r="http://schemas.openxmlformats.org/officeDocument/2006/relationships" name="Аллергены и безопасность" sheetId="14" r:id="R1d1133ced2ad43c9"/>
    <x:sheet xmlns:r="http://schemas.openxmlformats.org/officeDocument/2006/relationships" name="Ингредиенты" sheetId="15" r:id="R08a034a85329482f"/>
    <x:sheet xmlns:r="http://schemas.openxmlformats.org/officeDocument/2006/relationships" name="Молекулы" sheetId="16" r:id="R56f08aea343a42e3"/>
    <x:sheet xmlns:r="http://schemas.openxmlformats.org/officeDocument/2006/relationships" name="Методика" sheetId="17" r:id="R314d2db75bb442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0"/>
      <x:color rgb="FFFFFFFF"/>
      <x:name val="Carlito"/>
    </x:font>
    <x:font>
      <x:sz val="10"/>
      <x:color rgb="FF4E4037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9"/>
      <x:color rgb="FF3A2A22"/>
      <x:name val="Carlito"/>
    </x:font>
    <x:font>
      <x:b/>
      <x:sz val="11"/>
      <x:color rgb="FF3A2A22"/>
      <x:name val="Carlito"/>
    </x:font>
    <x:font>
      <x:sz val="9"/>
      <x:color rgb="FF54483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A2A22"/>
      </x:patternFill>
    </x:fill>
    <x:fill>
      <x:patternFill patternType="solid">
        <x:fgColor rgb="FFF4EFE7"/>
      </x:patternFill>
    </x:fill>
    <x:fill>
      <x:patternFill patternType="solid">
        <x:fgColor rgb="FF6B4A32"/>
      </x:patternFill>
    </x:fill>
    <x:fill>
      <x:patternFill patternType="solid">
        <x:fgColor rgb="FFE5D7C5"/>
      </x:patternFill>
    </x:fill>
    <x:fill>
      <x:patternFill patternType="solid">
        <x:fgColor rgb="FFFAF7F2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9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4670906e5b4d71" /><Relationship Type="http://schemas.openxmlformats.org/officeDocument/2006/relationships/theme" Target="/xl/theme/theme1.xml" Id="R7b354cb6f45f4e5d" /><Relationship Type="http://schemas.openxmlformats.org/officeDocument/2006/relationships/sharedStrings" Target="/xl/sharedStrings.xml" Id="R24c978e8f5f84c64" /><Relationship Type="http://schemas.openxmlformats.org/officeDocument/2006/relationships/worksheet" Target="/xl/worksheets/sheet1.xml" Id="R9a91d053554547c5" /><Relationship Type="http://schemas.openxmlformats.org/officeDocument/2006/relationships/worksheet" Target="/xl/worksheets/sheet2.xml" Id="R8c17e2ab97be4125" /><Relationship Type="http://schemas.openxmlformats.org/officeDocument/2006/relationships/worksheet" Target="/xl/worksheets/sheet3.xml" Id="Rd577bc0d79eb4b94" /><Relationship Type="http://schemas.openxmlformats.org/officeDocument/2006/relationships/worksheet" Target="/xl/worksheets/sheet4.xml" Id="R26e5a674d29b4f43" /><Relationship Type="http://schemas.openxmlformats.org/officeDocument/2006/relationships/worksheet" Target="/xl/worksheets/sheet5.xml" Id="R055a228f51224dde" /><Relationship Type="http://schemas.openxmlformats.org/officeDocument/2006/relationships/worksheet" Target="/xl/worksheets/sheet6.xml" Id="Rff9bc16f98e94fa5" /><Relationship Type="http://schemas.openxmlformats.org/officeDocument/2006/relationships/worksheet" Target="/xl/worksheets/sheet7.xml" Id="R731be0b87dec42c8" /><Relationship Type="http://schemas.openxmlformats.org/officeDocument/2006/relationships/worksheet" Target="/xl/worksheets/sheet8.xml" Id="Re7530bdaf692400e" /><Relationship Type="http://schemas.openxmlformats.org/officeDocument/2006/relationships/worksheet" Target="/xl/worksheets/sheet9.xml" Id="Rb5afec7ec28240f0" /><Relationship Type="http://schemas.openxmlformats.org/officeDocument/2006/relationships/worksheet" Target="/xl/worksheets/sheet10.xml" Id="R23e0d4c97c0c4a44" /><Relationship Type="http://schemas.openxmlformats.org/officeDocument/2006/relationships/worksheet" Target="/xl/worksheets/sheet11.xml" Id="Rf62325288d914143" /><Relationship Type="http://schemas.openxmlformats.org/officeDocument/2006/relationships/worksheet" Target="/xl/worksheets/sheet12.xml" Id="Reca6482aa10e431f" /><Relationship Type="http://schemas.openxmlformats.org/officeDocument/2006/relationships/worksheet" Target="/xl/worksheets/sheet13.xml" Id="Rfcd0cd210c214c82" /><Relationship Type="http://schemas.openxmlformats.org/officeDocument/2006/relationships/worksheet" Target="/xl/worksheets/sheet14.xml" Id="R1d1133ced2ad43c9" /><Relationship Type="http://schemas.openxmlformats.org/officeDocument/2006/relationships/worksheet" Target="/xl/worksheets/sheet15.xml" Id="R08a034a85329482f" /><Relationship Type="http://schemas.openxmlformats.org/officeDocument/2006/relationships/worksheet" Target="/xl/worksheets/sheet16.xml" Id="R56f08aea343a42e3" /><Relationship Type="http://schemas.openxmlformats.org/officeDocument/2006/relationships/worksheet" Target="/xl/worksheets/sheet17.xml" Id="R314d2db75bb442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34db53713a41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Наиболее насыщенные разделы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Количество пар</c:v>
          </c:tx>
          <c:cat>
            <c:strRef>
              <c:f>'О проекте'!$A$16:$A$30</c:f>
              <c:strCache>
                <c:ptCount val="0"/>
              </c:strCache>
            </c:strRef>
          </c:cat>
          <c:val>
            <c:numRef>
              <c:f>'О проекте'!$B$16:$B$30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34db53713a418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NutsCocoaCoffeeTeaPairs" displayName="NutsCocoaCoffeeTeaPairs" ref="A1:AF699" headerRowCount="1">
  <x:tableColumns count="32">
    <x:tableColumn id="1" name="ID"/>
    <x:tableColumn id="2" name="Базовый ингредиент"/>
    <x:tableColumn id="3" name="Основной раздел"/>
    <x:tableColumn id="4" name="Ингредиент 1"/>
    <x:tableColumn id="5" name="Оригинал 1"/>
    <x:tableColumn id="6" name="Группа 1"/>
    <x:tableColumn id="7" name="Ингредиент 2"/>
    <x:tableColumn id="8" name="Оригинал 2"/>
    <x:tableColumn id="9" name="Группа 2"/>
    <x:tableColumn id="10" name="Аромапрофиль 1"/>
    <x:tableColumn id="11" name="Аромапрофиль 2"/>
    <x:tableColumn id="12" name="Ключевые соединения 1"/>
    <x:tableColumn id="13" name="Ключевые соединения 2"/>
    <x:tableColumn id="14" name="Общий ароматический мост"/>
    <x:tableColumn id="15" name="Общие соединения"/>
    <x:tableColumn id="16" name="Тип механизма"/>
    <x:tableColumn id="17" name="Вкусовое взаимодействие"/>
    <x:tableColumn id="18" name="Тройничный эффект"/>
    <x:tableColumn id="19" name="Матрица и растворимость"/>
    <x:tableColumn id="20" name="Влияние обработки"/>
    <x:tableColumn id="21" name="Подробное научное объяснение"/>
    <x:tableColumn id="22" name="Критические точки"/>
    <x:tableColumn id="23" name="Ингредиент-мост"/>
    <x:tableColumn id="24" name="Практическое применение"/>
    <x:tableColumn id="25" name="Теги применения"/>
    <x:tableColumn id="26" name="Уверенность"/>
    <x:tableColumn id="27" name="Источники"/>
    <x:tableColumn id="28" name="Страницы"/>
    <x:tableColumn id="29" name="Основание из источника"/>
    <x:tableColumn id="30" name="Число источников"/>
    <x:tableColumn id="31" name="Число записей"/>
    <x:tableColumn id="32" name="Балл"/>
  </x:tableColumns>
  <x:tableStyleInfo name="TableStyleMedium2" showRowStripes="1"/>
</x:table>
</file>

<file path=xl/tables/table2.xml><?xml version="1.0" encoding="utf-8"?>
<x:table xmlns:x="http://schemas.openxmlformats.org/spreadsheetml/2006/main" id="2" name="NutsViewTable" displayName="NutsViewTable" ref="A1:L404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Подробное научное объяснение"/>
    <x:tableColumn id="7" name="Обработка"/>
    <x:tableColumn id="8" name="Критические точки"/>
    <x:tableColumn id="9" name="Практическое 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3.xml><?xml version="1.0" encoding="utf-8"?>
<x:table xmlns:x="http://schemas.openxmlformats.org/spreadsheetml/2006/main" id="3" name="ChocolateViewTable" displayName="ChocolateViewTable" ref="A1:L165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Подробное научное объяснение"/>
    <x:tableColumn id="7" name="Обработка"/>
    <x:tableColumn id="8" name="Критические точки"/>
    <x:tableColumn id="9" name="Практическое 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4.xml><?xml version="1.0" encoding="utf-8"?>
<x:table xmlns:x="http://schemas.openxmlformats.org/spreadsheetml/2006/main" id="4" name="CoffeeViewTable" displayName="CoffeeViewTable" ref="A1:L95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Подробное научное объяснение"/>
    <x:tableColumn id="7" name="Обработка"/>
    <x:tableColumn id="8" name="Критические точки"/>
    <x:tableColumn id="9" name="Практическое 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5.xml><?xml version="1.0" encoding="utf-8"?>
<x:table xmlns:x="http://schemas.openxmlformats.org/spreadsheetml/2006/main" id="5" name="TeaViewTable" displayName="TeaViewTable" ref="A1:L38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Подробное научное объяснение"/>
    <x:tableColumn id="7" name="Обработка"/>
    <x:tableColumn id="8" name="Критические точки"/>
    <x:tableColumn id="9" name="Практическое 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6.xml><?xml version="1.0" encoding="utf-8"?>
<x:table xmlns:x="http://schemas.openxmlformats.org/spreadsheetml/2006/main" id="6" name="NCTDrinksTable" displayName="NCTDrinksTable" ref="A1:L167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Научное объяснение"/>
    <x:tableColumn id="7" name="Обработка"/>
    <x:tableColumn id="8" name="Критические точки"/>
    <x:tableColumn id="9" name="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7.xml><?xml version="1.0" encoding="utf-8"?>
<x:table xmlns:x="http://schemas.openxmlformats.org/spreadsheetml/2006/main" id="7" name="NCTFoodTable" displayName="NCTFoodTable" ref="A1:L157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Научное объяснение"/>
    <x:tableColumn id="7" name="Обработка"/>
    <x:tableColumn id="8" name="Критические точки"/>
    <x:tableColumn id="9" name="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8.xml><?xml version="1.0" encoding="utf-8"?>
<x:table xmlns:x="http://schemas.openxmlformats.org/spreadsheetml/2006/main" id="8" name="NCTDessertsTable" displayName="NCTDessertsTable" ref="A1:L603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Научное объяснение"/>
    <x:tableColumn id="7" name="Обработка"/>
    <x:tableColumn id="8" name="Критические точки"/>
    <x:tableColumn id="9" name="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9.xml><?xml version="1.0" encoding="utf-8"?>
<x:table xmlns:x="http://schemas.openxmlformats.org/spreadsheetml/2006/main" id="9" name="NCTSaucesTable" displayName="NCTSaucesTable" ref="A1:L157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Научное объяснение"/>
    <x:tableColumn id="7" name="Обработка"/>
    <x:tableColumn id="8" name="Критические точки"/>
    <x:tableColumn id="9" name="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10.xml><?xml version="1.0" encoding="utf-8"?>
<x:table xmlns:x="http://schemas.openxmlformats.org/spreadsheetml/2006/main" id="10" name="NCTPassportsTable" displayName="NCTPassportsTable" ref="A1:K18" headerRowCount="1">
  <x:tableColumns count="11">
    <x:tableColumn id="1" name="Ингредиент"/>
    <x:tableColumn id="2" name="Группа"/>
    <x:tableColumn id="3" name="Ароматический профиль"/>
    <x:tableColumn id="4" name="Характерные соединения"/>
    <x:tableColumn id="5" name="Вкус и баланс"/>
    <x:tableColumn id="6" name="Тройничный эффект"/>
    <x:tableColumn id="7" name="Матрица"/>
    <x:tableColumn id="8" name="Изменение при обработке"/>
    <x:tableColumn id="9" name="Рекомендуемые технологии"/>
    <x:tableColumn id="10" name="Критические точки"/>
    <x:tableColumn id="11" name="Количество пар"/>
  </x:tableColumns>
  <x:tableStyleInfo name="TableStyleMedium2" showRowStripes="1"/>
</x:table>
</file>

<file path=xl/tables/table11.xml><?xml version="1.0" encoding="utf-8"?>
<x:table xmlns:x="http://schemas.openxmlformats.org/spreadsheetml/2006/main" id="11" name="NCTTopPartnersTable" displayName="NCTTopPartnersTable" ref="A1:J293" headerRowCount="1">
  <x:tableColumns count="10">
    <x:tableColumn id="1" name="Базовый ингредиент"/>
    <x:tableColumn id="2" name="Место"/>
    <x:tableColumn id="3" name="Партнёр"/>
    <x:tableColumn id="4" name="Балл"/>
    <x:tableColumn id="5" name="Уверенность"/>
    <x:tableColumn id="6" name="Число источников"/>
    <x:tableColumn id="7" name="Тип механизма"/>
    <x:tableColumn id="8" name="Применение"/>
    <x:tableColumn id="9" name="Источники"/>
    <x:tableColumn id="10" name="Страницы"/>
  </x:tableColumns>
  <x:tableStyleInfo name="TableStyleMedium2" showRowStripes="1"/>
</x:table>
</file>

<file path=xl/tables/table12.xml><?xml version="1.0" encoding="utf-8"?>
<x:table xmlns:x="http://schemas.openxmlformats.org/spreadsheetml/2006/main" id="12" name="NCTTechnologiesTable" displayName="NCTTechnologiesTable" ref="A4:H13" headerRowCount="1">
  <x:tableColumns count="8">
    <x:tableColumn id="1" name="Технология"/>
    <x:tableColumn id="2" name="Подходит для"/>
    <x:tableColumn id="3" name="Основной механизм"/>
    <x:tableColumn id="4" name="Рабочий подход"/>
    <x:tableColumn id="5" name="Что раскрывается"/>
    <x:tableColumn id="6" name="Главный риск"/>
    <x:tableColumn id="7" name="Как контролировать"/>
    <x:tableColumn id="8" name="Пример применения"/>
  </x:tableColumns>
  <x:tableStyleInfo name="TableStyleMedium2" showRowStripes="1"/>
</x:table>
</file>

<file path=xl/tables/table13.xml><?xml version="1.0" encoding="utf-8"?>
<x:table xmlns:x="http://schemas.openxmlformats.org/spreadsheetml/2006/main" id="13" name="NCTSafetyTable" displayName="NCTSafetyTable" ref="A11:F19" headerRowCount="1">
  <x:tableColumns count="6">
    <x:tableColumn id="1" name="Риск"/>
    <x:tableColumn id="2" name="Где актуален"/>
    <x:tableColumn id="3" name="Почему это важно"/>
    <x:tableColumn id="4" name="Контроль на производстве"/>
    <x:tableColumn id="5" name="Сенсорный признак"/>
    <x:tableColumn id="6" name="Официальный источник"/>
  </x:tableColumns>
  <x:tableStyleInfo name="TableStyleMedium2" showRowStripes="1"/>
</x:table>
</file>

<file path=xl/tables/table14.xml><?xml version="1.0" encoding="utf-8"?>
<x:table xmlns:x="http://schemas.openxmlformats.org/spreadsheetml/2006/main" id="14" name="NCTIngredientGlossaryTable" displayName="NCTIngredientGlossaryTable" ref="A1:I327" headerRowCount="1">
  <x:tableColumns count="9">
    <x:tableColumn id="1" name="Ингредиент"/>
    <x:tableColumn id="2" name="Группа"/>
    <x:tableColumn id="3" name="Аромапрофиль"/>
    <x:tableColumn id="4" name="Характерные соединения"/>
    <x:tableColumn id="5" name="Вкус"/>
    <x:tableColumn id="6" name="Тройничный эффект"/>
    <x:tableColumn id="7" name="Матрица"/>
    <x:tableColumn id="8" name="Комментарий по обработке"/>
    <x:tableColumn id="9" name="Количество пар"/>
  </x:tableColumns>
  <x:tableStyleInfo name="TableStyleMedium2" showRowStripes="1"/>
</x:table>
</file>

<file path=xl/tables/table15.xml><?xml version="1.0" encoding="utf-8"?>
<x:table xmlns:x="http://schemas.openxmlformats.org/spreadsheetml/2006/main" id="15" name="NCTMoleculeTable" displayName="NCTMoleculeTable" ref="A1:F14" headerRowCount="1">
  <x:tableColumns count="6">
    <x:tableColumn id="1" name="Соединение / группа"/>
    <x:tableColumn id="2" name="Класс"/>
    <x:tableColumn id="3" name="Аромат / эффект"/>
    <x:tableColumn id="4" name="Поведение и растворимость"/>
    <x:tableColumn id="5" name="Роль в сочетаниях"/>
    <x:tableColumn id="6" name="Критическая точк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ea4b3b68e24e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b42ae7e7b444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bda45f89db41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fc464bc7594d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2d67fddbea46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8dbfb2122849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060acba6bf4d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12f7e7a4454a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9bf3d64a6641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54b99deb31e4b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b4b39c17c18417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2dd7b5c8e76407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a43c922bee44d8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de939e0ad6a8487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12f538f890c6457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5cc6b75295334779" /></Relationships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7" hidden="0" customWidth="1"/>
    <x:col min="3" max="3" width="39" hidden="0" customWidth="1"/>
    <x:col min="4" max="4" width="24" hidden="0" customWidth="1"/>
    <x:col min="5" max="5" width="15" hidden="0" customWidth="1"/>
    <x:col min="6" max="6" width="3" hidden="0" customWidth="1"/>
    <x:col min="7" max="7" width="34" hidden="0" customWidth="1"/>
    <x:col min="8" max="8" width="16" hidden="0" customWidth="1"/>
    <x:col min="9" max="9" width="14" hidden="0" customWidth="1"/>
    <x:col min="10" max="10" width="14" hidden="0" customWidth="1"/>
  </x:cols>
  <x:sheetData>
    <x:row r="1" ht="34" customHeight="1">
      <x:c r="A1" s="4" t="str">
        <x:v>ЭНЦИКЛОПЕДИЯ СОЧЕТАНИЙ ВКУСОВ — ЧАСТЬ 5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50" customHeight="1">
      <x:c r="A3" s="11" t="str">
        <x:v>Орехи, какао, кофе и чай: миндаль, фундук, грецкий орех, арахис, каштан, кешью, пекан, фисташка, макадамия, кедровый и бразильский орех; тёмный, молочный и белый шоколад; кофе; чёрный, зелёный чай, улун и ройбуш. Все пары сведены из трёх PDF, прямые дубли удалены. Научный слой разделяет летучую ароматику, реакции Майяра, горечь, терпкость, жирность, экстракцию и тройничные эффекты.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50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6">
      <x:c r="A6" s="20" t="str">
        <x:v>Показатель</x:v>
      </x:c>
      <x:c r="B6" s="20" t="str">
        <x:v>Значение</x:v>
      </x:c>
      <x:c r="D6" s="20" t="str">
        <x:v>Основной раздел</x:v>
      </x:c>
      <x:c r="E6" s="20" t="str">
        <x:v>Количество</x:v>
      </x:c>
      <x:c r="G6" s="20" t="str">
        <x:v>Источник</x:v>
      </x:c>
      <x:c r="H6" s="20" t="str">
        <x:v>Пар в базе</x:v>
      </x:c>
    </x:row>
    <x:row r="7">
      <x:c r="A7" s="32" t="str">
        <x:v>Уникальных сочетаний</x:v>
      </x:c>
      <x:c r="B7" s="28" t="n">
        <x:f>COUNTA('Все сочетания'!A:A)-1</x:f>
        <x:v>698</x:v>
      </x:c>
      <x:c r="D7" s="28" t="str">
        <x:v>Напитки</x:v>
      </x:c>
      <x:c r="E7" s="28" t="n">
        <x:v>31</x:v>
      </x:c>
      <x:c r="G7" s="28" t="str">
        <x:v>Тезаурус вкусов</x:v>
      </x:c>
      <x:c r="H7" s="28" t="n">
        <x:v>188</x:v>
      </x:c>
    </x:row>
    <x:row r="8">
      <x:c r="A8" s="32" t="str">
        <x:v>Уникальных ингредиентов</x:v>
      </x:c>
      <x:c r="B8" s="28" t="n">
        <x:f>COUNTA('Ингредиенты'!A:A)-1</x:f>
        <x:v>326</x:v>
      </x:c>
      <x:c r="D8" s="28" t="str">
        <x:v>Еда и соусы</x:v>
      </x:c>
      <x:c r="E8" s="28" t="n">
        <x:v>156</x:v>
      </x:c>
      <x:c r="G8" s="28" t="str">
        <x:v>The Art &amp; Science of Foodpairing</x:v>
      </x:c>
      <x:c r="H8" s="28" t="n">
        <x:v>345</x:v>
      </x:c>
    </x:row>
    <x:row r="9">
      <x:c r="A9" s="32" t="str">
        <x:v>Исходных записей</x:v>
      </x:c>
      <x:c r="B9" s="28" t="n">
        <x:f>1037</x:f>
        <x:v>1037</x:v>
      </x:c>
      <x:c r="D9" s="28" t="str">
        <x:v>Десерты и выпечка</x:v>
      </x:c>
      <x:c r="E9" s="28" t="n">
        <x:v>178</x:v>
      </x:c>
      <x:c r="G9" s="28" t="str">
        <x:v>Таблица сочетаний</x:v>
      </x:c>
      <x:c r="H9" s="28" t="n">
        <x:v>248</x:v>
      </x:c>
    </x:row>
    <x:row r="10">
      <x:c r="A10" s="32" t="str">
        <x:v>Высокая уверенность</x:v>
      </x:c>
      <x:c r="B10" s="28" t="n">
        <x:f>COUNTIF('Все сочетания'!Z:Z,"Высокая")</x:f>
        <x:v>105</x:v>
      </x:c>
      <x:c r="D10" s="28" t="str">
        <x:v>Универсальные</x:v>
      </x:c>
      <x:c r="E10" s="28" t="n">
        <x:v>333</x:v>
      </x:c>
    </x:row>
    <x:row r="11">
      <x:c r="A11" s="32" t="str">
        <x:v>Средняя уверенность</x:v>
      </x:c>
      <x:c r="B11" s="28" t="n">
        <x:f>COUNTIF('Все сочетания'!Z:Z,"Средняя")</x:f>
        <x:v>410</x:v>
      </x:c>
    </x:row>
    <x:row r="12">
      <x:c r="A12" s="32" t="str">
        <x:v>Гипотеза / практическая</x:v>
      </x:c>
      <x:c r="B12" s="28" t="n">
        <x:f>COUNTIF('Все сочетания'!Z:Z,"Гипотеза / практическая")</x:f>
        <x:v>183</x:v>
      </x:c>
    </x:row>
    <x:row r="15">
      <x:c r="A15" s="20" t="str">
        <x:v>Базовый ингредиент</x:v>
      </x:c>
      <x:c r="B15" s="20" t="str">
        <x:v>Количество пар</x:v>
      </x:c>
    </x:row>
    <x:row r="16">
      <x:c r="A16" s="28" t="str">
        <x:v>шоколад</x:v>
      </x:c>
      <x:c r="B16" s="28" t="n">
        <x:v>130</x:v>
      </x:c>
    </x:row>
    <x:row r="17">
      <x:c r="A17" s="28" t="str">
        <x:v>фундук</x:v>
      </x:c>
      <x:c r="B17" s="28" t="n">
        <x:v>104</x:v>
      </x:c>
    </x:row>
    <x:row r="18">
      <x:c r="A18" s="28" t="str">
        <x:v>кофе</x:v>
      </x:c>
      <x:c r="B18" s="28" t="n">
        <x:v>94</x:v>
      </x:c>
    </x:row>
    <x:row r="19">
      <x:c r="A19" s="28" t="str">
        <x:v>миндаль</x:v>
      </x:c>
      <x:c r="B19" s="28" t="n">
        <x:v>79</x:v>
      </x:c>
    </x:row>
    <x:row r="20">
      <x:c r="A20" s="28" t="str">
        <x:v>грецкий орех</x:v>
      </x:c>
      <x:c r="B20" s="28" t="n">
        <x:v>55</x:v>
      </x:c>
    </x:row>
    <x:row r="21">
      <x:c r="A21" s="28" t="str">
        <x:v>арахис</x:v>
      </x:c>
      <x:c r="B21" s="28" t="n">
        <x:v>41</x:v>
      </x:c>
    </x:row>
    <x:row r="22">
      <x:c r="A22" s="28" t="str">
        <x:v>каштан</x:v>
      </x:c>
      <x:c r="B22" s="28" t="n">
        <x:v>29</x:v>
      </x:c>
    </x:row>
    <x:row r="23">
      <x:c r="A23" s="28" t="str">
        <x:v>белый шоколад</x:v>
      </x:c>
      <x:c r="B23" s="28" t="n">
        <x:v>26</x:v>
      </x:c>
    </x:row>
    <x:row r="24">
      <x:c r="A24" s="28" t="str">
        <x:v>фисташка</x:v>
      </x:c>
      <x:c r="B24" s="28" t="n">
        <x:v>24</x:v>
      </x:c>
    </x:row>
    <x:row r="25">
      <x:c r="A25" s="28" t="str">
        <x:v>пекан</x:v>
      </x:c>
      <x:c r="B25" s="28" t="n">
        <x:v>22</x:v>
      </x:c>
    </x:row>
    <x:row r="26">
      <x:c r="A26" s="28" t="str">
        <x:v>кешью</x:v>
      </x:c>
      <x:c r="B26" s="28" t="n">
        <x:v>20</x:v>
      </x:c>
    </x:row>
    <x:row r="27">
      <x:c r="A27" s="28" t="str">
        <x:v>чёрный чай</x:v>
      </x:c>
      <x:c r="B27" s="28" t="n">
        <x:v>18</x:v>
      </x:c>
    </x:row>
    <x:row r="28">
      <x:c r="A28" s="28" t="str">
        <x:v>зелёный чай</x:v>
      </x:c>
      <x:c r="B28" s="28" t="n">
        <x:v>16</x:v>
      </x:c>
    </x:row>
    <x:row r="29">
      <x:c r="A29" s="28" t="str">
        <x:v>макадамия</x:v>
      </x:c>
      <x:c r="B29" s="28" t="n">
        <x:v>16</x:v>
      </x:c>
    </x:row>
    <x:row r="30">
      <x:c r="A30" s="28" t="str">
        <x:v>кедровый орех</x:v>
      </x:c>
      <x:c r="B30" s="28" t="n">
        <x:v>12</x:v>
      </x:c>
    </x:row>
    <x:row r="31">
      <x:c r="A31" s="28" t="str">
        <x:v>молочный шоколад</x:v>
      </x:c>
      <x:c r="B31" s="28" t="n">
        <x:v>8</x:v>
      </x:c>
    </x:row>
    <x:row r="32">
      <x:c r="A32" s="28" t="str">
        <x:v>ройбуш</x:v>
      </x:c>
      <x:c r="B32" s="28" t="n">
        <x:v>2</x:v>
      </x:c>
    </x:row>
    <x:row r="33">
      <x:c r="A33" s="28" t="str">
        <x:v>бразильский орех</x:v>
      </x:c>
      <x:c r="B33" s="28" t="n">
        <x:v>1</x:v>
      </x:c>
    </x:row>
    <x:row r="34">
      <x:c r="A34" s="28" t="str">
        <x:v>улун</x:v>
      </x:c>
      <x:c r="B34" s="28" t="n">
        <x:v>1</x:v>
      </x:c>
    </x:row>
    <x:row r="38">
      <x:c r="A38" s="36" t="str">
        <x:v>КАК ЧИТАТЬ НАУЧНЫЕ ПОЛЯ</x:v>
      </x:c>
      <x:c r="B38" s="36"/>
      <x:c r="C38" s="36"/>
      <x:c r="D38" s="36"/>
      <x:c r="E38" s="36"/>
      <x:c r="F38" s="36"/>
      <x:c r="G38" s="36"/>
      <x:c r="H38" s="36"/>
      <x:c r="I38" s="36"/>
      <x:c r="J38" s="36"/>
    </x:row>
    <x:row r="39" ht="116" customHeight="1">
      <x:c r="A39" s="43" t="str">
        <x:v>• Пиразины и фураны часто связывают обжаренные орехи, кофе, какао, хлеб и жареное мясо. Однако наличие общего ароматического семейства не означает одинаковый вкус: важны концентрация, матрица и температура подачи.
• Теобромин, кофеин, катехины и танины влияют главным образом на горечь, терпкость и физиологический эффект. Их нельзя называть основными источниками запаха.
• Белый шоколад не содержит какао-сухих веществ: его профиль строится на какао-масле, молочных компонентах, сахаре и ванили. Поэтому он поддерживает более деликатные, зелёные и морские сочетания.
• Высокая уверенность означает несколько источников либо прямую Classic/Potential pairing. Средняя — статья или pairing grid. Практическая гипотеза — рекомендация компактной таблицы.</x:v>
      </x:c>
      <x:c r="B39" s="43"/>
      <x:c r="C39" s="43"/>
      <x:c r="D39" s="43"/>
      <x:c r="E39" s="43"/>
      <x:c r="F39" s="43"/>
      <x:c r="G39" s="43"/>
      <x:c r="H39" s="43"/>
      <x:c r="I39" s="43"/>
      <x:c r="J39" s="43"/>
    </x:row>
    <x:row r="40" ht="116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</x:row>
    <x:row r="41" ht="116" customHeight="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</x:row>
    <x:row r="42" ht="116" customHeight="1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</x:row>
    <x:row r="43" ht="116" customHeight="1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</x:row>
    <x:row r="44" ht="116" customHeight="1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</x:row>
    <x:row r="45" ht="116" customHeight="1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</x:row>
    <x:row r="46" ht="116" customHeight="1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</x:row>
    <x:row r="47" ht="116" customHeight="1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</x:row>
    <x:row r="48" ht="116" customHeight="1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</x:row>
  </x:sheetData>
  <x:mergeCells>
    <x:mergeCell ref="A1:J2"/>
    <x:mergeCell ref="A3:J4"/>
    <x:mergeCell ref="A38:J38"/>
    <x:mergeCell ref="A39:J48"/>
  </x:mergeCells>
  <x:pageMargins left="0.7" right="0.7" top="0.75" bottom="0.75" header="0.3" footer="0.3"/>
  <x:drawing xmlns:r="http://schemas.openxmlformats.org/officeDocument/2006/relationships" r:id="R1bea4b3b68e24e3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20" hidden="0" customWidth="1"/>
    <x:col min="4" max="4" width="28" hidden="0" customWidth="1"/>
    <x:col min="5" max="5" width="30" hidden="0" customWidth="1"/>
    <x:col min="6" max="6" width="27" hidden="0" customWidth="1"/>
    <x:col min="7" max="7" width="31" hidden="0" customWidth="1"/>
    <x:col min="8" max="8" width="33" hidden="0" customWidth="1"/>
    <x:col min="9" max="9" width="29" hidden="0" customWidth="1"/>
    <x:col min="10" max="10" width="37" hidden="0" customWidth="1"/>
    <x:col min="11" max="11" width="37" hidden="0" customWidth="1"/>
    <x:col min="12" max="12" width="42" hidden="0" customWidth="1"/>
    <x:col min="13" max="13" width="42" hidden="0" customWidth="1"/>
    <x:col min="14" max="14" width="38" hidden="0" customWidth="1"/>
    <x:col min="15" max="15" width="42" hidden="0" customWidth="1"/>
    <x:col min="16" max="16" width="40" hidden="0" customWidth="1"/>
    <x:col min="17" max="17" width="50" hidden="0" customWidth="1"/>
    <x:col min="18" max="18" width="45" hidden="0" customWidth="1"/>
    <x:col min="19" max="19" width="54" hidden="0" customWidth="1"/>
    <x:col min="20" max="20" width="56" hidden="0" customWidth="1"/>
    <x:col min="21" max="21" width="70" hidden="0" customWidth="1"/>
    <x:col min="22" max="22" width="56" hidden="0" customWidth="1"/>
    <x:col min="23" max="23" width="34" hidden="0" customWidth="1"/>
    <x:col min="24" max="24" width="50" hidden="0" customWidth="1"/>
    <x:col min="25" max="25" width="28" hidden="0" customWidth="1"/>
    <x:col min="26" max="26" width="22" hidden="0" customWidth="1"/>
    <x:col min="27" max="27" width="40" hidden="0" customWidth="1"/>
    <x:col min="28" max="28" width="48" hidden="0" customWidth="1"/>
    <x:col min="29" max="29" width="59" hidden="0" customWidth="1"/>
    <x:col min="30" max="30" width="14" hidden="0" customWidth="1"/>
    <x:col min="31" max="31" width="14" hidden="0" customWidth="1"/>
    <x:col min="32" max="32" width="11" hidden="0" customWidth="1"/>
  </x:cols>
  <x:sheetData>
    <x:row r="1" ht="44" customHeight="1">
      <x:c r="A1" s="20" t="str">
        <x:v>ID</x:v>
      </x:c>
      <x:c r="B1" s="20" t="str">
        <x:v>Базовый ингредиент</x:v>
      </x:c>
      <x:c r="C1" s="20" t="str">
        <x:v>Основной раздел</x:v>
      </x:c>
      <x:c r="D1" s="20" t="str">
        <x:v>Ингредиент 1</x:v>
      </x:c>
      <x:c r="E1" s="20" t="str">
        <x:v>Оригинал 1</x:v>
      </x:c>
      <x:c r="F1" s="20" t="str">
        <x:v>Группа 1</x:v>
      </x:c>
      <x:c r="G1" s="20" t="str">
        <x:v>Ингредиент 2</x:v>
      </x:c>
      <x:c r="H1" s="20" t="str">
        <x:v>Оригинал 2</x:v>
      </x:c>
      <x:c r="I1" s="20" t="str">
        <x:v>Группа 2</x:v>
      </x:c>
      <x:c r="J1" s="20" t="str">
        <x:v>Аромапрофиль 1</x:v>
      </x:c>
      <x:c r="K1" s="20" t="str">
        <x:v>Аромапрофиль 2</x:v>
      </x:c>
      <x:c r="L1" s="20" t="str">
        <x:v>Ключевые соединения 1</x:v>
      </x:c>
      <x:c r="M1" s="20" t="str">
        <x:v>Ключевые соединения 2</x:v>
      </x:c>
      <x:c r="N1" s="20" t="str">
        <x:v>Общий ароматический мост</x:v>
      </x:c>
      <x:c r="O1" s="20" t="str">
        <x:v>Общие соединения</x:v>
      </x:c>
      <x:c r="P1" s="20" t="str">
        <x:v>Тип механизма</x:v>
      </x:c>
      <x:c r="Q1" s="20" t="str">
        <x:v>Вкусовое взаимодействие</x:v>
      </x:c>
      <x:c r="R1" s="20" t="str">
        <x:v>Тройничный эффект</x:v>
      </x:c>
      <x:c r="S1" s="20" t="str">
        <x:v>Матрица и растворимость</x:v>
      </x:c>
      <x:c r="T1" s="20" t="str">
        <x:v>Влияние обработки</x:v>
      </x:c>
      <x:c r="U1" s="20" t="str">
        <x:v>Подробное научное объяснение</x:v>
      </x:c>
      <x:c r="V1" s="20" t="str">
        <x:v>Критические точки</x:v>
      </x:c>
      <x:c r="W1" s="20" t="str">
        <x:v>Ингредиент-мост</x:v>
      </x:c>
      <x:c r="X1" s="20" t="str">
        <x:v>Практическое применение</x:v>
      </x:c>
      <x:c r="Y1" s="20" t="str">
        <x:v>Теги применения</x:v>
      </x:c>
      <x:c r="Z1" s="20" t="str">
        <x:v>Уверенность</x:v>
      </x:c>
      <x:c r="AA1" s="20" t="str">
        <x:v>Источники</x:v>
      </x:c>
      <x:c r="AB1" s="20" t="str">
        <x:v>Страницы</x:v>
      </x:c>
      <x:c r="AC1" s="20" t="str">
        <x:v>Основание из источника</x:v>
      </x:c>
      <x:c r="AD1" s="20" t="str">
        <x:v>Число источников</x:v>
      </x:c>
      <x:c r="AE1" s="20" t="str">
        <x:v>Число записей</x:v>
      </x:c>
      <x:c r="AF1" s="20" t="str">
        <x:v>Балл</x:v>
      </x:c>
    </x:row>
    <x:row r="2" ht="62" customHeight="1">
      <x:c r="A2" s="28" t="str">
        <x:v>NCT-0001</x:v>
      </x:c>
      <x:c r="B2" s="28" t="str">
        <x:v>арахис</x:v>
      </x:c>
      <x:c r="C2" s="28" t="str">
        <x:v>Еда и соусы</x:v>
      </x:c>
      <x:c r="D2" s="28" t="str">
        <x:v>арахис</x:v>
      </x:c>
      <x:c r="E2" s="28" t="str">
        <x:v>roasted peanut</x:v>
      </x:c>
      <x:c r="F2" s="28" t="str">
        <x:v>Орехи и семена</x:v>
      </x:c>
      <x:c r="G2" s="28" t="str">
        <x:v>fish</x:v>
      </x:c>
      <x:c r="H2" s="28" t="str">
        <x:v>fish</x:v>
      </x:c>
      <x:c r="I2" s="28" t="str">
        <x:v>Рыба и морепродукты</x:v>
      </x:c>
      <x:c r="J2" s="28" t="str">
        <x:v>бобовый и зелёный в сыром виде; жареный, ореховый и какаоподобный после обжарки</x:v>
      </x:c>
      <x:c r="K2" s="28" t="str">
        <x:v>морской, солоноватый и умами</x:v>
      </x:c>
      <x:c r="L2" s="28" t="str">
        <x:v>пиразины, фураны, 2-ацетил-1-пирролин, альдегиды</x:v>
      </x:c>
      <x:c r="M2" s="28" t="str">
        <x:v>альдегиды, амины</x:v>
      </x:c>
      <x:c r="N2" s="28" t="str">
        <x:v>прямое пересечение семейств не является единственным объяснением</x:v>
      </x:c>
      <x:c r="O2" s="28" t="str">
        <x:v>альдегиды</x:v>
      </x:c>
      <x:c r="P2" s="28" t="str">
        <x:v>общие ароматические соединения, солёно-умами контраст</x:v>
      </x:c>
      <x:c r="Q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2" s="28" t="str">
        <x:v>минимальный</x:v>
      </x:c>
      <x:c r="S2" s="28" t="str">
        <x:v>жирно-белковая пастообразная матрица; хорошо удерживает жареную ароматику</x:v>
      </x:c>
      <x:c r="T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2" s="28" t="str">
        <x:v>Арахис имеет профиль «бобовый и зелёный в сыром виде; жареный, ореховый и какаоподобный после обжарки».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2" s="28" t="str">
        <x:v>сильный аллерген; риск прогоркания и загрязнения плесенью при плохом хранении; малейшая прогорклость ореха или шоколада усиливает неприятные рыбные оттенки</x:v>
      </x:c>
      <x:c r="W2" s="28" t="str">
        <x:v>соль, соевый соус, коричневое масло или специя</x:v>
      </x:c>
      <x:c r="X2" s="28" t="str">
        <x:v>пралине, паста, выпечка, гарнир, соус, молочный или коктейльный компонент с fish</x:v>
      </x:c>
      <x:c r="Y2" s="28" t="str">
        <x:v>еда, десерты, соусы/маринады</x:v>
      </x:c>
      <x:c r="Z2" s="28" t="str">
        <x:v>Средняя</x:v>
      </x:c>
      <x:c r="AA2" s="28" t="str">
        <x:v>The Art &amp; Science of Foodpairing.pdf</x:v>
      </x:c>
      <x:c r="AB2" s="28" t="str">
        <x:v>The Art &amp; Science of Foodpairing.pdf: 104</x:v>
      </x:c>
      <x:c r="AC2" s="28" t="str">
        <x:v>Пара встречается как grid; научное объяснение сформировано по ароматическому профилю и пищевой матрице.</x:v>
      </x:c>
      <x:c r="AD2" s="28" t="n">
        <x:v>1</x:v>
      </x:c>
      <x:c r="AE2" s="28" t="n">
        <x:v>1</x:v>
      </x:c>
      <x:c r="AF2" s="28" t="n">
        <x:f>IF(Z2="Высокая",3,IF(Z2="Средняя",2,1))+AD2*2+MIN(AE2,3)</x:f>
        <x:v>5</x:v>
      </x:c>
    </x:row>
    <x:row r="3" ht="62" customHeight="1">
      <x:c r="A3" s="28" t="str">
        <x:v>NCT-0002</x:v>
      </x:c>
      <x:c r="B3" s="28" t="str">
        <x:v>арахис</x:v>
      </x:c>
      <x:c r="C3" s="28" t="str">
        <x:v>Еда и соусы</x:v>
      </x:c>
      <x:c r="D3" s="28" t="str">
        <x:v>арахис</x:v>
      </x:c>
      <x:c r="E3" s="28" t="str">
        <x:v>peanut butter | roasted peanut</x:v>
      </x:c>
      <x:c r="F3" s="28" t="str">
        <x:v>Орехи и семена</x:v>
      </x:c>
      <x:c r="G3" s="28" t="str">
        <x:v>garlic</x:v>
      </x:c>
      <x:c r="H3" s="28" t="str">
        <x:v>garlic</x:v>
      </x:c>
      <x:c r="I3" s="28" t="str">
        <x:v>Овощи, бобовые и грибы</x:v>
      </x:c>
      <x:c r="J3" s="28" t="str">
        <x:v>бобовый и зелёный в сыром виде; жареный, ореховый и какаоподобный после обжарки</x:v>
      </x:c>
      <x:c r="K3" s="28" t="str">
        <x:v>зелёный, землистый или умами</x:v>
      </x:c>
      <x:c r="L3" s="28" t="str">
        <x:v>пиразины, фураны, 2-ацетил-1-пирролин, альдегиды</x:v>
      </x:c>
      <x:c r="M3" s="28" t="str">
        <x:v>альдегиды, сернистые соединения</x:v>
      </x:c>
      <x:c r="N3" s="28" t="str">
        <x:v>прямое пересечение семейств не является единственным объяснением</x:v>
      </x:c>
      <x:c r="O3" s="28" t="str">
        <x:v>альдегиды</x:v>
      </x:c>
      <x:c r="P3" s="28" t="str">
        <x:v>общие ароматические соединения</x:v>
      </x:c>
      <x:c r="Q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" s="28" t="str">
        <x:v>минимальный</x:v>
      </x:c>
      <x:c r="S3" s="28" t="str">
        <x:v>жирно-белковая пастообразная матрица; хорошо удерживает жареную ароматику</x:v>
      </x:c>
      <x:c r="T3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3" s="28" t="str">
        <x:v>Арахис имеет профиль «бобовый и зелёный в сыром виде; жареный, ореховый и какаоподобный после обжарки». Партнёр «garlic»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3" s="28" t="str">
        <x:v>сильный аллерген; риск прогоркания и загрязнения плесенью при плохом хранении</x:v>
      </x:c>
      <x:c r="W3" s="28" t="str">
        <x:v>соль, ваниль или карамель</x:v>
      </x:c>
      <x:c r="X3" s="28" t="str">
        <x:v>пралине, паста, выпечка, гарнир, соус, молочный или коктейльный компонент с garlic</x:v>
      </x:c>
      <x:c r="Y3" s="28" t="str">
        <x:v>еда, десерты, соусы/маринады</x:v>
      </x:c>
      <x:c r="Z3" s="28" t="str">
        <x:v>Средняя</x:v>
      </x:c>
      <x:c r="AA3" s="28" t="str">
        <x:v>The Art &amp; Science of Foodpairing.pdf</x:v>
      </x:c>
      <x:c r="AB3" s="28" t="str">
        <x:v>The Art &amp; Science of Foodpairing.pdf: 113, 114</x:v>
      </x:c>
      <x:c r="AC3" s="28" t="str">
        <x:v>Пара встречается как grid; научное объяснение сформировано по ароматическому профилю и пищевой матрице.</x:v>
      </x:c>
      <x:c r="AD3" s="28" t="n">
        <x:v>1</x:v>
      </x:c>
      <x:c r="AE3" s="28" t="n">
        <x:v>3</x:v>
      </x:c>
      <x:c r="AF3" s="28" t="n">
        <x:f>IF(Z3="Высокая",3,IF(Z3="Средняя",2,1))+AD3*2+MIN(AE3,3)</x:f>
        <x:v>7</x:v>
      </x:c>
    </x:row>
    <x:row r="4" ht="62" customHeight="1">
      <x:c r="A4" s="28" t="str">
        <x:v>NCT-0003</x:v>
      </x:c>
      <x:c r="B4" s="28" t="str">
        <x:v>арахис</x:v>
      </x:c>
      <x:c r="C4" s="28" t="str">
        <x:v>Еда и соусы</x:v>
      </x:c>
      <x:c r="D4" s="28" t="str">
        <x:v>арахис</x:v>
      </x:c>
      <x:c r="E4" s="28" t="str">
        <x:v>roasted peanut</x:v>
      </x:c>
      <x:c r="F4" s="28" t="str">
        <x:v>Орехи и семена</x:v>
      </x:c>
      <x:c r="G4" s="28" t="str">
        <x:v>lberico ham</x:v>
      </x:c>
      <x:c r="H4" s="28" t="str">
        <x:v>lberico ham</x:v>
      </x:c>
      <x:c r="I4" s="28" t="str">
        <x:v>Мясо и птица</x:v>
      </x:c>
      <x:c r="J4" s="28" t="str">
        <x:v>бобовый и зелёный в сыром виде; жареный, ореховый и какаоподобный после обжарки</x:v>
      </x:c>
      <x:c r="K4" s="28" t="str">
        <x:v>жареный, мясной и умами</x:v>
      </x:c>
      <x:c r="L4" s="28" t="str">
        <x:v>пиразины, фураны, 2-ацетил-1-пирролин, альдегиды</x:v>
      </x:c>
      <x:c r="M4" s="28" t="str">
        <x:v>пиразины, сернистые соединения</x:v>
      </x:c>
      <x:c r="N4" s="28" t="str">
        <x:v>жареный</x:v>
      </x:c>
      <x:c r="O4" s="28" t="str">
        <x:v>пиразины</x:v>
      </x:c>
      <x:c r="P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" s="28" t="str">
        <x:v>минимальный</x:v>
      </x:c>
      <x:c r="S4" s="28" t="str">
        <x:v>жирно-белковая пастообразная матрица; хорошо удерживает жареную ароматику</x:v>
      </x:c>
      <x:c r="T4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4" s="28" t="str">
        <x:v>Арахис имеет профиль «бобовый и зелёный в сыром виде; жареный, ореховый и какаоподобный после обжарки».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V4" s="28" t="str">
        <x:v>сильный аллерген; риск прогоркания и загрязнения плесенью при плохом хранении</x:v>
      </x:c>
      <x:c r="W4" s="28" t="str">
        <x:v>соль, соевый соус, коричневое масло или специя</x:v>
      </x:c>
      <x:c r="X4" s="28" t="str">
        <x:v>пралине, паста, выпечка, гарнир, соус, молочный или коктейльный компонент с lberico ham</x:v>
      </x:c>
      <x:c r="Y4" s="28" t="str">
        <x:v>еда, десерты, соусы/маринады</x:v>
      </x:c>
      <x:c r="Z4" s="28" t="str">
        <x:v>Высокая</x:v>
      </x:c>
      <x:c r="AA4" s="28" t="str">
        <x:v>The Art &amp; Science of Foodpairing.pdf</x:v>
      </x:c>
      <x:c r="AB4" s="28" t="str">
        <x:v>The Art &amp; Science of Foodpairing.pdf: 278</x:v>
      </x:c>
      <x:c r="AC4" s="28" t="str">
        <x:v>Пара встречается как classic, grid; научное объяснение сформировано по ароматическому профилю и пищевой матрице.</x:v>
      </x:c>
      <x:c r="AD4" s="28" t="n">
        <x:v>1</x:v>
      </x:c>
      <x:c r="AE4" s="28" t="n">
        <x:v>2</x:v>
      </x:c>
      <x:c r="AF4" s="28" t="n">
        <x:f>IF(Z4="Высокая",3,IF(Z4="Средняя",2,1))+AD4*2+MIN(AE4,3)</x:f>
        <x:v>7</x:v>
      </x:c>
    </x:row>
    <x:row r="5" ht="62" customHeight="1">
      <x:c r="A5" s="28" t="str">
        <x:v>NCT-0004</x:v>
      </x:c>
      <x:c r="B5" s="28" t="str">
        <x:v>арахис</x:v>
      </x:c>
      <x:c r="C5" s="28" t="str">
        <x:v>Еда и соусы</x:v>
      </x:c>
      <x:c r="D5" s="28" t="str">
        <x:v>арахис</x:v>
      </x:c>
      <x:c r="E5" s="28" t="str">
        <x:v>peanut butter</x:v>
      </x:c>
      <x:c r="F5" s="28" t="str">
        <x:v>Орехи и семена</x:v>
      </x:c>
      <x:c r="G5" s="28" t="str">
        <x:v>meat</x:v>
      </x:c>
      <x:c r="H5" s="28" t="str">
        <x:v>meat</x:v>
      </x:c>
      <x:c r="I5" s="28" t="str">
        <x:v>Мясо и птица</x:v>
      </x:c>
      <x:c r="J5" s="28" t="str">
        <x:v>бобовый и зелёный в сыром виде; жареный, ореховый и какаоподобный после обжарки</x:v>
      </x:c>
      <x:c r="K5" s="28" t="str">
        <x:v>жареный, мясной и умами</x:v>
      </x:c>
      <x:c r="L5" s="28" t="str">
        <x:v>пиразины, фураны, 2-ацетил-1-пирролин, альдегиды</x:v>
      </x:c>
      <x:c r="M5" s="28" t="str">
        <x:v>пиразины, сернистые соединения</x:v>
      </x:c>
      <x:c r="N5" s="28" t="str">
        <x:v>жареный</x:v>
      </x:c>
      <x:c r="O5" s="28" t="str">
        <x:v>пиразины</x:v>
      </x:c>
      <x:c r="P5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" s="28" t="str">
        <x:v>минимальный</x:v>
      </x:c>
      <x:c r="S5" s="28" t="str">
        <x:v>жирно-белковая пастообразная матрица; хорошо удерживает жареную ароматику</x:v>
      </x:c>
      <x:c r="T5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5" s="28" t="str">
        <x:v>Арахис имеет профиль «бобовый и зелёный в сыром виде; жареный, ореховый и какаоподобный после обжарки». Партнёр «meat»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V5" s="28" t="str">
        <x:v>сильный аллерген; риск прогоркания и загрязнения плесенью при плохом хранении</x:v>
      </x:c>
      <x:c r="W5" s="28" t="str">
        <x:v>соль, соевый соус, коричневое масло или специя</x:v>
      </x:c>
      <x:c r="X5" s="28" t="str">
        <x:v>пралине, паста, выпечка, гарнир, соус, молочный или коктейльный компонент с meat</x:v>
      </x:c>
      <x:c r="Y5" s="28" t="str">
        <x:v>еда, десерты, соусы/маринады</x:v>
      </x:c>
      <x:c r="Z5" s="28" t="str">
        <x:v>Средняя</x:v>
      </x:c>
      <x:c r="AA5" s="28" t="str">
        <x:v>The Art &amp; Science of Foodpairing.pdf</x:v>
      </x:c>
      <x:c r="AB5" s="28" t="str">
        <x:v>The Art &amp; Science of Foodpairing.pdf: 186</x:v>
      </x:c>
      <x:c r="AC5" s="28" t="str">
        <x:v>Пара встречается как grid; научное объяснение сформировано по ароматическому профилю и пищевой матрице.</x:v>
      </x:c>
      <x:c r="AD5" s="28" t="n">
        <x:v>1</x:v>
      </x:c>
      <x:c r="AE5" s="28" t="n">
        <x:v>1</x:v>
      </x:c>
      <x:c r="AF5" s="28" t="n">
        <x:f>IF(Z5="Высокая",3,IF(Z5="Средняя",2,1))+AD5*2+MIN(AE5,3)</x:f>
        <x:v>5</x:v>
      </x:c>
    </x:row>
    <x:row r="6" ht="62" customHeight="1">
      <x:c r="A6" s="28" t="str">
        <x:v>NCT-0005</x:v>
      </x:c>
      <x:c r="B6" s="28" t="str">
        <x:v>арахис</x:v>
      </x:c>
      <x:c r="C6" s="28" t="str">
        <x:v>Универсальные</x:v>
      </x:c>
      <x:c r="D6" s="28" t="str">
        <x:v>арахис</x:v>
      </x:c>
      <x:c r="E6" s="28" t="str">
        <x:v>peanut butter</x:v>
      </x:c>
      <x:c r="F6" s="28" t="str">
        <x:v>Орехи и семена</x:v>
      </x:c>
      <x:c r="G6" s="28" t="str">
        <x:v>sesame seeds, halva and tahini</x:v>
      </x:c>
      <x:c r="H6" s="28" t="str">
        <x:v>sesame seeds, halva and tahini</x:v>
      </x:c>
      <x:c r="I6" s="28" t="str">
        <x:v>Прочее</x:v>
      </x:c>
      <x:c r="J6" s="28" t="str">
        <x:v>бобовый и зелёный в сыром виде; жареный, ореховый и какаоподобный после обжарки</x:v>
      </x:c>
      <x:c r="K6" s="28" t="str">
        <x:v>профиль зависит от конкретного продукта</x:v>
      </x:c>
      <x:c r="L6" s="28" t="str">
        <x:v>пиразины, фураны, 2-ацетил-1-пирролин, альдегиды</x:v>
      </x:c>
      <x:c r="M6" s="28" t="str">
        <x:v>характерный профиль зависит от конкретного продукта</x:v>
      </x:c>
      <x:c r="N6" s="28" t="str">
        <x:v>прямое пересечение семейств не является единственным объяснением</x:v>
      </x:c>
      <x:c r="O6" s="28" t="str">
        <x:v>надежная общая ключевая молекула не подтверждена</x:v>
      </x:c>
      <x:c r="P6" s="28" t="str">
        <x:v>сенсорная комплементарность</x:v>
      </x:c>
      <x:c r="Q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6" s="28" t="str">
        <x:v>минимальный</x:v>
      </x:c>
      <x:c r="S6" s="28" t="str">
        <x:v>жирно-белковая пастообразная матрица; хорошо удерживает жареную ароматику</x:v>
      </x:c>
      <x:c r="T6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6" s="28" t="str">
        <x:v>Арахис имеет профиль «бобовый и зелёный в сыром виде; жареный, ореховый и какаоподобный после обжарки». Партнёр «sesame seeds, halva and tahini»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6" s="28" t="str">
        <x:v>сильный аллерген; риск прогоркания и загрязнения плесенью при плохом хранении</x:v>
      </x:c>
      <x:c r="W6" s="28" t="str">
        <x:v>соль, ваниль или карамель</x:v>
      </x:c>
      <x:c r="X6" s="28" t="str">
        <x:v>пралине, паста, выпечка, гарнир, соус, молочный или коктейльный компонент с sesame seeds, halva and tahini</x:v>
      </x:c>
      <x:c r="Y6" s="28" t="str">
        <x:v>десерты</x:v>
      </x:c>
      <x:c r="Z6" s="28" t="str">
        <x:v>Средняя</x:v>
      </x:c>
      <x:c r="AA6" s="28" t="str">
        <x:v>The Art &amp; Science of Foodpairing.pdf</x:v>
      </x:c>
      <x:c r="AB6" s="28" t="str">
        <x:v>The Art &amp; Science of Foodpairing.pdf: 308</x:v>
      </x:c>
      <x:c r="AC6" s="28" t="str">
        <x:v>Пара встречается как grid; научное объяснение сформировано по ароматическому профилю и пищевой матрице.</x:v>
      </x:c>
      <x:c r="AD6" s="28" t="n">
        <x:v>1</x:v>
      </x:c>
      <x:c r="AE6" s="28" t="n">
        <x:v>1</x:v>
      </x:c>
      <x:c r="AF6" s="28" t="n">
        <x:f>IF(Z6="Высокая",3,IF(Z6="Средняя",2,1))+AD6*2+MIN(AE6,3)</x:f>
        <x:v>5</x:v>
      </x:c>
    </x:row>
    <x:row r="7" ht="62" customHeight="1">
      <x:c r="A7" s="28" t="str">
        <x:v>NCT-0006</x:v>
      </x:c>
      <x:c r="B7" s="28" t="str">
        <x:v>арахис</x:v>
      </x:c>
      <x:c r="C7" s="28" t="str">
        <x:v>Еда и соусы</x:v>
      </x:c>
      <x:c r="D7" s="28" t="str">
        <x:v>арахис</x:v>
      </x:c>
      <x:c r="E7" s="28" t="str">
        <x:v>roasted peanut</x:v>
      </x:c>
      <x:c r="F7" s="28" t="str">
        <x:v>Орехи и семена</x:v>
      </x:c>
      <x:c r="G7" s="28" t="str">
        <x:v>sweet potato</x:v>
      </x:c>
      <x:c r="H7" s="28" t="str">
        <x:v>sweet potato</x:v>
      </x:c>
      <x:c r="I7" s="28" t="str">
        <x:v>Овощи, бобовые и грибы</x:v>
      </x:c>
      <x:c r="J7" s="28" t="str">
        <x:v>бобовый и зелёный в сыром виде; жареный, ореховый и какаоподобный после обжарки</x:v>
      </x:c>
      <x:c r="K7" s="28" t="str">
        <x:v>зелёный, землистый или умами</x:v>
      </x:c>
      <x:c r="L7" s="28" t="str">
        <x:v>пиразины, фураны, 2-ацетил-1-пирролин, альдегиды</x:v>
      </x:c>
      <x:c r="M7" s="28" t="str">
        <x:v>альдегиды, сернистые соединения</x:v>
      </x:c>
      <x:c r="N7" s="28" t="str">
        <x:v>прямое пересечение семейств не является единственным объяснением</x:v>
      </x:c>
      <x:c r="O7" s="28" t="str">
        <x:v>альдегиды</x:v>
      </x:c>
      <x:c r="P7" s="28" t="str">
        <x:v>общие ароматические соединения</x:v>
      </x:c>
      <x:c r="Q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7" s="28" t="str">
        <x:v>минимальный</x:v>
      </x:c>
      <x:c r="S7" s="28" t="str">
        <x:v>жирно-белковая пастообразная матрица; хорошо удерживает жареную ароматику</x:v>
      </x:c>
      <x:c r="T7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7" s="28" t="str">
        <x:v>Арахис имеет профиль «бобовый и зелёный в сыром виде; жареный, ореховый и какаоподобный после обжарки». Партнёр «sweet potato»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7" s="28" t="str">
        <x:v>сильный аллерген; риск прогоркания и загрязнения плесенью при плохом хранении</x:v>
      </x:c>
      <x:c r="W7" s="28" t="str">
        <x:v>соль, ваниль или карамель</x:v>
      </x:c>
      <x:c r="X7" s="28" t="str">
        <x:v>пралине, паста, выпечка, гарнир, соус, молочный или коктейльный компонент с sweet potato</x:v>
      </x:c>
      <x:c r="Y7" s="28" t="str">
        <x:v>еда, десерты, соусы/маринады</x:v>
      </x:c>
      <x:c r="Z7" s="28" t="str">
        <x:v>Средняя</x:v>
      </x:c>
      <x:c r="AA7" s="28" t="str">
        <x:v>The Art &amp; Science of Foodpairing.pdf</x:v>
      </x:c>
      <x:c r="AB7" s="28" t="str">
        <x:v>The Art &amp; Science of Foodpairing.pdf: 119</x:v>
      </x:c>
      <x:c r="AC7" s="28" t="str">
        <x:v>Пара встречается как grid; научное объяснение сформировано по ароматическому профилю и пищевой матрице.</x:v>
      </x:c>
      <x:c r="AD7" s="28" t="n">
        <x:v>1</x:v>
      </x:c>
      <x:c r="AE7" s="28" t="n">
        <x:v>1</x:v>
      </x:c>
      <x:c r="AF7" s="28" t="n">
        <x:f>IF(Z7="Высокая",3,IF(Z7="Средняя",2,1))+AD7*2+MIN(AE7,3)</x:f>
        <x:v>5</x:v>
      </x:c>
    </x:row>
    <x:row r="8" ht="62" customHeight="1">
      <x:c r="A8" s="28" t="str">
        <x:v>NCT-0007</x:v>
      </x:c>
      <x:c r="B8" s="28" t="str">
        <x:v>арахис</x:v>
      </x:c>
      <x:c r="C8" s="28" t="str">
        <x:v>Универсальные</x:v>
      </x:c>
      <x:c r="D8" s="28" t="str">
        <x:v>арахис</x:v>
      </x:c>
      <x:c r="E8" s="28" t="str">
        <x:v>арахис</x:v>
      </x:c>
      <x:c r="F8" s="28" t="str">
        <x:v>Орехи и семена</x:v>
      </x:c>
      <x:c r="G8" s="28" t="str">
        <x:v>ананас</x:v>
      </x:c>
      <x:c r="H8" s="28" t="str">
        <x:v>Ананас</x:v>
      </x:c>
      <x:c r="I8" s="28" t="str">
        <x:v>Прочее</x:v>
      </x:c>
      <x:c r="J8" s="28" t="str">
        <x:v>бобовый и зелёный в сыром виде; жареный, ореховый и какаоподобный после обжарки</x:v>
      </x:c>
      <x:c r="K8" s="28" t="str">
        <x:v>профиль зависит от конкретного продукта</x:v>
      </x:c>
      <x:c r="L8" s="28" t="str">
        <x:v>пиразины, фураны, 2-ацетил-1-пирролин, альдегиды</x:v>
      </x:c>
      <x:c r="M8" s="28" t="str">
        <x:v>характерный профиль зависит от конкретного продукта</x:v>
      </x:c>
      <x:c r="N8" s="28" t="str">
        <x:v>прямое пересечение семейств не является единственным объяснением</x:v>
      </x:c>
      <x:c r="O8" s="28" t="str">
        <x:v>надежная общая ключевая молекула не подтверждена</x:v>
      </x:c>
      <x:c r="P8" s="28" t="str">
        <x:v>сенсорная комплементарность</x:v>
      </x:c>
      <x:c r="Q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8" s="28" t="str">
        <x:v>минимальный</x:v>
      </x:c>
      <x:c r="S8" s="28" t="str">
        <x:v>жирно-белковая пастообразная матрица; хорошо удерживает жареную ароматику</x:v>
      </x:c>
      <x:c r="T8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8" s="28" t="str">
        <x:v>Арахис имеет профиль «бобовый и зелёный в сыром виде; жареный, ореховый и какаоподобный после обжарки». Партнёр «ананас»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8" s="28" t="str">
        <x:v>сильный аллерген; риск прогоркания и загрязнения плесенью при плохом хранении</x:v>
      </x:c>
      <x:c r="W8" s="28" t="str">
        <x:v>соль, ваниль или карамель</x:v>
      </x:c>
      <x:c r="X8" s="28" t="str">
        <x:v>пралине, паста, выпечка, гарнир, соус, молочный или коктейльный компонент с ананас</x:v>
      </x:c>
      <x:c r="Y8" s="28" t="str">
        <x:v>десерты</x:v>
      </x:c>
      <x:c r="Z8" s="28" t="str">
        <x:v>Гипотеза / практическая</x:v>
      </x:c>
      <x:c r="AA8" s="28" t="str">
        <x:v>Таблица сочетания(1).pdf</x:v>
      </x:c>
      <x:c r="AB8" s="28" t="str">
        <x:v>Таблица сочетания(1).pdf: 17</x:v>
      </x:c>
      <x:c r="AC8" s="28" t="str">
        <x:v>Пара встречается как table; научное объяснение сформировано по ароматическому профилю и пищевой матрице.</x:v>
      </x:c>
      <x:c r="AD8" s="28" t="n">
        <x:v>1</x:v>
      </x:c>
      <x:c r="AE8" s="28" t="n">
        <x:v>1</x:v>
      </x:c>
      <x:c r="AF8" s="28" t="n">
        <x:f>IF(Z8="Высокая",3,IF(Z8="Средняя",2,1))+AD8*2+MIN(AE8,3)</x:f>
        <x:v>4</x:v>
      </x:c>
    </x:row>
    <x:row r="9" ht="62" customHeight="1">
      <x:c r="A9" s="28" t="str">
        <x:v>NCT-0008</x:v>
      </x:c>
      <x:c r="B9" s="28" t="str">
        <x:v>арахис</x:v>
      </x:c>
      <x:c r="C9" s="28" t="str">
        <x:v>Десерты и выпечка</x:v>
      </x:c>
      <x:c r="D9" s="28" t="str">
        <x:v>арахис</x:v>
      </x:c>
      <x:c r="E9" s="28" t="str">
        <x:v>Арахис | арахис</x:v>
      </x:c>
      <x:c r="F9" s="28" t="str">
        <x:v>Орехи и семена</x:v>
      </x:c>
      <x:c r="G9" s="28" t="str">
        <x:v>банан</x:v>
      </x:c>
      <x:c r="H9" s="28" t="str">
        <x:v>Банан | банан</x:v>
      </x:c>
      <x:c r="I9" s="28" t="str">
        <x:v>Фрукты и ягоды</x:v>
      </x:c>
      <x:c r="J9" s="28" t="str">
        <x:v>бобовый и зелёный в сыром виде; жареный, ореховый и какаоподобный после обжарки</x:v>
      </x:c>
      <x:c r="K9" s="28" t="str">
        <x:v>сливочный, фруктовый</x:v>
      </x:c>
      <x:c r="L9" s="28" t="str">
        <x:v>пиразины, фураны, 2-ацетил-1-пирролин, альдегиды</x:v>
      </x:c>
      <x:c r="M9" s="28" t="str">
        <x:v>изоамилацетат</x:v>
      </x:c>
      <x:c r="N9" s="28" t="str">
        <x:v>прямое пересечение семейств не является единственным объяснением</x:v>
      </x:c>
      <x:c r="O9" s="28" t="str">
        <x:v>надежная общая ключевая молекула не подтверждена</x:v>
      </x:c>
      <x:c r="P9" s="28" t="str">
        <x:v>контраст кислоты и жирной/горькой матрицы</x:v>
      </x:c>
      <x:c r="Q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9" s="28" t="str">
        <x:v>минимальный</x:v>
      </x:c>
      <x:c r="S9" s="28" t="str">
        <x:v>жирно-белковая пастообразная матрица; хорошо удерживает жареную ароматику Водная фруктовая фаза требует эмульсии или мелкого измельчения, если орех или шоколад вводится как паста.</x:v>
      </x:c>
      <x:c r="T9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9" s="28" t="str">
        <x:v>Арахис имеет профиль «бобовый и зелёный в сыром виде; жареный, ореховый и какаоподобный после обжарки».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9" s="28" t="str">
        <x:v>сильный аллерген; риск прогоркания и загрязнения плесенью при плохом хранении; избыток кислоты может сделать чай или кофе резкими и разрушить молочную эмульсию</x:v>
      </x:c>
      <x:c r="W9" s="28" t="str">
        <x:v>ваниль, цитрус или молочный жир</x:v>
      </x:c>
      <x:c r="X9" s="28" t="str">
        <x:v>пралине, паста, выпечка, гарнир, соус, молочный или коктейльный компонент с банан</x:v>
      </x:c>
      <x:c r="Y9" s="28" t="str">
        <x:v>десерты</x:v>
      </x:c>
      <x:c r="Z9" s="28" t="str">
        <x:v>Высокая</x:v>
      </x:c>
      <x:c r="AA9" s="28" t="str">
        <x:v>Таблица сочетания(1).pdf | Тезариус вкусов (Ники Сегнит)(1).pdf</x:v>
      </x:c>
      <x:c r="AB9" s="28" t="str">
        <x:v>Таблица сочетания(1).pdf: 15; Тезариус вкусов (Ники Сегнит)(1).pdf: 50, 729</x:v>
      </x:c>
      <x:c r="AC9" s="28" t="str">
        <x:v>Пара встречается как table, thesaurus; научное объяснение сформировано по ароматическому профилю и пищевой матрице.</x:v>
      </x:c>
      <x:c r="AD9" s="28" t="n">
        <x:v>2</x:v>
      </x:c>
      <x:c r="AE9" s="28" t="n">
        <x:v>3</x:v>
      </x:c>
      <x:c r="AF9" s="28" t="n">
        <x:f>IF(Z9="Высокая",3,IF(Z9="Средняя",2,1))+AD9*2+MIN(AE9,3)</x:f>
        <x:v>10</x:v>
      </x:c>
    </x:row>
    <x:row r="10" ht="62" customHeight="1">
      <x:c r="A10" s="28" t="str">
        <x:v>NCT-0009</x:v>
      </x:c>
      <x:c r="B10" s="28" t="str">
        <x:v>арахис</x:v>
      </x:c>
      <x:c r="C10" s="28" t="str">
        <x:v>Еда и соусы</x:v>
      </x:c>
      <x:c r="D10" s="28" t="str">
        <x:v>арахис</x:v>
      </x:c>
      <x:c r="E10" s="28" t="str">
        <x:v>Арахис | арахис</x:v>
      </x:c>
      <x:c r="F10" s="28" t="str">
        <x:v>Орехи и семена</x:v>
      </x:c>
      <x:c r="G10" s="28" t="str">
        <x:v>баранина</x:v>
      </x:c>
      <x:c r="H10" s="28" t="str">
        <x:v>Баранина | баранина</x:v>
      </x:c>
      <x:c r="I10" s="28" t="str">
        <x:v>Мясо и птица</x:v>
      </x:c>
      <x:c r="J10" s="28" t="str">
        <x:v>бобовый и зелёный в сыром виде; жареный, ореховый и какаоподобный после обжарки</x:v>
      </x:c>
      <x:c r="K10" s="28" t="str">
        <x:v>жареный, мясной и умами</x:v>
      </x:c>
      <x:c r="L10" s="28" t="str">
        <x:v>пиразины, фураны, 2-ацетил-1-пирролин, альдегиды</x:v>
      </x:c>
      <x:c r="M10" s="28" t="str">
        <x:v>пиразины, сернистые соединения</x:v>
      </x:c>
      <x:c r="N10" s="28" t="str">
        <x:v>жареный</x:v>
      </x:c>
      <x:c r="O10" s="28" t="str">
        <x:v>пиразины</x:v>
      </x:c>
      <x:c r="P1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1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0" s="28" t="str">
        <x:v>минимальный</x:v>
      </x:c>
      <x:c r="S10" s="28" t="str">
        <x:v>жирно-белковая пастообразная матрица; хорошо удерживает жареную ароматику</x:v>
      </x:c>
      <x:c r="T10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10" s="28" t="str">
        <x:v>Арахис имеет профиль «бобовый и зелёный в сыром виде; жареный, ореховый и какаоподобный после обжарки». Партнёр «баранина»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V10" s="28" t="str">
        <x:v>сильный аллерген; риск прогоркания и загрязнения плесенью при плохом хранении</x:v>
      </x:c>
      <x:c r="W10" s="28" t="str">
        <x:v>соль, соевый соус, коричневое масло или специя</x:v>
      </x:c>
      <x:c r="X10" s="28" t="str">
        <x:v>пралине, паста, выпечка, гарнир, соус, молочный или коктейльный компонент с баранина</x:v>
      </x:c>
      <x:c r="Y10" s="28" t="str">
        <x:v>еда, десерты, соусы/маринады</x:v>
      </x:c>
      <x:c r="Z10" s="28" t="str">
        <x:v>Средняя</x:v>
      </x:c>
      <x:c r="AA10" s="28" t="str">
        <x:v>Тезариус вкусов (Ники Сегнит)(1).pdf</x:v>
      </x:c>
      <x:c r="AB10" s="28" t="str">
        <x:v>Тезариус вкусов (Ники Сегнит)(1).pdf: 50, 125</x:v>
      </x:c>
      <x:c r="AC10" s="28" t="str">
        <x:v>Пара встречается как thesaurus; научное объяснение сформировано по ароматическому профилю и пищевой матрице.</x:v>
      </x:c>
      <x:c r="AD10" s="28" t="n">
        <x:v>1</x:v>
      </x:c>
      <x:c r="AE10" s="28" t="n">
        <x:v>2</x:v>
      </x:c>
      <x:c r="AF10" s="28" t="n">
        <x:f>IF(Z10="Высокая",3,IF(Z10="Средняя",2,1))+AD10*2+MIN(AE10,3)</x:f>
        <x:v>6</x:v>
      </x:c>
    </x:row>
    <x:row r="11" ht="62" customHeight="1">
      <x:c r="A11" s="28" t="str">
        <x:v>NCT-0010</x:v>
      </x:c>
      <x:c r="B11" s="28" t="str">
        <x:v>арахис</x:v>
      </x:c>
      <x:c r="C11" s="28" t="str">
        <x:v>Универсальные</x:v>
      </x:c>
      <x:c r="D11" s="28" t="str">
        <x:v>арахис</x:v>
      </x:c>
      <x:c r="E11" s="28" t="str">
        <x:v>Арахис | арахис</x:v>
      </x:c>
      <x:c r="F11" s="28" t="str">
        <x:v>Орехи и семена</x:v>
      </x:c>
      <x:c r="G11" s="28" t="str">
        <x:v>брокколи</x:v>
      </x:c>
      <x:c r="H11" s="28" t="str">
        <x:v>Брокколи | брокколи</x:v>
      </x:c>
      <x:c r="I11" s="28" t="str">
        <x:v>Прочее</x:v>
      </x:c>
      <x:c r="J11" s="28" t="str">
        <x:v>бобовый и зелёный в сыром виде; жареный, ореховый и какаоподобный после обжарки</x:v>
      </x:c>
      <x:c r="K11" s="28" t="str">
        <x:v>профиль зависит от конкретного продукта</x:v>
      </x:c>
      <x:c r="L11" s="28" t="str">
        <x:v>пиразины, фураны, 2-ацетил-1-пирролин, альдегиды</x:v>
      </x:c>
      <x:c r="M11" s="28" t="str">
        <x:v>характерный профиль зависит от конкретного продукта</x:v>
      </x:c>
      <x:c r="N11" s="28" t="str">
        <x:v>прямое пересечение семейств не является единственным объяснением</x:v>
      </x:c>
      <x:c r="O11" s="28" t="str">
        <x:v>надежная общая ключевая молекула не подтверждена</x:v>
      </x:c>
      <x:c r="P11" s="28" t="str">
        <x:v>сенсорная комплементарность</x:v>
      </x:c>
      <x:c r="Q1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1" s="28" t="str">
        <x:v>минимальный</x:v>
      </x:c>
      <x:c r="S11" s="28" t="str">
        <x:v>жирно-белковая пастообразная матрица; хорошо удерживает жареную ароматику</x:v>
      </x:c>
      <x:c r="T11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11" s="28" t="str">
        <x:v>Арахис имеет профиль «бобовый и зелёный в сыром виде; жареный, ореховый и какаоподобный после обжарки». Партнёр «брокколи»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1" s="28" t="str">
        <x:v>сильный аллерген; риск прогоркания и загрязнения плесенью при плохом хранении</x:v>
      </x:c>
      <x:c r="W11" s="28" t="str">
        <x:v>соль, ваниль или карамель</x:v>
      </x:c>
      <x:c r="X11" s="28" t="str">
        <x:v>пралине, паста, выпечка, гарнир, соус, молочный или коктейльный компонент с брокколи</x:v>
      </x:c>
      <x:c r="Y11" s="28" t="str">
        <x:v>десерты</x:v>
      </x:c>
      <x:c r="Z11" s="28" t="str">
        <x:v>Средняя</x:v>
      </x:c>
      <x:c r="AA11" s="28" t="str">
        <x:v>Тезариус вкусов (Ники Сегнит)(1).pdf</x:v>
      </x:c>
      <x:c r="AB11" s="28" t="str">
        <x:v>Тезариус вкусов (Ники Сегнит)(1).pdf: 51, 329</x:v>
      </x:c>
      <x:c r="AC11" s="28" t="str">
        <x:v>Пара встречается как thesaurus; научное объяснение сформировано по ароматическому профилю и пищевой матрице.</x:v>
      </x:c>
      <x:c r="AD11" s="28" t="n">
        <x:v>1</x:v>
      </x:c>
      <x:c r="AE11" s="28" t="n">
        <x:v>2</x:v>
      </x:c>
      <x:c r="AF11" s="28" t="n">
        <x:f>IF(Z11="Высокая",3,IF(Z11="Средняя",2,1))+AD11*2+MIN(AE11,3)</x:f>
        <x:v>6</x:v>
      </x:c>
    </x:row>
    <x:row r="12" ht="62" customHeight="1">
      <x:c r="A12" s="28" t="str">
        <x:v>NCT-0011</x:v>
      </x:c>
      <x:c r="B12" s="28" t="str">
        <x:v>арахис</x:v>
      </x:c>
      <x:c r="C12" s="28" t="str">
        <x:v>Универсальные</x:v>
      </x:c>
      <x:c r="D12" s="28" t="str">
        <x:v>арахис</x:v>
      </x:c>
      <x:c r="E12" s="28" t="str">
        <x:v>Арахис | арахис</x:v>
      </x:c>
      <x:c r="F12" s="28" t="str">
        <x:v>Орехи и семена</x:v>
      </x:c>
      <x:c r="G12" s="28" t="str">
        <x:v>ваниль</x:v>
      </x:c>
      <x:c r="H12" s="28" t="str">
        <x:v>Ваниль | ваниль</x:v>
      </x:c>
      <x:c r="I12" s="28" t="str">
        <x:v>Специи</x:v>
      </x:c>
      <x:c r="J12" s="28" t="str">
        <x:v>бобовый и зелёный в сыром виде; жареный, ореховый и какаоподобный после обжарки</x:v>
      </x:c>
      <x:c r="K12" s="28" t="str">
        <x:v>ванильный, цветочный</x:v>
      </x:c>
      <x:c r="L12" s="28" t="str">
        <x:v>пиразины, фураны, 2-ацетил-1-пирролин, альдегиды</x:v>
      </x:c>
      <x:c r="M12" s="28" t="str">
        <x:v>ванилин</x:v>
      </x:c>
      <x:c r="N12" s="28" t="str">
        <x:v>прямое пересечение семейств не является единственным объяснением</x:v>
      </x:c>
      <x:c r="O12" s="28" t="str">
        <x:v>надежная общая ключевая молекула не подтверждена</x:v>
      </x:c>
      <x:c r="P12" s="28" t="str">
        <x:v>сенсорная комплементарность</x:v>
      </x:c>
      <x:c r="Q1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2" s="28" t="str">
        <x:v>минимальный</x:v>
      </x:c>
      <x:c r="S12" s="28" t="str">
        <x:v>жирно-белковая пастообразная матрица; хорошо удерживает жареную ароматику</x:v>
      </x:c>
      <x:c r="T1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12" s="28" t="str">
        <x:v>Арахис имеет профиль «бобовый и зелёный в сыром виде; жареный, ореховый и какаоподобный после обжарки».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2" s="28" t="str">
        <x:v>сильный аллерген; риск прогоркания и загрязнения плесенью при плохом хранении</x:v>
      </x:c>
      <x:c r="W12" s="28" t="str">
        <x:v>ваниль, апельсин или мёд</x:v>
      </x:c>
      <x:c r="X12" s="28" t="str">
        <x:v>пралине, паста, выпечка, гарнир, соус, молочный или коктейльный компонент с ваниль</x:v>
      </x:c>
      <x:c r="Y12" s="28" t="str">
        <x:v>десерты</x:v>
      </x:c>
      <x:c r="Z12" s="28" t="str">
        <x:v>Средняя</x:v>
      </x:c>
      <x:c r="AA12" s="28" t="str">
        <x:v>Тезариус вкусов (Ники Сегнит)(1).pdf</x:v>
      </x:c>
      <x:c r="AB12" s="28" t="str">
        <x:v>Тезариус вкусов (Ники Сегнит)(1).pdf: 51, 914</x:v>
      </x:c>
      <x:c r="AC12" s="28" t="str">
        <x:v>Пара встречается как thesaurus; научное объяснение сформировано по ароматическому профилю и пищевой матрице.</x:v>
      </x:c>
      <x:c r="AD12" s="28" t="n">
        <x:v>1</x:v>
      </x:c>
      <x:c r="AE12" s="28" t="n">
        <x:v>2</x:v>
      </x:c>
      <x:c r="AF12" s="28" t="n">
        <x:f>IF(Z12="Высокая",3,IF(Z12="Средняя",2,1))+AD12*2+MIN(AE12,3)</x:f>
        <x:v>6</x:v>
      </x:c>
    </x:row>
    <x:row r="13" ht="62" customHeight="1">
      <x:c r="A13" s="28" t="str">
        <x:v>NCT-0012</x:v>
      </x:c>
      <x:c r="B13" s="28" t="str">
        <x:v>арахис</x:v>
      </x:c>
      <x:c r="C13" s="28" t="str">
        <x:v>Напитки</x:v>
      </x:c>
      <x:c r="D13" s="28" t="str">
        <x:v>арахис</x:v>
      </x:c>
      <x:c r="E13" s="28" t="str">
        <x:v>Арахис | арахис</x:v>
      </x:c>
      <x:c r="F13" s="28" t="str">
        <x:v>Орехи и семена</x:v>
      </x:c>
      <x:c r="G13" s="28" t="str">
        <x:v>виноград</x:v>
      </x:c>
      <x:c r="H13" s="28" t="str">
        <x:v>Виноград | виноград</x:v>
      </x:c>
      <x:c r="I13" s="28" t="str">
        <x:v>Алкогольные напитки</x:v>
      </x:c>
      <x:c r="J13" s="28" t="str">
        <x:v>бобовый и зелёный в сыром виде; жареный, ореховый и какаоподобный после обжарки</x:v>
      </x:c>
      <x:c r="K13" s="28" t="str">
        <x:v>спиртовой, фруктовый или древесный</x:v>
      </x:c>
      <x:c r="L13" s="28" t="str">
        <x:v>пиразины, фураны, 2-ацетил-1-пирролин, альдегиды</x:v>
      </x:c>
      <x:c r="M13" s="28" t="str">
        <x:v>альдегиды, эфиры</x:v>
      </x:c>
      <x:c r="N13" s="28" t="str">
        <x:v>прямое пересечение семейств не является единственным объяснением</x:v>
      </x:c>
      <x:c r="O13" s="28" t="str">
        <x:v>альдегиды</x:v>
      </x:c>
      <x:c r="P13" s="28" t="str">
        <x:v>общие ароматические соединения</x:v>
      </x:c>
      <x:c r="Q1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3" s="28" t="str">
        <x:v>минимальный</x:v>
      </x:c>
      <x:c r="S13" s="28" t="str">
        <x:v>жирно-белковая пастообразная матрица; хорошо удерживает жареную ароматику Этанол эффективно извлекает терпены, фенолы и жареные молекулы; время контакта нужно ограничивать.</x:v>
      </x:c>
      <x:c r="T13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13" s="28" t="str">
        <x:v>Арахис имеет профиль «бобовый и зелёный в сыром виде; жареный, ореховый и какаоподобный после обжарки». Партнёр «виноград» относится к группе «Алкогольные напитки» и даёт спиртовой, фруктовый или древесный.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3" s="28" t="str">
        <x:v>сильный аллерген; риск прогоркания и загрязнения плесенью при плохом хранении</x:v>
      </x:c>
      <x:c r="W13" s="28" t="str">
        <x:v>соль, ваниль или карамель</x:v>
      </x:c>
      <x:c r="X13" s="28" t="str">
        <x:v>пралине, паста, выпечка, гарнир, соус, молочный или коктейльный компонент с виноград</x:v>
      </x:c>
      <x:c r="Y13" s="28" t="str">
        <x:v>напитки, десерты</x:v>
      </x:c>
      <x:c r="Z13" s="28" t="str">
        <x:v>Средняя</x:v>
      </x:c>
      <x:c r="AA13" s="28" t="str">
        <x:v>Тезариус вкусов (Ники Сегнит)(1).pdf</x:v>
      </x:c>
      <x:c r="AB13" s="28" t="str">
        <x:v>Тезариус вкусов (Ники Сегнит)(1).pdf: 52, 665</x:v>
      </x:c>
      <x:c r="AC13" s="28" t="str">
        <x:v>Пара встречается как thesaurus; научное объяснение сформировано по ароматическому профилю и пищевой матрице.</x:v>
      </x:c>
      <x:c r="AD13" s="28" t="n">
        <x:v>1</x:v>
      </x:c>
      <x:c r="AE13" s="28" t="n">
        <x:v>2</x:v>
      </x:c>
      <x:c r="AF13" s="28" t="n">
        <x:f>IF(Z13="Высокая",3,IF(Z13="Средняя",2,1))+AD13*2+MIN(AE13,3)</x:f>
        <x:v>6</x:v>
      </x:c>
    </x:row>
    <x:row r="14" ht="62" customHeight="1">
      <x:c r="A14" s="28" t="str">
        <x:v>NCT-0013</x:v>
      </x:c>
      <x:c r="B14" s="28" t="str">
        <x:v>арахис</x:v>
      </x:c>
      <x:c r="C14" s="28" t="str">
        <x:v>Еда и соусы</x:v>
      </x:c>
      <x:c r="D14" s="28" t="str">
        <x:v>арахис</x:v>
      </x:c>
      <x:c r="E14" s="28" t="str">
        <x:v>Арахис</x:v>
      </x:c>
      <x:c r="F14" s="28" t="str">
        <x:v>Орехи и семена</x:v>
      </x:c>
      <x:c r="G14" s="28" t="str">
        <x:v>говядина</x:v>
      </x:c>
      <x:c r="H14" s="28" t="str">
        <x:v>говядина</x:v>
      </x:c>
      <x:c r="I14" s="28" t="str">
        <x:v>Мясо и птица</x:v>
      </x:c>
      <x:c r="J14" s="28" t="str">
        <x:v>бобовый и зелёный в сыром виде; жареный, ореховый и какаоподобный после обжарки</x:v>
      </x:c>
      <x:c r="K14" s="28" t="str">
        <x:v>жареный, мясной и умами</x:v>
      </x:c>
      <x:c r="L14" s="28" t="str">
        <x:v>пиразины, фураны, 2-ацетил-1-пирролин, альдегиды</x:v>
      </x:c>
      <x:c r="M14" s="28" t="str">
        <x:v>пиразины, сернистые соединения</x:v>
      </x:c>
      <x:c r="N14" s="28" t="str">
        <x:v>жареный</x:v>
      </x:c>
      <x:c r="O14" s="28" t="str">
        <x:v>пиразины</x:v>
      </x:c>
      <x:c r="P1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1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4" s="28" t="str">
        <x:v>минимальный</x:v>
      </x:c>
      <x:c r="S14" s="28" t="str">
        <x:v>жирно-белковая пастообразная матрица; хорошо удерживает жареную ароматику</x:v>
      </x:c>
      <x:c r="T14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14" s="28" t="str">
        <x:v>Арахис имеет профиль «бобовый и зелёный в сыром виде; жареный, ореховый и какаоподобный после обжарки». Партнёр «говядина»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V14" s="28" t="str">
        <x:v>сильный аллерген; риск прогоркания и загрязнения плесенью при плохом хранении</x:v>
      </x:c>
      <x:c r="W14" s="28" t="str">
        <x:v>соль, соевый соус, коричневое масло или специя</x:v>
      </x:c>
      <x:c r="X14" s="28" t="str">
        <x:v>пралине, паста, выпечка, гарнир, соус, молочный или коктейльный компонент с говядина</x:v>
      </x:c>
      <x:c r="Y14" s="28" t="str">
        <x:v>еда, десерты, соусы/маринады</x:v>
      </x:c>
      <x:c r="Z14" s="28" t="str">
        <x:v>Средняя</x:v>
      </x:c>
      <x:c r="AA14" s="28" t="str">
        <x:v>Тезариус вкусов (Ники Сегнит)(1).pdf</x:v>
      </x:c>
      <x:c r="AB14" s="28" t="str">
        <x:v>Тезариус вкусов (Ники Сегнит)(1).pdf: 52</x:v>
      </x:c>
      <x:c r="AC14" s="28" t="str">
        <x:v>Пара встречается как thesaurus; научное объяснение сформировано по ароматическому профилю и пищевой матрице.</x:v>
      </x:c>
      <x:c r="AD14" s="28" t="n">
        <x:v>1</x:v>
      </x:c>
      <x:c r="AE14" s="28" t="n">
        <x:v>1</x:v>
      </x:c>
      <x:c r="AF14" s="28" t="n">
        <x:f>IF(Z14="Высокая",3,IF(Z14="Средняя",2,1))+AD14*2+MIN(AE14,3)</x:f>
        <x:v>5</x:v>
      </x:c>
    </x:row>
    <x:row r="15" ht="62" customHeight="1">
      <x:c r="A15" s="28" t="str">
        <x:v>NCT-0014</x:v>
      </x:c>
      <x:c r="B15" s="28" t="str">
        <x:v>арахис</x:v>
      </x:c>
      <x:c r="C15" s="28" t="str">
        <x:v>Десерты и выпечка</x:v>
      </x:c>
      <x:c r="D15" s="28" t="str">
        <x:v>арахис</x:v>
      </x:c>
      <x:c r="E15" s="28" t="str">
        <x:v>Арахис</x:v>
      </x:c>
      <x:c r="F15" s="28" t="str">
        <x:v>Орехи и семена</x:v>
      </x:c>
      <x:c r="G15" s="28" t="str">
        <x:v>груша</x:v>
      </x:c>
      <x:c r="H15" s="28" t="str">
        <x:v>груша</x:v>
      </x:c>
      <x:c r="I15" s="28" t="str">
        <x:v>Фрукты и ягоды</x:v>
      </x:c>
      <x:c r="J15" s="28" t="str">
        <x:v>бобовый и зелёный в сыром виде; жареный, ореховый и какаоподобный после обжарки</x:v>
      </x:c>
      <x:c r="K15" s="28" t="str">
        <x:v>фруктовый, цветочный и свежий</x:v>
      </x:c>
      <x:c r="L15" s="28" t="str">
        <x:v>пиразины, фураны, 2-ацетил-1-пирролин, альдегиды</x:v>
      </x:c>
      <x:c r="M15" s="28" t="str">
        <x:v>альдегиды, эфиры</x:v>
      </x:c>
      <x:c r="N15" s="28" t="str">
        <x:v>прямое пересечение семейств не является единственным объяснением</x:v>
      </x:c>
      <x:c r="O15" s="28" t="str">
        <x:v>альдегиды</x:v>
      </x:c>
      <x:c r="P15" s="28" t="str">
        <x:v>общие ароматические соединения, контраст кислоты и жирной/горькой матрицы</x:v>
      </x:c>
      <x:c r="Q1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5" s="28" t="str">
        <x:v>минимальный</x:v>
      </x:c>
      <x:c r="S15" s="28" t="str">
        <x:v>жирно-белковая пастообразная матрица; хорошо удерживает жареную ароматику Водная фруктовая фаза требует эмульсии или мелкого измельчения, если орех или шоколад вводится как паста.</x:v>
      </x:c>
      <x:c r="T15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15" s="28" t="str">
        <x:v>Арахис имеет профиль «бобовый и зелёный в сыром виде; жареный, ореховый и какаоподобный после обжарки». Партнёр «груша»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5" s="28" t="str">
        <x:v>сильный аллерген; риск прогоркания и загрязнения плесенью при плохом хранении; избыток кислоты может сделать чай или кофе резкими и разрушить молочную эмульсию</x:v>
      </x:c>
      <x:c r="W15" s="28" t="str">
        <x:v>ваниль, цитрус или молочный жир</x:v>
      </x:c>
      <x:c r="X15" s="28" t="str">
        <x:v>пралине, паста, выпечка, гарнир, соус, молочный или коктейльный компонент с груша</x:v>
      </x:c>
      <x:c r="Y15" s="28" t="str">
        <x:v>десерты</x:v>
      </x:c>
      <x:c r="Z15" s="28" t="str">
        <x:v>Гипотеза / практическая</x:v>
      </x:c>
      <x:c r="AA15" s="28" t="str">
        <x:v>Таблица сочетания(1).pdf</x:v>
      </x:c>
      <x:c r="AB15" s="28" t="str">
        <x:v>Таблица сочетания(1).pdf: 16</x:v>
      </x:c>
      <x:c r="AC15" s="28" t="str">
        <x:v>Пара встречается как table; научное объяснение сформировано по ароматическому профилю и пищевой матрице.</x:v>
      </x:c>
      <x:c r="AD15" s="28" t="n">
        <x:v>1</x:v>
      </x:c>
      <x:c r="AE15" s="28" t="n">
        <x:v>1</x:v>
      </x:c>
      <x:c r="AF15" s="28" t="n">
        <x:f>IF(Z15="Высокая",3,IF(Z15="Средняя",2,1))+AD15*2+MIN(AE15,3)</x:f>
        <x:v>4</x:v>
      </x:c>
    </x:row>
    <x:row r="16" ht="62" customHeight="1">
      <x:c r="A16" s="28" t="str">
        <x:v>NCT-0015</x:v>
      </x:c>
      <x:c r="B16" s="28" t="str">
        <x:v>арахис</x:v>
      </x:c>
      <x:c r="C16" s="28" t="str">
        <x:v>Универсальные</x:v>
      </x:c>
      <x:c r="D16" s="28" t="str">
        <x:v>арахис</x:v>
      </x:c>
      <x:c r="E16" s="28" t="str">
        <x:v>roasted peanut</x:v>
      </x:c>
      <x:c r="F16" s="28" t="str">
        <x:v>Орехи и семена</x:v>
      </x:c>
      <x:c r="G16" s="28" t="str">
        <x:v>имбирь</x:v>
      </x:c>
      <x:c r="H16" s="28" t="str">
        <x:v>ginger</x:v>
      </x:c>
      <x:c r="I16" s="28" t="str">
        <x:v>Специи</x:v>
      </x:c>
      <x:c r="J16" s="28" t="str">
        <x:v>бобовый и зелёный в сыром виде; жареный, ореховый и какаоподобный после обжарки</x:v>
      </x:c>
      <x:c r="K16" s="28" t="str">
        <x:v>пряный, тёплый, цитрусовый</x:v>
      </x:c>
      <x:c r="L16" s="28" t="str">
        <x:v>пиразины, фураны, 2-ацетил-1-пирролин, альдегиды</x:v>
      </x:c>
      <x:c r="M16" s="28" t="str">
        <x:v>гингеролы, цитраль</x:v>
      </x:c>
      <x:c r="N16" s="28" t="str">
        <x:v>прямое пересечение семейств не является единственным объяснением</x:v>
      </x:c>
      <x:c r="O16" s="28" t="str">
        <x:v>надежная общая ключевая молекула не подтверждена</x:v>
      </x:c>
      <x:c r="P16" s="28" t="str">
        <x:v>сенсорная комплементарность</x:v>
      </x:c>
      <x:c r="Q1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6" s="28" t="str">
        <x:v>минимальный; у острого партнёра тройничный эффект может доминировать</x:v>
      </x:c>
      <x:c r="S16" s="28" t="str">
        <x:v>жирно-белковая пастообразная матрица; хорошо удерживает жареную ароматику</x:v>
      </x:c>
      <x:c r="T16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16" s="28" t="str">
        <x:v>Арахис имеет профиль «бобовый и зелёный в сыром виде; жареный, ореховый и какаоподобный после обжарки». Партнёр «имбирь» относится к группе «Специи» и даёт пряный, тёплый,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6" s="28" t="str">
        <x:v>сильный аллерген; риск прогоркания и загрязнения плесенью при плохом хранении</x:v>
      </x:c>
      <x:c r="W16" s="28" t="str">
        <x:v>ваниль, апельсин или мёд</x:v>
      </x:c>
      <x:c r="X16" s="28" t="str">
        <x:v>пралине, паста, выпечка, гарнир, соус, молочный или коктейльный компонент с имбирь</x:v>
      </x:c>
      <x:c r="Y16" s="28" t="str">
        <x:v>десерты</x:v>
      </x:c>
      <x:c r="Z16" s="28" t="str">
        <x:v>Средняя</x:v>
      </x:c>
      <x:c r="AA16" s="28" t="str">
        <x:v>The Art &amp; Science of Foodpairing.pdf</x:v>
      </x:c>
      <x:c r="AB16" s="28" t="str">
        <x:v>The Art &amp; Science of Foodpairing.pdf: 142</x:v>
      </x:c>
      <x:c r="AC16" s="28" t="str">
        <x:v>Пара встречается как grid; научное объяснение сформировано по ароматическому профилю и пищевой матрице.</x:v>
      </x:c>
      <x:c r="AD16" s="28" t="n">
        <x:v>1</x:v>
      </x:c>
      <x:c r="AE16" s="28" t="n">
        <x:v>1</x:v>
      </x:c>
      <x:c r="AF16" s="28" t="n">
        <x:f>IF(Z16="Высокая",3,IF(Z16="Средняя",2,1))+AD16*2+MIN(AE16,3)</x:f>
        <x:v>5</x:v>
      </x:c>
    </x:row>
    <x:row r="17" ht="62" customHeight="1">
      <x:c r="A17" s="28" t="str">
        <x:v>NCT-0016</x:v>
      </x:c>
      <x:c r="B17" s="28" t="str">
        <x:v>арахис</x:v>
      </x:c>
      <x:c r="C17" s="28" t="str">
        <x:v>Еда и соусы</x:v>
      </x:c>
      <x:c r="D17" s="28" t="str">
        <x:v>арахис</x:v>
      </x:c>
      <x:c r="E17" s="28" t="str">
        <x:v>Арахис | арахис</x:v>
      </x:c>
      <x:c r="F17" s="28" t="str">
        <x:v>Орехи и семена</x:v>
      </x:c>
      <x:c r="G17" s="28" t="str">
        <x:v>картофель</x:v>
      </x:c>
      <x:c r="H17" s="28" t="str">
        <x:v>Картофель | картофель</x:v>
      </x:c>
      <x:c r="I17" s="28" t="str">
        <x:v>Овощи, бобовые и грибы</x:v>
      </x:c>
      <x:c r="J17" s="28" t="str">
        <x:v>бобовый и зелёный в сыром виде; жареный, ореховый и какаоподобный после обжарки</x:v>
      </x:c>
      <x:c r="K17" s="28" t="str">
        <x:v>зелёный, землистый или умами</x:v>
      </x:c>
      <x:c r="L17" s="28" t="str">
        <x:v>пиразины, фураны, 2-ацетил-1-пирролин, альдегиды</x:v>
      </x:c>
      <x:c r="M17" s="28" t="str">
        <x:v>альдегиды, сернистые соединения</x:v>
      </x:c>
      <x:c r="N17" s="28" t="str">
        <x:v>прямое пересечение семейств не является единственным объяснением</x:v>
      </x:c>
      <x:c r="O17" s="28" t="str">
        <x:v>альдегиды</x:v>
      </x:c>
      <x:c r="P17" s="28" t="str">
        <x:v>общие ароматические соединения</x:v>
      </x:c>
      <x:c r="Q1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7" s="28" t="str">
        <x:v>минимальный</x:v>
      </x:c>
      <x:c r="S17" s="28" t="str">
        <x:v>жирно-белковая пастообразная матрица; хорошо удерживает жареную ароматику</x:v>
      </x:c>
      <x:c r="T17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17" s="28" t="str">
        <x:v>Арахис имеет профиль «бобовый и зелёный в сыром виде; жареный, ореховый и какаоподобный после обжарки». Партнёр «картофель»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7" s="28" t="str">
        <x:v>сильный аллерген; риск прогоркания и загрязнения плесенью при плохом хранении</x:v>
      </x:c>
      <x:c r="W17" s="28" t="str">
        <x:v>соль, ваниль или карамель</x:v>
      </x:c>
      <x:c r="X17" s="28" t="str">
        <x:v>пралине, паста, выпечка, гарнир, соус, молочный или коктейльный компонент с картофель</x:v>
      </x:c>
      <x:c r="Y17" s="28" t="str">
        <x:v>еда, десерты, соусы/маринады</x:v>
      </x:c>
      <x:c r="Z17" s="28" t="str">
        <x:v>Средняя</x:v>
      </x:c>
      <x:c r="AA17" s="28" t="str">
        <x:v>Тезариус вкусов (Ники Сегнит)(1).pdf</x:v>
      </x:c>
      <x:c r="AB17" s="28" t="str">
        <x:v>Тезариус вкусов (Ники Сегнит)(1).pdf: 53, 230</x:v>
      </x:c>
      <x:c r="AC17" s="28" t="str">
        <x:v>Пара встречается как thesaurus; научное объяснение сформировано по ароматическому профилю и пищевой матрице.</x:v>
      </x:c>
      <x:c r="AD17" s="28" t="n">
        <x:v>1</x:v>
      </x:c>
      <x:c r="AE17" s="28" t="n">
        <x:v>2</x:v>
      </x:c>
      <x:c r="AF17" s="28" t="n">
        <x:f>IF(Z17="Высокая",3,IF(Z17="Средняя",2,1))+AD17*2+MIN(AE17,3)</x:f>
        <x:v>6</x:v>
      </x:c>
    </x:row>
    <x:row r="18" ht="62" customHeight="1">
      <x:c r="A18" s="28" t="str">
        <x:v>NCT-0017</x:v>
      </x:c>
      <x:c r="B18" s="28" t="str">
        <x:v>арахис</x:v>
      </x:c>
      <x:c r="C18" s="28" t="str">
        <x:v>Универсальные</x:v>
      </x:c>
      <x:c r="D18" s="28" t="str">
        <x:v>арахис</x:v>
      </x:c>
      <x:c r="E18" s="28" t="str">
        <x:v>Арахис</x:v>
      </x:c>
      <x:c r="F18" s="28" t="str">
        <x:v>Орехи и семена</x:v>
      </x:c>
      <x:c r="G18" s="28" t="str">
        <x:v>клубника</x:v>
      </x:c>
      <x:c r="H18" s="28" t="str">
        <x:v>клубника</x:v>
      </x:c>
      <x:c r="I18" s="28" t="str">
        <x:v>Прочее</x:v>
      </x:c>
      <x:c r="J18" s="28" t="str">
        <x:v>бобовый и зелёный в сыром виде; жареный, ореховый и какаоподобный после обжарки</x:v>
      </x:c>
      <x:c r="K18" s="28" t="str">
        <x:v>зелёный, карамельный, фруктовый</x:v>
      </x:c>
      <x:c r="L18" s="28" t="str">
        <x:v>пиразины, фураны, 2-ацетил-1-пирролин, альдегиды</x:v>
      </x:c>
      <x:c r="M18" s="28" t="str">
        <x:v>фуранеол, эфиры</x:v>
      </x:c>
      <x:c r="N18" s="28" t="str">
        <x:v>прямое пересечение семейств не является единственным объяснением</x:v>
      </x:c>
      <x:c r="O18" s="28" t="str">
        <x:v>надежная общая ключевая молекула не подтверждена</x:v>
      </x:c>
      <x:c r="P18" s="28" t="str">
        <x:v>сенсорная комплементарность</x:v>
      </x:c>
      <x:c r="Q1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8" s="28" t="str">
        <x:v>минимальный</x:v>
      </x:c>
      <x:c r="S18" s="28" t="str">
        <x:v>жирно-белковая пастообразная матрица; хорошо удерживает жареную ароматику</x:v>
      </x:c>
      <x:c r="T18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18" s="28" t="str">
        <x:v>Арахис имеет профиль «бобовый и зелёный в сыром виде; жареный, ореховый и какаоподобный после обжарки». Партнёр «клубника» относится к группе «Прочее» и даёт зелёный, карамельный, фруктовый.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8" s="28" t="str">
        <x:v>сильный аллерген; риск прогоркания и загрязнения плесенью при плохом хранении</x:v>
      </x:c>
      <x:c r="W18" s="28" t="str">
        <x:v>соль, ваниль или карамель</x:v>
      </x:c>
      <x:c r="X18" s="28" t="str">
        <x:v>пралине, паста, выпечка, гарнир, соус, молочный или коктейльный компонент с клубника</x:v>
      </x:c>
      <x:c r="Y18" s="28" t="str">
        <x:v>десерты</x:v>
      </x:c>
      <x:c r="Z18" s="28" t="str">
        <x:v>Гипотеза / практическая</x:v>
      </x:c>
      <x:c r="AA18" s="28" t="str">
        <x:v>Таблица сочетания(1).pdf</x:v>
      </x:c>
      <x:c r="AB18" s="28" t="str">
        <x:v>Таблица сочетания(1).pdf: 15</x:v>
      </x:c>
      <x:c r="AC18" s="28" t="str">
        <x:v>Пара встречается как table; научное объяснение сформировано по ароматическому профилю и пищевой матрице.</x:v>
      </x:c>
      <x:c r="AD18" s="28" t="n">
        <x:v>1</x:v>
      </x:c>
      <x:c r="AE18" s="28" t="n">
        <x:v>1</x:v>
      </x:c>
      <x:c r="AF18" s="28" t="n">
        <x:f>IF(Z18="Высокая",3,IF(Z18="Средняя",2,1))+AD18*2+MIN(AE18,3)</x:f>
        <x:v>4</x:v>
      </x:c>
    </x:row>
    <x:row r="19" ht="62" customHeight="1">
      <x:c r="A19" s="28" t="str">
        <x:v>NCT-0018</x:v>
      </x:c>
      <x:c r="B19" s="28" t="str">
        <x:v>арахис</x:v>
      </x:c>
      <x:c r="C19" s="28" t="str">
        <x:v>Универсальные</x:v>
      </x:c>
      <x:c r="D19" s="28" t="str">
        <x:v>арахис</x:v>
      </x:c>
      <x:c r="E19" s="28" t="str">
        <x:v>Арахис | арахис</x:v>
      </x:c>
      <x:c r="F19" s="28" t="str">
        <x:v>Орехи и семена</x:v>
      </x:c>
      <x:c r="G19" s="28" t="str">
        <x:v>кокос</x:v>
      </x:c>
      <x:c r="H19" s="28" t="str">
        <x:v>Кокос | кокос</x:v>
      </x:c>
      <x:c r="I19" s="28" t="str">
        <x:v>Прочее</x:v>
      </x:c>
      <x:c r="J19" s="28" t="str">
        <x:v>бобовый и зелёный в сыром виде; жареный, ореховый и какаоподобный после обжарки</x:v>
      </x:c>
      <x:c r="K19" s="28" t="str">
        <x:v>лактонный, сливочный</x:v>
      </x:c>
      <x:c r="L19" s="28" t="str">
        <x:v>пиразины, фураны, 2-ацетил-1-пирролин, альдегиды</x:v>
      </x:c>
      <x:c r="M19" s="28" t="str">
        <x:v>лактоны</x:v>
      </x:c>
      <x:c r="N19" s="28" t="str">
        <x:v>прямое пересечение семейств не является единственным объяснением</x:v>
      </x:c>
      <x:c r="O19" s="28" t="str">
        <x:v>надежная общая ключевая молекула не подтверждена</x:v>
      </x:c>
      <x:c r="P19" s="28" t="str">
        <x:v>сенсорная комплементарность</x:v>
      </x:c>
      <x:c r="Q1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9" s="28" t="str">
        <x:v>минимальный</x:v>
      </x:c>
      <x:c r="S19" s="28" t="str">
        <x:v>жирно-белковая пастообразная матрица; хорошо удерживает жареную ароматику</x:v>
      </x:c>
      <x:c r="T19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19" s="28" t="str">
        <x:v>Арахис имеет профиль «бобовый и зелёный в сыром виде; жареный, ореховый и какаоподобный после обжарки». Партнёр «кокос» относится к группе «Прочее» и даёт лактонный, сливочный.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9" s="28" t="str">
        <x:v>сильный аллерген; риск прогоркания и загрязнения плесенью при плохом хранении</x:v>
      </x:c>
      <x:c r="W19" s="28" t="str">
        <x:v>соль, ваниль или карамель</x:v>
      </x:c>
      <x:c r="X19" s="28" t="str">
        <x:v>пралине, паста, выпечка, гарнир, соус, молочный или коктейльный компонент с кокос</x:v>
      </x:c>
      <x:c r="Y19" s="28" t="str">
        <x:v>десерты</x:v>
      </x:c>
      <x:c r="Z19" s="28" t="str">
        <x:v>Средняя</x:v>
      </x:c>
      <x:c r="AA19" s="28" t="str">
        <x:v>Тезариус вкусов (Ники Сегнит)(1).pdf</x:v>
      </x:c>
      <x:c r="AB19" s="28" t="str">
        <x:v>Тезариус вкусов (Ники Сегнит)(1).pdf: 51, 53, 753</x:v>
      </x:c>
      <x:c r="AC19" s="28" t="str">
        <x:v>Пара встречается как thesaurus; научное объяснение сформировано по ароматическому профилю и пищевой матрице.</x:v>
      </x:c>
      <x:c r="AD19" s="28" t="n">
        <x:v>1</x:v>
      </x:c>
      <x:c r="AE19" s="28" t="n">
        <x:v>3</x:v>
      </x:c>
      <x:c r="AF19" s="28" t="n">
        <x:f>IF(Z19="Высокая",3,IF(Z19="Средняя",2,1))+AD19*2+MIN(AE19,3)</x:f>
        <x:v>7</x:v>
      </x:c>
    </x:row>
    <x:row r="20" ht="62" customHeight="1">
      <x:c r="A20" s="28" t="str">
        <x:v>NCT-0019</x:v>
      </x:c>
      <x:c r="B20" s="28" t="str">
        <x:v>арахис</x:v>
      </x:c>
      <x:c r="C20" s="28" t="str">
        <x:v>Универсальные</x:v>
      </x:c>
      <x:c r="D20" s="28" t="str">
        <x:v>арахис</x:v>
      </x:c>
      <x:c r="E20" s="28" t="str">
        <x:v>Арахис | арахис</x:v>
      </x:c>
      <x:c r="F20" s="28" t="str">
        <x:v>Орехи и семена</x:v>
      </x:c>
      <x:c r="G20" s="28" t="str">
        <x:v>корица</x:v>
      </x:c>
      <x:c r="H20" s="28" t="str">
        <x:v>Корица | корица</x:v>
      </x:c>
      <x:c r="I20" s="28" t="str">
        <x:v>Специи</x:v>
      </x:c>
      <x:c r="J20" s="28" t="str">
        <x:v>бобовый и зелёный в сыром виде; жареный, ореховый и какаоподобный после обжарки</x:v>
      </x:c>
      <x:c r="K20" s="28" t="str">
        <x:v>древесный, пряный</x:v>
      </x:c>
      <x:c r="L20" s="28" t="str">
        <x:v>пиразины, фураны, 2-ацетил-1-пирролин, альдегиды</x:v>
      </x:c>
      <x:c r="M20" s="28" t="str">
        <x:v>циннамальдегид, эвгенол</x:v>
      </x:c>
      <x:c r="N20" s="28" t="str">
        <x:v>прямое пересечение семейств не является единственным объяснением</x:v>
      </x:c>
      <x:c r="O20" s="28" t="str">
        <x:v>надежная общая ключевая молекула не подтверждена</x:v>
      </x:c>
      <x:c r="P20" s="28" t="str">
        <x:v>сенсорная комплементарность</x:v>
      </x:c>
      <x:c r="Q2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20" s="28" t="str">
        <x:v>минимальный</x:v>
      </x:c>
      <x:c r="S20" s="28" t="str">
        <x:v>жирно-белковая пастообразная матрица; хорошо удерживает жареную ароматику</x:v>
      </x:c>
      <x:c r="T20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20" s="28" t="str">
        <x:v>Арахис имеет профиль «бобовый и зелёный в сыром виде; жареный, ореховый и какаоподобный после обжарки». Партнёр «корица» относится к группе «Специи» и даёт древесный, пряный.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20" s="28" t="str">
        <x:v>сильный аллерген; риск прогоркания и загрязнения плесенью при плохом хранении</x:v>
      </x:c>
      <x:c r="W20" s="28" t="str">
        <x:v>ваниль, апельсин или мёд</x:v>
      </x:c>
      <x:c r="X20" s="28" t="str">
        <x:v>пралине, паста, выпечка, гарнир, соус, молочный или коктейльный компонент с корица</x:v>
      </x:c>
      <x:c r="Y20" s="28" t="str">
        <x:v>десерты</x:v>
      </x:c>
      <x:c r="Z20" s="28" t="str">
        <x:v>Высокая</x:v>
      </x:c>
      <x:c r="AA20" s="28" t="str">
        <x:v>Таблица сочетания(1).pdf | Тезариус вкусов (Ники Сегнит)(1).pdf</x:v>
      </x:c>
      <x:c r="AB20" s="28" t="str">
        <x:v>Таблица сочетания(1).pdf: 15; Тезариус вкусов (Ники Сегнит)(1).pdf: 54, 574</x:v>
      </x:c>
      <x:c r="AC20" s="28" t="str">
        <x:v>Пара встречается как table, thesaurus; научное объяснение сформировано по ароматическому профилю и пищевой матрице.</x:v>
      </x:c>
      <x:c r="AD20" s="28" t="n">
        <x:v>2</x:v>
      </x:c>
      <x:c r="AE20" s="28" t="n">
        <x:v>3</x:v>
      </x:c>
      <x:c r="AF20" s="28" t="n">
        <x:f>IF(Z20="Высокая",3,IF(Z20="Средняя",2,1))+AD20*2+MIN(AE20,3)</x:f>
        <x:v>10</x:v>
      </x:c>
    </x:row>
    <x:row r="21" ht="62" customHeight="1">
      <x:c r="A21" s="28" t="str">
        <x:v>NCT-0020</x:v>
      </x:c>
      <x:c r="B21" s="28" t="str">
        <x:v>арахис</x:v>
      </x:c>
      <x:c r="C21" s="28" t="str">
        <x:v>Напитки</x:v>
      </x:c>
      <x:c r="D21" s="28" t="str">
        <x:v>арахис</x:v>
      </x:c>
      <x:c r="E21" s="28" t="str">
        <x:v>Арахис</x:v>
      </x:c>
      <x:c r="F21" s="28" t="str">
        <x:v>Орехи и семена</x:v>
      </x:c>
      <x:c r="G21" s="28" t="str">
        <x:v>кофе</x:v>
      </x:c>
      <x:c r="H21" s="28" t="str">
        <x:v>кофе</x:v>
      </x:c>
      <x:c r="I21" s="28" t="str">
        <x:v>Кофе</x:v>
      </x:c>
      <x:c r="J21" s="28" t="str">
        <x:v>бобовый и зелёный в сыром виде; жареный, ореховый и какаоподобный после обжарки</x:v>
      </x:c>
      <x:c r="K21" s="28" t="str">
        <x:v>жареный, ореховый, карамельный, цветочный, фруктовый, фенольный и древесный</x:v>
      </x:c>
      <x:c r="L21" s="28" t="str">
        <x:v>пиразины, фураны, 2-ацетил-1-пирролин, альдегиды</x:v>
      </x:c>
      <x:c r="M21" s="28" t="str">
        <x:v>2-фурфурилтиол, гваякол, диацетил, пиразины, фураны</x:v>
      </x:c>
      <x:c r="N21" s="28" t="str">
        <x:v>жареный, ореховый</x:v>
      </x:c>
      <x:c r="O21" s="28" t="str">
        <x:v>пиразины, фураны</x:v>
      </x:c>
      <x:c r="P21" s="28" t="str">
        <x:v>общие ароматические соединения, пересечение ароматических семейств, жареная химия и реакции Майяра</x:v>
      </x:c>
      <x:c r="Q2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21" s="28" t="str">
        <x:v>минимальный</x:v>
      </x:c>
      <x:c r="S21" s="28" t="str">
        <x:v>жирно-белковая пастообразная матрица; хорошо удерживает жареную ароматику</x:v>
      </x:c>
      <x:c r="T21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21" s="28" t="str">
        <x:v>Арахис имеет профиль «бобовый и зелёный в сыром виде; жареный, ореховый и какаоподобный после обжарки».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ореховый; пиразины, фураны.</x:v>
      </x:c>
      <x:c r="V21" s="28" t="str">
        <x:v>сильный аллерген; риск прогоркания и загрязнения плесенью при плохом хранении</x:v>
      </x:c>
      <x:c r="W21" s="28" t="str">
        <x:v>соль, ваниль или карамель</x:v>
      </x:c>
      <x:c r="X21" s="28" t="str">
        <x:v>пралине, паста, выпечка, гарнир, соус, молочный или коктейльный компонент с кофе</x:v>
      </x:c>
      <x:c r="Y21" s="28" t="str">
        <x:v>напитки, десерты</x:v>
      </x:c>
      <x:c r="Z21" s="28" t="str">
        <x:v>Гипотеза / практическая</x:v>
      </x:c>
      <x:c r="AA21" s="28" t="str">
        <x:v>Таблица сочетания(1).pdf</x:v>
      </x:c>
      <x:c r="AB21" s="28" t="str">
        <x:v>Таблица сочетания(1).pdf: 15</x:v>
      </x:c>
      <x:c r="AC21" s="28" t="str">
        <x:v>Пара встречается как table; научное объяснение сформировано по ароматическому профилю и пищевой матрице.</x:v>
      </x:c>
      <x:c r="AD21" s="28" t="n">
        <x:v>1</x:v>
      </x:c>
      <x:c r="AE21" s="28" t="n">
        <x:v>1</x:v>
      </x:c>
      <x:c r="AF21" s="28" t="n">
        <x:f>IF(Z21="Высокая",3,IF(Z21="Средняя",2,1))+AD21*2+MIN(AE21,3)</x:f>
        <x:v>4</x:v>
      </x:c>
    </x:row>
    <x:row r="22" ht="62" customHeight="1">
      <x:c r="A22" s="28" t="str">
        <x:v>NCT-0021</x:v>
      </x:c>
      <x:c r="B22" s="28" t="str">
        <x:v>арахис</x:v>
      </x:c>
      <x:c r="C22" s="28" t="str">
        <x:v>Десерты и выпечка</x:v>
      </x:c>
      <x:c r="D22" s="28" t="str">
        <x:v>арахис</x:v>
      </x:c>
      <x:c r="E22" s="28" t="str">
        <x:v>Арахис | арахис</x:v>
      </x:c>
      <x:c r="F22" s="28" t="str">
        <x:v>Орехи и семена</x:v>
      </x:c>
      <x:c r="G22" s="28" t="str">
        <x:v>лайм</x:v>
      </x:c>
      <x:c r="H22" s="28" t="str">
        <x:v>Лайм | лайм</x:v>
      </x:c>
      <x:c r="I22" s="28" t="str">
        <x:v>Фрукты и ягоды</x:v>
      </x:c>
      <x:c r="J22" s="28" t="str">
        <x:v>бобовый и зелёный в сыром виде; жареный, ореховый и какаоподобный после обжарки</x:v>
      </x:c>
      <x:c r="K22" s="28" t="str">
        <x:v>зелёный, цитрусовый</x:v>
      </x:c>
      <x:c r="L22" s="28" t="str">
        <x:v>пиразины, фураны, 2-ацетил-1-пирролин, альдегиды</x:v>
      </x:c>
      <x:c r="M22" s="28" t="str">
        <x:v>лимонен, цитраль</x:v>
      </x:c>
      <x:c r="N22" s="28" t="str">
        <x:v>прямое пересечение семейств не является единственным объяснением</x:v>
      </x:c>
      <x:c r="O22" s="28" t="str">
        <x:v>надежная общая ключевая молекула не подтверждена</x:v>
      </x:c>
      <x:c r="P22" s="28" t="str">
        <x:v>контраст кислоты и жирной/горькой матрицы</x:v>
      </x:c>
      <x:c r="Q2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22" s="28" t="str">
        <x:v>минимальный</x:v>
      </x:c>
      <x:c r="S22" s="28" t="str">
        <x:v>жирно-белковая пастообразная матрица; хорошо удерживает жареную ароматику Водная фруктовая фаза требует эмульсии или мелкого измельчения, если орех или шоколад вводится как паста.</x:v>
      </x:c>
      <x:c r="T2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22" s="28" t="str">
        <x:v>Арахис имеет профиль «бобовый и зелёный в сыром виде; жареный, ореховый и какаоподобный после обжарки». Партнёр «лайм» относится к группе «Фрукты и ягоды» и даёт зелёный,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22" s="28" t="str">
        <x:v>сильный аллерген; риск прогоркания и загрязнения плесенью при плохом хранении; избыток кислоты может сделать чай или кофе резкими и разрушить молочную эмульсию</x:v>
      </x:c>
      <x:c r="W22" s="28" t="str">
        <x:v>ваниль, цитрус или молочный жир</x:v>
      </x:c>
      <x:c r="X22" s="28" t="str">
        <x:v>пралине, паста, выпечка, гарнир, соус, молочный или коктейльный компонент с лайм</x:v>
      </x:c>
      <x:c r="Y22" s="28" t="str">
        <x:v>десерты</x:v>
      </x:c>
      <x:c r="Z22" s="28" t="str">
        <x:v>Средняя</x:v>
      </x:c>
      <x:c r="AA22" s="28" t="str">
        <x:v>Тезариус вкусов (Ники Сегнит)(1).pdf</x:v>
      </x:c>
      <x:c r="AB22" s="28" t="str">
        <x:v>Тезариус вкусов (Ники Сегнит)(1).pdf: 54, 792</x:v>
      </x:c>
      <x:c r="AC22" s="28" t="str">
        <x:v>Пара встречается как thesaurus; научное объяснение сформировано по ароматическому профилю и пищевой матрице.</x:v>
      </x:c>
      <x:c r="AD22" s="28" t="n">
        <x:v>1</x:v>
      </x:c>
      <x:c r="AE22" s="28" t="n">
        <x:v>2</x:v>
      </x:c>
      <x:c r="AF22" s="28" t="n">
        <x:f>IF(Z22="Высокая",3,IF(Z22="Средняя",2,1))+AD22*2+MIN(AE22,3)</x:f>
        <x:v>6</x:v>
      </x:c>
    </x:row>
    <x:row r="23" ht="62" customHeight="1">
      <x:c r="A23" s="28" t="str">
        <x:v>NCT-0022</x:v>
      </x:c>
      <x:c r="B23" s="28" t="str">
        <x:v>арахис</x:v>
      </x:c>
      <x:c r="C23" s="28" t="str">
        <x:v>Универсальные</x:v>
      </x:c>
      <x:c r="D23" s="28" t="str">
        <x:v>арахис</x:v>
      </x:c>
      <x:c r="E23" s="28" t="str">
        <x:v>Арахис | арахис</x:v>
      </x:c>
      <x:c r="F23" s="28" t="str">
        <x:v>Орехи и семена</x:v>
      </x:c>
      <x:c r="G23" s="28" t="str">
        <x:v>листья кориандра</x:v>
      </x:c>
      <x:c r="H23" s="28" t="str">
        <x:v>Листья кориандра | листья кориандра</x:v>
      </x:c>
      <x:c r="I23" s="28" t="str">
        <x:v>Травы, цветы и листья</x:v>
      </x:c>
      <x:c r="J23" s="28" t="str">
        <x:v>бобовый и зелёный в сыром виде; жареный, ореховый и какаоподобный после обжарки</x:v>
      </x:c>
      <x:c r="K23" s="28" t="str">
        <x:v>зелёный, цветочный и терпеновый</x:v>
      </x:c>
      <x:c r="L23" s="28" t="str">
        <x:v>пиразины, фураны, 2-ацетил-1-пирролин, альдегиды</x:v>
      </x:c>
      <x:c r="M23" s="28" t="str">
        <x:v>линалоол, терпены</x:v>
      </x:c>
      <x:c r="N23" s="28" t="str">
        <x:v>прямое пересечение семейств не является единственным объяснением</x:v>
      </x:c>
      <x:c r="O23" s="28" t="str">
        <x:v>надежная общая ключевая молекула не подтверждена</x:v>
      </x:c>
      <x:c r="P23" s="28" t="str">
        <x:v>сенсорная комплементарность</x:v>
      </x:c>
      <x:c r="Q2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23" s="28" t="str">
        <x:v>минимальный</x:v>
      </x:c>
      <x:c r="S23" s="28" t="str">
        <x:v>жирно-белковая пастообразная матрица; хорошо удерживает жареную ароматику</x:v>
      </x:c>
      <x:c r="T23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23" s="28" t="str">
        <x:v>Арахис имеет профиль «бобовый и зелёный в сыром виде; жареный, ореховый и какаоподобный после обжарки». Партнёр «листья кориандра»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23" s="28" t="str">
        <x:v>сильный аллерген; риск прогоркания и загрязнения плесенью при плохом хранении</x:v>
      </x:c>
      <x:c r="W23" s="28" t="str">
        <x:v>цитрус, мёд или сливки</x:v>
      </x:c>
      <x:c r="X23" s="28" t="str">
        <x:v>пралине, паста, выпечка, гарнир, соус, молочный или коктейльный компонент с листья кориандра</x:v>
      </x:c>
      <x:c r="Y23" s="28" t="str">
        <x:v>десерты</x:v>
      </x:c>
      <x:c r="Z23" s="28" t="str">
        <x:v>Средняя</x:v>
      </x:c>
      <x:c r="AA23" s="28" t="str">
        <x:v>Тезариус вкусов (Ники Сегнит)(1).pdf</x:v>
      </x:c>
      <x:c r="AB23" s="28" t="str">
        <x:v>Тезариус вкусов (Ники Сегнит)(1).pdf: 55, 516</x:v>
      </x:c>
      <x:c r="AC23" s="28" t="str">
        <x:v>Пара встречается как thesaurus; научное объяснение сформировано по ароматическому профилю и пищевой матрице.</x:v>
      </x:c>
      <x:c r="AD23" s="28" t="n">
        <x:v>1</x:v>
      </x:c>
      <x:c r="AE23" s="28" t="n">
        <x:v>2</x:v>
      </x:c>
      <x:c r="AF23" s="28" t="n">
        <x:f>IF(Z23="Высокая",3,IF(Z23="Средняя",2,1))+AD23*2+MIN(AE23,3)</x:f>
        <x:v>6</x:v>
      </x:c>
    </x:row>
    <x:row r="24" ht="62" customHeight="1">
      <x:c r="A24" s="28" t="str">
        <x:v>NCT-0023</x:v>
      </x:c>
      <x:c r="B24" s="28" t="str">
        <x:v>арахис</x:v>
      </x:c>
      <x:c r="C24" s="28" t="str">
        <x:v>Универсальные</x:v>
      </x:c>
      <x:c r="D24" s="28" t="str">
        <x:v>арахис</x:v>
      </x:c>
      <x:c r="E24" s="28" t="str">
        <x:v>Арахис | арахис</x:v>
      </x:c>
      <x:c r="F24" s="28" t="str">
        <x:v>Орехи и семена</x:v>
      </x:c>
      <x:c r="G24" s="28" t="str">
        <x:v>моллюски</x:v>
      </x:c>
      <x:c r="H24" s="28" t="str">
        <x:v>Моллюски | моллюски</x:v>
      </x:c>
      <x:c r="I24" s="28" t="str">
        <x:v>Прочее</x:v>
      </x:c>
      <x:c r="J24" s="28" t="str">
        <x:v>бобовый и зелёный в сыром виде; жареный, ореховый и какаоподобный после обжарки</x:v>
      </x:c>
      <x:c r="K24" s="28" t="str">
        <x:v>профиль зависит от конкретного продукта</x:v>
      </x:c>
      <x:c r="L24" s="28" t="str">
        <x:v>пиразины, фураны, 2-ацетил-1-пирролин, альдегиды</x:v>
      </x:c>
      <x:c r="M24" s="28" t="str">
        <x:v>характерный профиль зависит от конкретного продукта</x:v>
      </x:c>
      <x:c r="N24" s="28" t="str">
        <x:v>прямое пересечение семейств не является единственным объяснением</x:v>
      </x:c>
      <x:c r="O24" s="28" t="str">
        <x:v>надежная общая ключевая молекула не подтверждена</x:v>
      </x:c>
      <x:c r="P24" s="28" t="str">
        <x:v>сенсорная комплементарность</x:v>
      </x:c>
      <x:c r="Q2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24" s="28" t="str">
        <x:v>минимальный</x:v>
      </x:c>
      <x:c r="S24" s="28" t="str">
        <x:v>жирно-белковая пастообразная матрица; хорошо удерживает жареную ароматику</x:v>
      </x:c>
      <x:c r="T24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24" s="28" t="str">
        <x:v>Арахис имеет профиль «бобовый и зелёный в сыром виде; жареный, ореховый и какаоподобный после обжарки». Партнёр «моллюски»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24" s="28" t="str">
        <x:v>сильный аллерген; риск прогоркания и загрязнения плесенью при плохом хранении</x:v>
      </x:c>
      <x:c r="W24" s="28" t="str">
        <x:v>соль, ваниль или карамель</x:v>
      </x:c>
      <x:c r="X24" s="28" t="str">
        <x:v>пралине, паста, выпечка, гарнир, соус, молочный или коктейльный компонент с моллюски</x:v>
      </x:c>
      <x:c r="Y24" s="28" t="str">
        <x:v>десерты</x:v>
      </x:c>
      <x:c r="Z24" s="28" t="str">
        <x:v>Средняя</x:v>
      </x:c>
      <x:c r="AA24" s="28" t="str">
        <x:v>Тезариус вкусов (Ники Сегнит)(1).pdf</x:v>
      </x:c>
      <x:c r="AB24" s="28" t="str">
        <x:v>Тезариус вкусов (Ники Сегнит)(1).pdf: 55, 365</x:v>
      </x:c>
      <x:c r="AC24" s="28" t="str">
        <x:v>Пара встречается как thesaurus; научное объяснение сформировано по ароматическому профилю и пищевой матрице.</x:v>
      </x:c>
      <x:c r="AD24" s="28" t="n">
        <x:v>1</x:v>
      </x:c>
      <x:c r="AE24" s="28" t="n">
        <x:v>2</x:v>
      </x:c>
      <x:c r="AF24" s="28" t="n">
        <x:f>IF(Z24="Высокая",3,IF(Z24="Средняя",2,1))+AD24*2+MIN(AE24,3)</x:f>
        <x:v>6</x:v>
      </x:c>
    </x:row>
    <x:row r="25" ht="62" customHeight="1">
      <x:c r="A25" s="28" t="str">
        <x:v>NCT-0024</x:v>
      </x:c>
      <x:c r="B25" s="28" t="str">
        <x:v>арахис</x:v>
      </x:c>
      <x:c r="C25" s="28" t="str">
        <x:v>Еда и соусы</x:v>
      </x:c>
      <x:c r="D25" s="28" t="str">
        <x:v>арахис</x:v>
      </x:c>
      <x:c r="E25" s="28" t="str">
        <x:v>Арахис | арахис</x:v>
      </x:c>
      <x:c r="F25" s="28" t="str">
        <x:v>Орехи и семена</x:v>
      </x:c>
      <x:c r="G25" s="28" t="str">
        <x:v>морковь</x:v>
      </x:c>
      <x:c r="H25" s="28" t="str">
        <x:v>Морковь | морковь</x:v>
      </x:c>
      <x:c r="I25" s="28" t="str">
        <x:v>Овощи, бобовые и грибы</x:v>
      </x:c>
      <x:c r="J25" s="28" t="str">
        <x:v>бобовый и зелёный в сыром виде; жареный, ореховый и какаоподобный после обжарки</x:v>
      </x:c>
      <x:c r="K25" s="28" t="str">
        <x:v>зелёный, землистый или умами</x:v>
      </x:c>
      <x:c r="L25" s="28" t="str">
        <x:v>пиразины, фураны, 2-ацетил-1-пирролин, альдегиды</x:v>
      </x:c>
      <x:c r="M25" s="28" t="str">
        <x:v>альдегиды, сернистые соединения</x:v>
      </x:c>
      <x:c r="N25" s="28" t="str">
        <x:v>прямое пересечение семейств не является единственным объяснением</x:v>
      </x:c>
      <x:c r="O25" s="28" t="str">
        <x:v>альдегиды</x:v>
      </x:c>
      <x:c r="P25" s="28" t="str">
        <x:v>общие ароматические соединения</x:v>
      </x:c>
      <x:c r="Q2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25" s="28" t="str">
        <x:v>минимальный</x:v>
      </x:c>
      <x:c r="S25" s="28" t="str">
        <x:v>жирно-белковая пастообразная матрица; хорошо удерживает жареную ароматику</x:v>
      </x:c>
      <x:c r="T25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25" s="28" t="str">
        <x:v>Арахис имеет профиль «бобовый и зелёный в сыром виде; жареный, ореховый и какаоподобный после обжарки». Партнёр «морковь»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25" s="28" t="str">
        <x:v>сильный аллерген; риск прогоркания и загрязнения плесенью при плохом хранении</x:v>
      </x:c>
      <x:c r="W25" s="28" t="str">
        <x:v>соль, ваниль или карамель</x:v>
      </x:c>
      <x:c r="X25" s="28" t="str">
        <x:v>пралине, паста, выпечка, гарнир, соус, молочный или коктейльный компонент с морковь</x:v>
      </x:c>
      <x:c r="Y25" s="28" t="str">
        <x:v>еда, десерты, соусы/маринады</x:v>
      </x:c>
      <x:c r="Z25" s="28" t="str">
        <x:v>Средняя</x:v>
      </x:c>
      <x:c r="AA25" s="28" t="str">
        <x:v>Тезариус вкусов (Ники Сегнит)(1).pdf</x:v>
      </x:c>
      <x:c r="AB25" s="28" t="str">
        <x:v>Тезариус вкусов (Ники Сегнит)(1).pdf: 55, 602</x:v>
      </x:c>
      <x:c r="AC25" s="28" t="str">
        <x:v>Пара встречается как thesaurus; научное объяснение сформировано по ароматическому профилю и пищевой матрице.</x:v>
      </x:c>
      <x:c r="AD25" s="28" t="n">
        <x:v>1</x:v>
      </x:c>
      <x:c r="AE25" s="28" t="n">
        <x:v>2</x:v>
      </x:c>
      <x:c r="AF25" s="28" t="n">
        <x:f>IF(Z25="Высокая",3,IF(Z25="Средняя",2,1))+AD25*2+MIN(AE25,3)</x:f>
        <x:v>6</x:v>
      </x:c>
    </x:row>
    <x:row r="26" ht="62" customHeight="1">
      <x:c r="A26" s="28" t="str">
        <x:v>NCT-0025</x:v>
      </x:c>
      <x:c r="B26" s="28" t="str">
        <x:v>арахис</x:v>
      </x:c>
      <x:c r="C26" s="28" t="str">
        <x:v>Десерты и выпечка</x:v>
      </x:c>
      <x:c r="D26" s="28" t="str">
        <x:v>арахис</x:v>
      </x:c>
      <x:c r="E26" s="28" t="str">
        <x:v>Арахис</x:v>
      </x:c>
      <x:c r="F26" s="28" t="str">
        <x:v>Орехи и семена</x:v>
      </x:c>
      <x:c r="G26" s="28" t="str">
        <x:v>мускатный орех</x:v>
      </x:c>
      <x:c r="H26" s="28" t="str">
        <x:v>мускатный орех</x:v>
      </x:c>
      <x:c r="I26" s="28" t="str">
        <x:v>Орехи и семена</x:v>
      </x:c>
      <x:c r="J26" s="28" t="str">
        <x:v>бобовый и зелёный в сыром виде; жареный, ореховый и какаоподобный после обжарки</x:v>
      </x:c>
      <x:c r="K26" s="28" t="str">
        <x:v>камфорный, ореховый, пряный</x:v>
      </x:c>
      <x:c r="L26" s="28" t="str">
        <x:v>пиразины, фураны, 2-ацетил-1-пирролин, альдегиды</x:v>
      </x:c>
      <x:c r="M26" s="28" t="str">
        <x:v>пинены, сабинен</x:v>
      </x:c>
      <x:c r="N26" s="28" t="str">
        <x:v>ореховый</x:v>
      </x:c>
      <x:c r="O26" s="28" t="str">
        <x:v>надежная общая ключевая молекула не подтверждена</x:v>
      </x:c>
      <x:c r="P26" s="28" t="str">
        <x:v>пересечение ароматических семейств, жареная химия и реакции Майяра</x:v>
      </x:c>
      <x:c r="Q2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26" s="28" t="str">
        <x:v>минимальный</x:v>
      </x:c>
      <x:c r="S26" s="28" t="str">
        <x:v>жирно-белковая пастообразная матрица; хорошо удерживает жареную ароматику</x:v>
      </x:c>
      <x:c r="T26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26" s="28" t="str">
        <x:v>Арахис имеет профиль «бобовый и зелёный в сыром виде; жареный, ореховый и какаоподобный после обжарки».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механизм не следует сводить к одной общей молекуле.</x:v>
      </x:c>
      <x:c r="V26" s="28" t="str">
        <x:v>сильный аллерген; риск прогоркания и загрязнения плесенью при плохом хранении</x:v>
      </x:c>
      <x:c r="W26" s="28" t="str">
        <x:v>соль, ваниль или карамель</x:v>
      </x:c>
      <x:c r="X26" s="28" t="str">
        <x:v>пралине, паста, выпечка, гарнир, соус, молочный или коктейльный компонент с мускатный орех</x:v>
      </x:c>
      <x:c r="Y26" s="28" t="str">
        <x:v>десерты</x:v>
      </x:c>
      <x:c r="Z26" s="28" t="str">
        <x:v>Гипотеза / практическая</x:v>
      </x:c>
      <x:c r="AA26" s="28" t="str">
        <x:v>Таблица сочетания(1).pdf</x:v>
      </x:c>
      <x:c r="AB26" s="28" t="str">
        <x:v>Таблица сочетания(1).pdf: 15</x:v>
      </x:c>
      <x:c r="AC26" s="28" t="str">
        <x:v>Пара встречается как table; научное объяснение сформировано по ароматическому профилю и пищевой матрице.</x:v>
      </x:c>
      <x:c r="AD26" s="28" t="n">
        <x:v>1</x:v>
      </x:c>
      <x:c r="AE26" s="28" t="n">
        <x:v>1</x:v>
      </x:c>
      <x:c r="AF26" s="28" t="n">
        <x:f>IF(Z26="Высокая",3,IF(Z26="Средняя",2,1))+AD26*2+MIN(AE26,3)</x:f>
        <x:v>4</x:v>
      </x:c>
    </x:row>
    <x:row r="27" ht="62" customHeight="1">
      <x:c r="A27" s="28" t="str">
        <x:v>NCT-0026</x:v>
      </x:c>
      <x:c r="B27" s="28" t="str">
        <x:v>арахис</x:v>
      </x:c>
      <x:c r="C27" s="28" t="str">
        <x:v>Универсальные</x:v>
      </x:c>
      <x:c r="D27" s="28" t="str">
        <x:v>арахис</x:v>
      </x:c>
      <x:c r="E27" s="28" t="str">
        <x:v>Арахис | арахис</x:v>
      </x:c>
      <x:c r="F27" s="28" t="str">
        <x:v>Орехи и семена</x:v>
      </x:c>
      <x:c r="G27" s="28" t="str">
        <x:v>мята</x:v>
      </x:c>
      <x:c r="H27" s="28" t="str">
        <x:v>Мята | мята</x:v>
      </x:c>
      <x:c r="I27" s="28" t="str">
        <x:v>Травы, цветы и листья</x:v>
      </x:c>
      <x:c r="J27" s="28" t="str">
        <x:v>бобовый и зелёный в сыром виде; жареный, ореховый и какаоподобный после обжарки</x:v>
      </x:c>
      <x:c r="K27" s="28" t="str">
        <x:v>зелёный, холодящий</x:v>
      </x:c>
      <x:c r="L27" s="28" t="str">
        <x:v>пиразины, фураны, 2-ацетил-1-пирролин, альдегиды</x:v>
      </x:c>
      <x:c r="M27" s="28" t="str">
        <x:v>ментол</x:v>
      </x:c>
      <x:c r="N27" s="28" t="str">
        <x:v>прямое пересечение семейств не является единственным объяснением</x:v>
      </x:c>
      <x:c r="O27" s="28" t="str">
        <x:v>надежная общая ключевая молекула не подтверждена</x:v>
      </x:c>
      <x:c r="P27" s="28" t="str">
        <x:v>сенсорная комплементарность</x:v>
      </x:c>
      <x:c r="Q2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27" s="28" t="str">
        <x:v>минимальный</x:v>
      </x:c>
      <x:c r="S27" s="28" t="str">
        <x:v>жирно-белковая пастообразная матрица; хорошо удерживает жареную ароматику</x:v>
      </x:c>
      <x:c r="T27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27" s="28" t="str">
        <x:v>Арахис имеет профиль «бобовый и зелёный в сыром виде; жареный, ореховый и какаоподобный после обжарки». Партнёр «мята» относится к группе «Травы, цветы и листья» и даёт зелёный, холодящий.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27" s="28" t="str">
        <x:v>сильный аллерген; риск прогоркания и загрязнения плесенью при плохом хранении</x:v>
      </x:c>
      <x:c r="W27" s="28" t="str">
        <x:v>цитрус, мёд или сливки</x:v>
      </x:c>
      <x:c r="X27" s="28" t="str">
        <x:v>пралине, паста, выпечка, гарнир, соус, молочный или коктейльный компонент с мята</x:v>
      </x:c>
      <x:c r="Y27" s="28" t="str">
        <x:v>десерты</x:v>
      </x:c>
      <x:c r="Z27" s="28" t="str">
        <x:v>Высокая</x:v>
      </x:c>
      <x:c r="AA27" s="28" t="str">
        <x:v>Таблица сочетания(1).pdf | Тезариус вкусов (Ники Сегнит)(1).pdf</x:v>
      </x:c>
      <x:c r="AB27" s="28" t="str">
        <x:v>Таблица сочетания(1).pdf: 16; Тезариус вкусов (Ники Сегнит)(1).pdf: 56, 865</x:v>
      </x:c>
      <x:c r="AC27" s="28" t="str">
        <x:v>Пара встречается как table, thesaurus; научное объяснение сформировано по ароматическому профилю и пищевой матрице.</x:v>
      </x:c>
      <x:c r="AD27" s="28" t="n">
        <x:v>2</x:v>
      </x:c>
      <x:c r="AE27" s="28" t="n">
        <x:v>3</x:v>
      </x:c>
      <x:c r="AF27" s="28" t="n">
        <x:f>IF(Z27="Высокая",3,IF(Z27="Средняя",2,1))+AD27*2+MIN(AE27,3)</x:f>
        <x:v>10</x:v>
      </x:c>
    </x:row>
    <x:row r="28" ht="62" customHeight="1">
      <x:c r="A28" s="28" t="str">
        <x:v>NCT-0027</x:v>
      </x:c>
      <x:c r="B28" s="28" t="str">
        <x:v>арахис</x:v>
      </x:c>
      <x:c r="C28" s="28" t="str">
        <x:v>Еда и соусы</x:v>
      </x:c>
      <x:c r="D28" s="28" t="str">
        <x:v>арахис</x:v>
      </x:c>
      <x:c r="E28" s="28" t="str">
        <x:v>Арахис | арахис</x:v>
      </x:c>
      <x:c r="F28" s="28" t="str">
        <x:v>Орехи и семена</x:v>
      </x:c>
      <x:c r="G28" s="28" t="str">
        <x:v>огурцы</x:v>
      </x:c>
      <x:c r="H28" s="28" t="str">
        <x:v>Огурцы | огурцы</x:v>
      </x:c>
      <x:c r="I28" s="28" t="str">
        <x:v>Овощи, бобовые и грибы</x:v>
      </x:c>
      <x:c r="J28" s="28" t="str">
        <x:v>бобовый и зелёный в сыром виде; жареный, ореховый и какаоподобный после обжарки</x:v>
      </x:c>
      <x:c r="K28" s="28" t="str">
        <x:v>зелёный, землистый или умами</x:v>
      </x:c>
      <x:c r="L28" s="28" t="str">
        <x:v>пиразины, фураны, 2-ацетил-1-пирролин, альдегиды</x:v>
      </x:c>
      <x:c r="M28" s="28" t="str">
        <x:v>альдегиды, сернистые соединения</x:v>
      </x:c>
      <x:c r="N28" s="28" t="str">
        <x:v>прямое пересечение семейств не является единственным объяснением</x:v>
      </x:c>
      <x:c r="O28" s="28" t="str">
        <x:v>альдегиды</x:v>
      </x:c>
      <x:c r="P28" s="28" t="str">
        <x:v>общие ароматические соединения</x:v>
      </x:c>
      <x:c r="Q2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28" s="28" t="str">
        <x:v>минимальный</x:v>
      </x:c>
      <x:c r="S28" s="28" t="str">
        <x:v>жирно-белковая пастообразная матрица; хорошо удерживает жареную ароматику</x:v>
      </x:c>
      <x:c r="T28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28" s="28" t="str">
        <x:v>Арахис имеет профиль «бобовый и зелёный в сыром виде; жареный, ореховый и какаоподобный после обжарки». Партнёр «огурцы»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28" s="28" t="str">
        <x:v>сильный аллерген; риск прогоркания и загрязнения плесенью при плохом хранении</x:v>
      </x:c>
      <x:c r="W28" s="28" t="str">
        <x:v>соль, ваниль или карамель</x:v>
      </x:c>
      <x:c r="X28" s="28" t="str">
        <x:v>пралине, паста, выпечка, гарнир, соус, молочный или коктейльный компонент с огурцы</x:v>
      </x:c>
      <x:c r="Y28" s="28" t="str">
        <x:v>еда, десерты, соусы/маринады</x:v>
      </x:c>
      <x:c r="Z28" s="28" t="str">
        <x:v>Средняя</x:v>
      </x:c>
      <x:c r="AA28" s="28" t="str">
        <x:v>Тезариус вкусов (Ники Сегнит)(1).pdf</x:v>
      </x:c>
      <x:c r="AB28" s="28" t="str">
        <x:v>Тезариус вкусов (Ники Сегнит)(1).pdf: 56, 491</x:v>
      </x:c>
      <x:c r="AC28" s="28" t="str">
        <x:v>Пара встречается как thesaurus; научное объяснение сформировано по ароматическому профилю и пищевой матрице.</x:v>
      </x:c>
      <x:c r="AD28" s="28" t="n">
        <x:v>1</x:v>
      </x:c>
      <x:c r="AE28" s="28" t="n">
        <x:v>2</x:v>
      </x:c>
      <x:c r="AF28" s="28" t="n">
        <x:f>IF(Z28="Высокая",3,IF(Z28="Средняя",2,1))+AD28*2+MIN(AE28,3)</x:f>
        <x:v>6</x:v>
      </x:c>
    </x:row>
    <x:row r="29" ht="62" customHeight="1">
      <x:c r="A29" s="28" t="str">
        <x:v>NCT-0028</x:v>
      </x:c>
      <x:c r="B29" s="28" t="str">
        <x:v>арахис</x:v>
      </x:c>
      <x:c r="C29" s="28" t="str">
        <x:v>Универсальные</x:v>
      </x:c>
      <x:c r="D29" s="28" t="str">
        <x:v>арахис</x:v>
      </x:c>
      <x:c r="E29" s="28" t="str">
        <x:v>roasted peanut</x:v>
      </x:c>
      <x:c r="F29" s="28" t="str">
        <x:v>Орехи и семена</x:v>
      </x:c>
      <x:c r="G29" s="28" t="str">
        <x:v>оливковое масло</x:v>
      </x:c>
      <x:c r="H29" s="28" t="str">
        <x:v>olive oil</x:v>
      </x:c>
      <x:c r="I29" s="28" t="str">
        <x:v>Масла и жиры</x:v>
      </x:c>
      <x:c r="J29" s="28" t="str">
        <x:v>бобовый и зелёный в сыром виде; жареный, ореховый и какаоподобный после обжарки</x:v>
      </x:c>
      <x:c r="K29" s="28" t="str">
        <x:v>жирный и мягкий</x:v>
      </x:c>
      <x:c r="L29" s="28" t="str">
        <x:v>пиразины, фураны, 2-ацетил-1-пирролин, альдегиды</x:v>
      </x:c>
      <x:c r="M29" s="28" t="str">
        <x:v>альдегиды, лактоны</x:v>
      </x:c>
      <x:c r="N29" s="28" t="str">
        <x:v>прямое пересечение семейств не является единственным объяснением</x:v>
      </x:c>
      <x:c r="O29" s="28" t="str">
        <x:v>альдегиды</x:v>
      </x:c>
      <x:c r="P29" s="28" t="str">
        <x:v>общие ароматические соединения</x:v>
      </x:c>
      <x:c r="Q2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29" s="28" t="str">
        <x:v>минимальный</x:v>
      </x:c>
      <x:c r="S29" s="28" t="str">
        <x:v>жирно-белковая пастообразная матрица; хорошо удерживает жареную ароматику</x:v>
      </x:c>
      <x:c r="T29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29" s="28" t="str">
        <x:v>Арахис имеет профиль «бобовый и зелёный в сыром виде; жареный, ореховый и какаоподобный после обжарки». Партнёр «оливковое масло» относится к группе «Масла и жиры» и даёт жирный и мягкий.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29" s="28" t="str">
        <x:v>сильный аллерген; риск прогоркания и загрязнения плесенью при плохом хранении</x:v>
      </x:c>
      <x:c r="W29" s="28" t="str">
        <x:v>соль, ваниль или карамель</x:v>
      </x:c>
      <x:c r="X29" s="28" t="str">
        <x:v>пралине, паста, выпечка, гарнир, соус, молочный или коктейльный компонент с оливковое масло</x:v>
      </x:c>
      <x:c r="Y29" s="28" t="str">
        <x:v>десерты</x:v>
      </x:c>
      <x:c r="Z29" s="28" t="str">
        <x:v>Средняя</x:v>
      </x:c>
      <x:c r="AA29" s="28" t="str">
        <x:v>The Art &amp; Science of Foodpairing.pdf</x:v>
      </x:c>
      <x:c r="AB29" s="28" t="str">
        <x:v>The Art &amp; Science of Foodpairing.pdf: 172</x:v>
      </x:c>
      <x:c r="AC29" s="28" t="str">
        <x:v>Пара встречается как grid; научное объяснение сформировано по ароматическому профилю и пищевой матрице.</x:v>
      </x:c>
      <x:c r="AD29" s="28" t="n">
        <x:v>1</x:v>
      </x:c>
      <x:c r="AE29" s="28" t="n">
        <x:v>1</x:v>
      </x:c>
      <x:c r="AF29" s="28" t="n">
        <x:f>IF(Z29="Высокая",3,IF(Z29="Средняя",2,1))+AD29*2+MIN(AE29,3)</x:f>
        <x:v>5</x:v>
      </x:c>
    </x:row>
    <x:row r="30" ht="62" customHeight="1">
      <x:c r="A30" s="28" t="str">
        <x:v>NCT-0029</x:v>
      </x:c>
      <x:c r="B30" s="28" t="str">
        <x:v>арахис</x:v>
      </x:c>
      <x:c r="C30" s="28" t="str">
        <x:v>Универсальные</x:v>
      </x:c>
      <x:c r="D30" s="28" t="str">
        <x:v>арахис</x:v>
      </x:c>
      <x:c r="E30" s="28" t="str">
        <x:v>Арахис</x:v>
      </x:c>
      <x:c r="F30" s="28" t="str">
        <x:v>Орехи и семена</x:v>
      </x:c>
      <x:c r="G30" s="28" t="str">
        <x:v>паприка</x:v>
      </x:c>
      <x:c r="H30" s="28" t="str">
        <x:v>паприка</x:v>
      </x:c>
      <x:c r="I30" s="28" t="str">
        <x:v>Прочее</x:v>
      </x:c>
      <x:c r="J30" s="28" t="str">
        <x:v>бобовый и зелёный в сыром виде; жареный, ореховый и какаоподобный после обжарки</x:v>
      </x:c>
      <x:c r="K30" s="28" t="str">
        <x:v>профиль зависит от конкретного продукта</x:v>
      </x:c>
      <x:c r="L30" s="28" t="str">
        <x:v>пиразины, фураны, 2-ацетил-1-пирролин, альдегиды</x:v>
      </x:c>
      <x:c r="M30" s="28" t="str">
        <x:v>характерный профиль зависит от конкретного продукта</x:v>
      </x:c>
      <x:c r="N30" s="28" t="str">
        <x:v>прямое пересечение семейств не является единственным объяснением</x:v>
      </x:c>
      <x:c r="O30" s="28" t="str">
        <x:v>надежная общая ключевая молекула не подтверждена</x:v>
      </x:c>
      <x:c r="P30" s="28" t="str">
        <x:v>сенсорная комплементарность</x:v>
      </x:c>
      <x:c r="Q3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0" s="28" t="str">
        <x:v>минимальный</x:v>
      </x:c>
      <x:c r="S30" s="28" t="str">
        <x:v>жирно-белковая пастообразная матрица; хорошо удерживает жареную ароматику</x:v>
      </x:c>
      <x:c r="T30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30" s="28" t="str">
        <x:v>Арахис имеет профиль «бобовый и зелёный в сыром виде; жареный, ореховый и какаоподобный после обжарки». Партнёр «паприка»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0" s="28" t="str">
        <x:v>сильный аллерген; риск прогоркания и загрязнения плесенью при плохом хранении</x:v>
      </x:c>
      <x:c r="W30" s="28" t="str">
        <x:v>соль, ваниль или карамель</x:v>
      </x:c>
      <x:c r="X30" s="28" t="str">
        <x:v>пралине, паста, выпечка, гарнир, соус, молочный или коктейльный компонент с паприка</x:v>
      </x:c>
      <x:c r="Y30" s="28" t="str">
        <x:v>десерты</x:v>
      </x:c>
      <x:c r="Z30" s="28" t="str">
        <x:v>Гипотеза / практическая</x:v>
      </x:c>
      <x:c r="AA30" s="28" t="str">
        <x:v>Таблица сочетания(1).pdf</x:v>
      </x:c>
      <x:c r="AB30" s="28" t="str">
        <x:v>Таблица сочетания(1).pdf: 16</x:v>
      </x:c>
      <x:c r="AC30" s="28" t="str">
        <x:v>Пара встречается как table; научное объяснение сформировано по ароматическому профилю и пищевой матрице.</x:v>
      </x:c>
      <x:c r="AD30" s="28" t="n">
        <x:v>1</x:v>
      </x:c>
      <x:c r="AE30" s="28" t="n">
        <x:v>1</x:v>
      </x:c>
      <x:c r="AF30" s="28" t="n">
        <x:f>IF(Z30="Высокая",3,IF(Z30="Средняя",2,1))+AD30*2+MIN(AE30,3)</x:f>
        <x:v>4</x:v>
      </x:c>
    </x:row>
    <x:row r="31" ht="62" customHeight="1">
      <x:c r="A31" s="28" t="str">
        <x:v>NCT-0030</x:v>
      </x:c>
      <x:c r="B31" s="28" t="str">
        <x:v>арахис</x:v>
      </x:c>
      <x:c r="C31" s="28" t="str">
        <x:v>Десерты и выпечка</x:v>
      </x:c>
      <x:c r="D31" s="28" t="str">
        <x:v>арахис</x:v>
      </x:c>
      <x:c r="E31" s="28" t="str">
        <x:v>Арахис</x:v>
      </x:c>
      <x:c r="F31" s="28" t="str">
        <x:v>Орехи и семена</x:v>
      </x:c>
      <x:c r="G31" s="28" t="str">
        <x:v>персик</x:v>
      </x:c>
      <x:c r="H31" s="28" t="str">
        <x:v>персик</x:v>
      </x:c>
      <x:c r="I31" s="28" t="str">
        <x:v>Фрукты и ягоды</x:v>
      </x:c>
      <x:c r="J31" s="28" t="str">
        <x:v>бобовый и зелёный в сыром виде; жареный, ореховый и какаоподобный после обжарки</x:v>
      </x:c>
      <x:c r="K31" s="28" t="str">
        <x:v>лактонный, фруктовый, цветочный</x:v>
      </x:c>
      <x:c r="L31" s="28" t="str">
        <x:v>пиразины, фураны, 2-ацетил-1-пирролин, альдегиды</x:v>
      </x:c>
      <x:c r="M31" s="28" t="str">
        <x:v>лактоны, линалоол</x:v>
      </x:c>
      <x:c r="N31" s="28" t="str">
        <x:v>прямое пересечение семейств не является единственным объяснением</x:v>
      </x:c>
      <x:c r="O31" s="28" t="str">
        <x:v>надежная общая ключевая молекула не подтверждена</x:v>
      </x:c>
      <x:c r="P31" s="28" t="str">
        <x:v>контраст кислоты и жирной/горькой матрицы</x:v>
      </x:c>
      <x:c r="Q3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1" s="28" t="str">
        <x:v>минимальный</x:v>
      </x:c>
      <x:c r="S31" s="28" t="str">
        <x:v>жирно-белковая пастообразная матрица; хорошо удерживает жареную ароматику Водная фруктовая фаза требует эмульсии или мелкого измельчения, если орех или шоколад вводится как паста.</x:v>
      </x:c>
      <x:c r="T31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31" s="28" t="str">
        <x:v>Арахис имеет профиль «бобовый и зелёный в сыром виде; жареный, ореховый и какаоподобный после обжарки». Партнёр «персик» относится к группе «Фрукты и ягоды» и даёт лактонный, фруктовый, цветочный.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1" s="28" t="str">
        <x:v>сильный аллерген; риск прогоркания и загрязнения плесенью при плохом хранении; избыток кислоты может сделать чай или кофе резкими и разрушить молочную эмульсию</x:v>
      </x:c>
      <x:c r="W31" s="28" t="str">
        <x:v>ваниль, цитрус или молочный жир</x:v>
      </x:c>
      <x:c r="X31" s="28" t="str">
        <x:v>пралине, паста, выпечка, гарнир, соус, молочный или коктейльный компонент с персик</x:v>
      </x:c>
      <x:c r="Y31" s="28" t="str">
        <x:v>десерты</x:v>
      </x:c>
      <x:c r="Z31" s="28" t="str">
        <x:v>Гипотеза / практическая</x:v>
      </x:c>
      <x:c r="AA31" s="28" t="str">
        <x:v>Таблица сочетания(1).pdf</x:v>
      </x:c>
      <x:c r="AB31" s="28" t="str">
        <x:v>Таблица сочетания(1).pdf: 16</x:v>
      </x:c>
      <x:c r="AC31" s="28" t="str">
        <x:v>Пара встречается как table; научное объяснение сформировано по ароматическому профилю и пищевой матрице.</x:v>
      </x:c>
      <x:c r="AD31" s="28" t="n">
        <x:v>1</x:v>
      </x:c>
      <x:c r="AE31" s="28" t="n">
        <x:v>1</x:v>
      </x:c>
      <x:c r="AF31" s="28" t="n">
        <x:f>IF(Z31="Высокая",3,IF(Z31="Средняя",2,1))+AD31*2+MIN(AE31,3)</x:f>
        <x:v>4</x:v>
      </x:c>
    </x:row>
    <x:row r="32" ht="62" customHeight="1">
      <x:c r="A32" s="28" t="str">
        <x:v>NCT-0031</x:v>
      </x:c>
      <x:c r="B32" s="28" t="str">
        <x:v>арахис</x:v>
      </x:c>
      <x:c r="C32" s="28" t="str">
        <x:v>Универсальные</x:v>
      </x:c>
      <x:c r="D32" s="28" t="str">
        <x:v>арахис</x:v>
      </x:c>
      <x:c r="E32" s="28" t="str">
        <x:v>Арахис</x:v>
      </x:c>
      <x:c r="F32" s="28" t="str">
        <x:v>Орехи и семена</x:v>
      </x:c>
      <x:c r="G32" s="28" t="str">
        <x:v>петрушка</x:v>
      </x:c>
      <x:c r="H32" s="28" t="str">
        <x:v>петрушка</x:v>
      </x:c>
      <x:c r="I32" s="28" t="str">
        <x:v>Травы, цветы и листья</x:v>
      </x:c>
      <x:c r="J32" s="28" t="str">
        <x:v>бобовый и зелёный в сыром виде; жареный, ореховый и какаоподобный после обжарки</x:v>
      </x:c>
      <x:c r="K32" s="28" t="str">
        <x:v>зелёный, цветочный и терпеновый</x:v>
      </x:c>
      <x:c r="L32" s="28" t="str">
        <x:v>пиразины, фураны, 2-ацетил-1-пирролин, альдегиды</x:v>
      </x:c>
      <x:c r="M32" s="28" t="str">
        <x:v>линалоол, терпены</x:v>
      </x:c>
      <x:c r="N32" s="28" t="str">
        <x:v>прямое пересечение семейств не является единственным объяснением</x:v>
      </x:c>
      <x:c r="O32" s="28" t="str">
        <x:v>надежная общая ключевая молекула не подтверждена</x:v>
      </x:c>
      <x:c r="P32" s="28" t="str">
        <x:v>сенсорная комплементарность</x:v>
      </x:c>
      <x:c r="Q3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2" s="28" t="str">
        <x:v>минимальный</x:v>
      </x:c>
      <x:c r="S32" s="28" t="str">
        <x:v>жирно-белковая пастообразная матрица; хорошо удерживает жареную ароматику</x:v>
      </x:c>
      <x:c r="T3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32" s="28" t="str">
        <x:v>Арахис имеет профиль «бобовый и зелёный в сыром виде; жареный, ореховый и какаоподобный после обжарки». Партнёр «петрушка»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2" s="28" t="str">
        <x:v>сильный аллерген; риск прогоркания и загрязнения плесенью при плохом хранении</x:v>
      </x:c>
      <x:c r="W32" s="28" t="str">
        <x:v>цитрус, мёд или сливки</x:v>
      </x:c>
      <x:c r="X32" s="28" t="str">
        <x:v>пралине, паста, выпечка, гарнир, соус, молочный или коктейльный компонент с петрушка</x:v>
      </x:c>
      <x:c r="Y32" s="28" t="str">
        <x:v>десерты</x:v>
      </x:c>
      <x:c r="Z32" s="28" t="str">
        <x:v>Гипотеза / практическая</x:v>
      </x:c>
      <x:c r="AA32" s="28" t="str">
        <x:v>Таблица сочетания(1).pdf</x:v>
      </x:c>
      <x:c r="AB32" s="28" t="str">
        <x:v>Таблица сочетания(1).pdf: 16</x:v>
      </x:c>
      <x:c r="AC32" s="28" t="str">
        <x:v>Пара встречается как table; научное объяснение сформировано по ароматическому профилю и пищевой матрице.</x:v>
      </x:c>
      <x:c r="AD32" s="28" t="n">
        <x:v>1</x:v>
      </x:c>
      <x:c r="AE32" s="28" t="n">
        <x:v>1</x:v>
      </x:c>
      <x:c r="AF32" s="28" t="n">
        <x:f>IF(Z32="Высокая",3,IF(Z32="Средняя",2,1))+AD32*2+MIN(AE32,3)</x:f>
        <x:v>4</x:v>
      </x:c>
    </x:row>
    <x:row r="33" ht="62" customHeight="1">
      <x:c r="A33" s="28" t="str">
        <x:v>NCT-0032</x:v>
      </x:c>
      <x:c r="B33" s="28" t="str">
        <x:v>арахис</x:v>
      </x:c>
      <x:c r="C33" s="28" t="str">
        <x:v>Еда и соусы</x:v>
      </x:c>
      <x:c r="D33" s="28" t="str">
        <x:v>арахис</x:v>
      </x:c>
      <x:c r="E33" s="28" t="str">
        <x:v>Арахис | арахис</x:v>
      </x:c>
      <x:c r="F33" s="28" t="str">
        <x:v>Орехи и семена</x:v>
      </x:c>
      <x:c r="G33" s="28" t="str">
        <x:v>свинина</x:v>
      </x:c>
      <x:c r="H33" s="28" t="str">
        <x:v>Свинина | свинина</x:v>
      </x:c>
      <x:c r="I33" s="28" t="str">
        <x:v>Мясо и птица</x:v>
      </x:c>
      <x:c r="J33" s="28" t="str">
        <x:v>бобовый и зелёный в сыром виде; жареный, ореховый и какаоподобный после обжарки</x:v>
      </x:c>
      <x:c r="K33" s="28" t="str">
        <x:v>жареный, мясной и умами</x:v>
      </x:c>
      <x:c r="L33" s="28" t="str">
        <x:v>пиразины, фураны, 2-ацетил-1-пирролин, альдегиды</x:v>
      </x:c>
      <x:c r="M33" s="28" t="str">
        <x:v>пиразины, сернистые соединения</x:v>
      </x:c>
      <x:c r="N33" s="28" t="str">
        <x:v>жареный</x:v>
      </x:c>
      <x:c r="O33" s="28" t="str">
        <x:v>пиразины</x:v>
      </x:c>
      <x:c r="P33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3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3" s="28" t="str">
        <x:v>минимальный</x:v>
      </x:c>
      <x:c r="S33" s="28" t="str">
        <x:v>жирно-белковая пастообразная матрица; хорошо удерживает жареную ароматику</x:v>
      </x:c>
      <x:c r="T33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33" s="28" t="str">
        <x:v>Арахис имеет профиль «бобовый и зелёный в сыром виде; жареный, ореховый и какаоподобный после обжарки». Партнёр «свинина»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V33" s="28" t="str">
        <x:v>сильный аллерген; риск прогоркания и загрязнения плесенью при плохом хранении</x:v>
      </x:c>
      <x:c r="W33" s="28" t="str">
        <x:v>соль, соевый соус, коричневое масло или специя</x:v>
      </x:c>
      <x:c r="X33" s="28" t="str">
        <x:v>пралине, паста, выпечка, гарнир, соус, молочный или коктейльный компонент с свинина</x:v>
      </x:c>
      <x:c r="Y33" s="28" t="str">
        <x:v>еда, десерты, соусы/маринады</x:v>
      </x:c>
      <x:c r="Z33" s="28" t="str">
        <x:v>Средняя</x:v>
      </x:c>
      <x:c r="AA33" s="28" t="str">
        <x:v>Тезариус вкусов (Ники Сегнит)(1).pdf</x:v>
      </x:c>
      <x:c r="AB33" s="28" t="str">
        <x:v>Тезариус вкусов (Ники Сегнит)(1).pdf: 56, 78</x:v>
      </x:c>
      <x:c r="AC33" s="28" t="str">
        <x:v>Пара встречается как thesaurus; научное объяснение сформировано по ароматическому профилю и пищевой матрице.</x:v>
      </x:c>
      <x:c r="AD33" s="28" t="n">
        <x:v>1</x:v>
      </x:c>
      <x:c r="AE33" s="28" t="n">
        <x:v>2</x:v>
      </x:c>
      <x:c r="AF33" s="28" t="n">
        <x:f>IF(Z33="Высокая",3,IF(Z33="Средняя",2,1))+AD33*2+MIN(AE33,3)</x:f>
        <x:v>6</x:v>
      </x:c>
    </x:row>
    <x:row r="34" ht="62" customHeight="1">
      <x:c r="A34" s="28" t="str">
        <x:v>NCT-0033</x:v>
      </x:c>
      <x:c r="B34" s="28" t="str">
        <x:v>арахис</x:v>
      </x:c>
      <x:c r="C34" s="28" t="str">
        <x:v>Еда и соусы</x:v>
      </x:c>
      <x:c r="D34" s="28" t="str">
        <x:v>арахис</x:v>
      </x:c>
      <x:c r="E34" s="28" t="str">
        <x:v>roasted peanut</x:v>
      </x:c>
      <x:c r="F34" s="28" t="str">
        <x:v>Орехи и семена</x:v>
      </x:c>
      <x:c r="G34" s="28" t="str">
        <x:v>свёкла</x:v>
      </x:c>
      <x:c r="H34" s="28" t="str">
        <x:v>beetroot</x:v>
      </x:c>
      <x:c r="I34" s="28" t="str">
        <x:v>Овощи, бобовые и грибы</x:v>
      </x:c>
      <x:c r="J34" s="28" t="str">
        <x:v>бобовый и зелёный в сыром виде; жареный, ореховый и какаоподобный после обжарки</x:v>
      </x:c>
      <x:c r="K34" s="28" t="str">
        <x:v>землистый, сладкий</x:v>
      </x:c>
      <x:c r="L34" s="28" t="str">
        <x:v>пиразины, фураны, 2-ацетил-1-пирролин, альдегиды</x:v>
      </x:c>
      <x:c r="M34" s="28" t="str">
        <x:v>геосмин</x:v>
      </x:c>
      <x:c r="N34" s="28" t="str">
        <x:v>прямое пересечение семейств не является единственным объяснением</x:v>
      </x:c>
      <x:c r="O34" s="28" t="str">
        <x:v>надежная общая ключевая молекула не подтверждена</x:v>
      </x:c>
      <x:c r="P34" s="28" t="str">
        <x:v>сенсорная комплементарность</x:v>
      </x:c>
      <x:c r="Q3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4" s="28" t="str">
        <x:v>минимальный</x:v>
      </x:c>
      <x:c r="S34" s="28" t="str">
        <x:v>жирно-белковая пастообразная матрица; хорошо удерживает жареную ароматику</x:v>
      </x:c>
      <x:c r="T34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34" s="28" t="str">
        <x:v>Арахис имеет профиль «бобовый и зелёный в сыром виде; жареный, ореховый и какаоподобный после обжарки». Партнёр «свёкла» относится к группе «Овощи, бобовые и грибы» и даёт землистый, сладкий.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4" s="28" t="str">
        <x:v>сильный аллерген; риск прогоркания и загрязнения плесенью при плохом хранении</x:v>
      </x:c>
      <x:c r="W34" s="28" t="str">
        <x:v>соль, ваниль или карамель</x:v>
      </x:c>
      <x:c r="X34" s="28" t="str">
        <x:v>пралине, паста, выпечка, гарнир, соус, молочный или коктейльный компонент с свёкла</x:v>
      </x:c>
      <x:c r="Y34" s="28" t="str">
        <x:v>еда, десерты, соусы/маринады</x:v>
      </x:c>
      <x:c r="Z34" s="28" t="str">
        <x:v>Средняя</x:v>
      </x:c>
      <x:c r="AA34" s="28" t="str">
        <x:v>The Art &amp; Science of Foodpairing.pdf</x:v>
      </x:c>
      <x:c r="AB34" s="28" t="str">
        <x:v>The Art &amp; Science of Foodpairing.pdf: 224</x:v>
      </x:c>
      <x:c r="AC34" s="28" t="str">
        <x:v>Пара встречается как grid; научное объяснение сформировано по ароматическому профилю и пищевой матрице.</x:v>
      </x:c>
      <x:c r="AD34" s="28" t="n">
        <x:v>1</x:v>
      </x:c>
      <x:c r="AE34" s="28" t="n">
        <x:v>1</x:v>
      </x:c>
      <x:c r="AF34" s="28" t="n">
        <x:f>IF(Z34="Высокая",3,IF(Z34="Средняя",2,1))+AD34*2+MIN(AE34,3)</x:f>
        <x:v>5</x:v>
      </x:c>
    </x:row>
    <x:row r="35" ht="62" customHeight="1">
      <x:c r="A35" s="28" t="str">
        <x:v>NCT-0034</x:v>
      </x:c>
      <x:c r="B35" s="28" t="str">
        <x:v>арахис</x:v>
      </x:c>
      <x:c r="C35" s="28" t="str">
        <x:v>Универсальные</x:v>
      </x:c>
      <x:c r="D35" s="28" t="str">
        <x:v>арахис</x:v>
      </x:c>
      <x:c r="E35" s="28" t="str">
        <x:v>Арахис | арахис</x:v>
      </x:c>
      <x:c r="F35" s="28" t="str">
        <x:v>Орехи и семена</x:v>
      </x:c>
      <x:c r="G35" s="28" t="str">
        <x:v>сельдерей</x:v>
      </x:c>
      <x:c r="H35" s="28" t="str">
        <x:v>Сельдерей | сельдерей</x:v>
      </x:c>
      <x:c r="I35" s="28" t="str">
        <x:v>Прочее</x:v>
      </x:c>
      <x:c r="J35" s="28" t="str">
        <x:v>бобовый и зелёный в сыром виде; жареный, ореховый и какаоподобный после обжарки</x:v>
      </x:c>
      <x:c r="K35" s="28" t="str">
        <x:v>профиль зависит от конкретного продукта</x:v>
      </x:c>
      <x:c r="L35" s="28" t="str">
        <x:v>пиразины, фураны, 2-ацетил-1-пирролин, альдегиды</x:v>
      </x:c>
      <x:c r="M35" s="28" t="str">
        <x:v>характерный профиль зависит от конкретного продукта</x:v>
      </x:c>
      <x:c r="N35" s="28" t="str">
        <x:v>прямое пересечение семейств не является единственным объяснением</x:v>
      </x:c>
      <x:c r="O35" s="28" t="str">
        <x:v>надежная общая ключевая молекула не подтверждена</x:v>
      </x:c>
      <x:c r="P35" s="28" t="str">
        <x:v>сенсорная комплементарность</x:v>
      </x:c>
      <x:c r="Q3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5" s="28" t="str">
        <x:v>минимальный</x:v>
      </x:c>
      <x:c r="S35" s="28" t="str">
        <x:v>жирно-белковая пастообразная матрица; хорошо удерживает жареную ароматику</x:v>
      </x:c>
      <x:c r="T35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35" s="28" t="str">
        <x:v>Арахис имеет профиль «бобовый и зелёный в сыром виде; жареный, ореховый и какаоподобный после обжарки». Партнёр «сельдерей»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5" s="28" t="str">
        <x:v>сильный аллерген; риск прогоркания и загрязнения плесенью при плохом хранении</x:v>
      </x:c>
      <x:c r="W35" s="28" t="str">
        <x:v>соль, ваниль или карамель</x:v>
      </x:c>
      <x:c r="X35" s="28" t="str">
        <x:v>пралине, паста, выпечка, гарнир, соус, молочный или коктейльный компонент с сельдерей</x:v>
      </x:c>
      <x:c r="Y35" s="28" t="str">
        <x:v>десерты</x:v>
      </x:c>
      <x:c r="Z35" s="28" t="str">
        <x:v>Средняя</x:v>
      </x:c>
      <x:c r="AA35" s="28" t="str">
        <x:v>Тезариус вкусов (Ники Сегнит)(1).pdf</x:v>
      </x:c>
      <x:c r="AB35" s="28" t="str">
        <x:v>Тезариус вкусов (Ники Сегнит)(1).pdf: 56, 248</x:v>
      </x:c>
      <x:c r="AC35" s="28" t="str">
        <x:v>Пара встречается как thesaurus; научное объяснение сформировано по ароматическому профилю и пищевой матрице.</x:v>
      </x:c>
      <x:c r="AD35" s="28" t="n">
        <x:v>1</x:v>
      </x:c>
      <x:c r="AE35" s="28" t="n">
        <x:v>2</x:v>
      </x:c>
      <x:c r="AF35" s="28" t="n">
        <x:f>IF(Z35="Высокая",3,IF(Z35="Средняя",2,1))+AD35*2+MIN(AE35,3)</x:f>
        <x:v>6</x:v>
      </x:c>
    </x:row>
    <x:row r="36" ht="62" customHeight="1">
      <x:c r="A36" s="28" t="str">
        <x:v>NCT-0035</x:v>
      </x:c>
      <x:c r="B36" s="28" t="str">
        <x:v>арахис</x:v>
      </x:c>
      <x:c r="C36" s="28" t="str">
        <x:v>Еда и соусы</x:v>
      </x:c>
      <x:c r="D36" s="28" t="str">
        <x:v>арахис</x:v>
      </x:c>
      <x:c r="E36" s="28" t="str">
        <x:v>Арахис | арахис</x:v>
      </x:c>
      <x:c r="F36" s="28" t="str">
        <x:v>Орехи и семена</x:v>
      </x:c>
      <x:c r="G36" s="28" t="str">
        <x:v>спаржа</x:v>
      </x:c>
      <x:c r="H36" s="28" t="str">
        <x:v>Спаржа | спаржа</x:v>
      </x:c>
      <x:c r="I36" s="28" t="str">
        <x:v>Овощи, бобовые и грибы</x:v>
      </x:c>
      <x:c r="J36" s="28" t="str">
        <x:v>бобовый и зелёный в сыром виде; жареный, ореховый и какаоподобный после обжарки</x:v>
      </x:c>
      <x:c r="K36" s="28" t="str">
        <x:v>зелёный, землистый или умами</x:v>
      </x:c>
      <x:c r="L36" s="28" t="str">
        <x:v>пиразины, фураны, 2-ацетил-1-пирролин, альдегиды</x:v>
      </x:c>
      <x:c r="M36" s="28" t="str">
        <x:v>альдегиды, сернистые соединения</x:v>
      </x:c>
      <x:c r="N36" s="28" t="str">
        <x:v>прямое пересечение семейств не является единственным объяснением</x:v>
      </x:c>
      <x:c r="O36" s="28" t="str">
        <x:v>альдегиды</x:v>
      </x:c>
      <x:c r="P36" s="28" t="str">
        <x:v>общие ароматические соединения</x:v>
      </x:c>
      <x:c r="Q3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6" s="28" t="str">
        <x:v>минимальный</x:v>
      </x:c>
      <x:c r="S36" s="28" t="str">
        <x:v>жирно-белковая пастообразная матрица; хорошо удерживает жареную ароматику</x:v>
      </x:c>
      <x:c r="T36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36" s="28" t="str">
        <x:v>Арахис имеет профиль «бобовый и зелёный в сыром виде; жареный, ореховый и какаоподобный после обжарки». Партнёр «спаржа»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36" s="28" t="str">
        <x:v>сильный аллерген; риск прогоркания и загрязнения плесенью при плохом хранении</x:v>
      </x:c>
      <x:c r="W36" s="28" t="str">
        <x:v>соль, ваниль или карамель</x:v>
      </x:c>
      <x:c r="X36" s="28" t="str">
        <x:v>пралине, паста, выпечка, гарнир, соус, молочный или коктейльный компонент с спаржа</x:v>
      </x:c>
      <x:c r="Y36" s="28" t="str">
        <x:v>еда, десерты, соусы/маринады</x:v>
      </x:c>
      <x:c r="Z36" s="28" t="str">
        <x:v>Средняя</x:v>
      </x:c>
      <x:c r="AA36" s="28" t="str">
        <x:v>Тезариус вкусов (Ники Сегнит)(1).pdf</x:v>
      </x:c>
      <x:c r="AB36" s="28" t="str">
        <x:v>Тезариус вкусов (Ники Сегнит)(1).pdf: 56, 345</x:v>
      </x:c>
      <x:c r="AC36" s="28" t="str">
        <x:v>Пара встречается как thesaurus; научное объяснение сформировано по ароматическому профилю и пищевой матрице.</x:v>
      </x:c>
      <x:c r="AD36" s="28" t="n">
        <x:v>1</x:v>
      </x:c>
      <x:c r="AE36" s="28" t="n">
        <x:v>2</x:v>
      </x:c>
      <x:c r="AF36" s="28" t="n">
        <x:f>IF(Z36="Высокая",3,IF(Z36="Средняя",2,1))+AD36*2+MIN(AE36,3)</x:f>
        <x:v>6</x:v>
      </x:c>
    </x:row>
    <x:row r="37" ht="62" customHeight="1">
      <x:c r="A37" s="28" t="str">
        <x:v>NCT-0036</x:v>
      </x:c>
      <x:c r="B37" s="28" t="str">
        <x:v>арахис</x:v>
      </x:c>
      <x:c r="C37" s="28" t="str">
        <x:v>Еда и соусы</x:v>
      </x:c>
      <x:c r="D37" s="28" t="str">
        <x:v>арахис</x:v>
      </x:c>
      <x:c r="E37" s="28" t="str">
        <x:v>Арахис | арахис</x:v>
      </x:c>
      <x:c r="F37" s="28" t="str">
        <x:v>Орехи и семена</x:v>
      </x:c>
      <x:c r="G37" s="28" t="str">
        <x:v>томаты</x:v>
      </x:c>
      <x:c r="H37" s="28" t="str">
        <x:v>Томаты | томаты</x:v>
      </x:c>
      <x:c r="I37" s="28" t="str">
        <x:v>Овощи, бобовые и грибы</x:v>
      </x:c>
      <x:c r="J37" s="28" t="str">
        <x:v>бобовый и зелёный в сыром виде; жареный, ореховый и какаоподобный после обжарки</x:v>
      </x:c>
      <x:c r="K37" s="28" t="str">
        <x:v>зелёный, умами, фруктовый</x:v>
      </x:c>
      <x:c r="L37" s="28" t="str">
        <x:v>пиразины, фураны, 2-ацетил-1-пирролин, альдегиды</x:v>
      </x:c>
      <x:c r="M37" s="28" t="str">
        <x:v>гексаналь, ионoны</x:v>
      </x:c>
      <x:c r="N37" s="28" t="str">
        <x:v>прямое пересечение семейств не является единственным объяснением</x:v>
      </x:c>
      <x:c r="O37" s="28" t="str">
        <x:v>надежная общая ключевая молекула не подтверждена</x:v>
      </x:c>
      <x:c r="P37" s="28" t="str">
        <x:v>сенсорная комплементарность</x:v>
      </x:c>
      <x:c r="Q3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7" s="28" t="str">
        <x:v>минимальный</x:v>
      </x:c>
      <x:c r="S37" s="28" t="str">
        <x:v>жирно-белковая пастообразная матрица; хорошо удерживает жареную ароматику</x:v>
      </x:c>
      <x:c r="T37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37" s="28" t="str">
        <x:v>Арахис имеет профиль «бобовый и зелёный в сыром виде; жареный, ореховый и какаоподобный после обжарки». Партнёр «томаты» относится к группе «Овощи, бобовые и грибы» и даёт зелёный, умами, фруктовый.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7" s="28" t="str">
        <x:v>сильный аллерген; риск прогоркания и загрязнения плесенью при плохом хранении</x:v>
      </x:c>
      <x:c r="W37" s="28" t="str">
        <x:v>соль, ваниль или карамель</x:v>
      </x:c>
      <x:c r="X37" s="28" t="str">
        <x:v>пралине, паста, выпечка, гарнир, соус, молочный или коктейльный компонент с томаты</x:v>
      </x:c>
      <x:c r="Y37" s="28" t="str">
        <x:v>еда, десерты, соусы/маринады</x:v>
      </x:c>
      <x:c r="Z37" s="28" t="str">
        <x:v>Средняя</x:v>
      </x:c>
      <x:c r="AA37" s="28" t="str">
        <x:v>Тезариус вкусов (Ники Сегнит)(1).pdf</x:v>
      </x:c>
      <x:c r="AB37" s="28" t="str">
        <x:v>Тезариус вкусов (Ники Сегнит)(1).pdf: 56, 680</x:v>
      </x:c>
      <x:c r="AC37" s="28" t="str">
        <x:v>Пара встречается как thesaurus; научное объяснение сформировано по ароматическому профилю и пищевой матрице.</x:v>
      </x:c>
      <x:c r="AD37" s="28" t="n">
        <x:v>1</x:v>
      </x:c>
      <x:c r="AE37" s="28" t="n">
        <x:v>2</x:v>
      </x:c>
      <x:c r="AF37" s="28" t="n">
        <x:f>IF(Z37="Высокая",3,IF(Z37="Средняя",2,1))+AD37*2+MIN(AE37,3)</x:f>
        <x:v>6</x:v>
      </x:c>
    </x:row>
    <x:row r="38" ht="62" customHeight="1">
      <x:c r="A38" s="28" t="str">
        <x:v>NCT-0037</x:v>
      </x:c>
      <x:c r="B38" s="28" t="str">
        <x:v>арахис</x:v>
      </x:c>
      <x:c r="C38" s="28" t="str">
        <x:v>Универсальные</x:v>
      </x:c>
      <x:c r="D38" s="28" t="str">
        <x:v>арахис</x:v>
      </x:c>
      <x:c r="E38" s="28" t="str">
        <x:v>Арахис | арахис</x:v>
      </x:c>
      <x:c r="F38" s="28" t="str">
        <x:v>Орехи и семена</x:v>
      </x:c>
      <x:c r="G38" s="28" t="str">
        <x:v>цыпленок</x:v>
      </x:c>
      <x:c r="H38" s="28" t="str">
        <x:v>Цыпленок | цыпленок</x:v>
      </x:c>
      <x:c r="I38" s="28" t="str">
        <x:v>Прочее</x:v>
      </x:c>
      <x:c r="J38" s="28" t="str">
        <x:v>бобовый и зелёный в сыром виде; жареный, ореховый и какаоподобный после обжарки</x:v>
      </x:c>
      <x:c r="K38" s="28" t="str">
        <x:v>профиль зависит от конкретного продукта</x:v>
      </x:c>
      <x:c r="L38" s="28" t="str">
        <x:v>пиразины, фураны, 2-ацетил-1-пирролин, альдегиды</x:v>
      </x:c>
      <x:c r="M38" s="28" t="str">
        <x:v>характерный профиль зависит от конкретного продукта</x:v>
      </x:c>
      <x:c r="N38" s="28" t="str">
        <x:v>прямое пересечение семейств не является единственным объяснением</x:v>
      </x:c>
      <x:c r="O38" s="28" t="str">
        <x:v>надежная общая ключевая молекула не подтверждена</x:v>
      </x:c>
      <x:c r="P38" s="28" t="str">
        <x:v>сенсорная комплементарность</x:v>
      </x:c>
      <x:c r="Q3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8" s="28" t="str">
        <x:v>минимальный</x:v>
      </x:c>
      <x:c r="S38" s="28" t="str">
        <x:v>жирно-белковая пастообразная матрица; хорошо удерживает жареную ароматику</x:v>
      </x:c>
      <x:c r="T38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38" s="28" t="str">
        <x:v>Арахис имеет профиль «бобовый и зелёный в сыром виде; жареный, ореховый и какаоподобный после обжарки». Партнёр «цыпленок»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8" s="28" t="str">
        <x:v>сильный аллерген; риск прогоркания и загрязнения плесенью при плохом хранении</x:v>
      </x:c>
      <x:c r="W38" s="28" t="str">
        <x:v>соль, ваниль или карамель</x:v>
      </x:c>
      <x:c r="X38" s="28" t="str">
        <x:v>пралине, паста, выпечка, гарнир, соус, молочный или коктейльный компонент с цыпленок</x:v>
      </x:c>
      <x:c r="Y38" s="28" t="str">
        <x:v>десерты</x:v>
      </x:c>
      <x:c r="Z38" s="28" t="str">
        <x:v>Средняя</x:v>
      </x:c>
      <x:c r="AA38" s="28" t="str">
        <x:v>Тезариус вкусов (Ники Сегнит)(1).pdf</x:v>
      </x:c>
      <x:c r="AB38" s="28" t="str">
        <x:v>Тезариус вкусов (Ники Сегнит)(1).pdf: 57, 63</x:v>
      </x:c>
      <x:c r="AC38" s="28" t="str">
        <x:v>Пара встречается как thesaurus; научное объяснение сформировано по ароматическому профилю и пищевой матрице.</x:v>
      </x:c>
      <x:c r="AD38" s="28" t="n">
        <x:v>1</x:v>
      </x:c>
      <x:c r="AE38" s="28" t="n">
        <x:v>2</x:v>
      </x:c>
      <x:c r="AF38" s="28" t="n">
        <x:f>IF(Z38="Высокая",3,IF(Z38="Средняя",2,1))+AD38*2+MIN(AE38,3)</x:f>
        <x:v>6</x:v>
      </x:c>
    </x:row>
    <x:row r="39" ht="62" customHeight="1">
      <x:c r="A39" s="28" t="str">
        <x:v>NCT-0038</x:v>
      </x:c>
      <x:c r="B39" s="28" t="str">
        <x:v>арахис</x:v>
      </x:c>
      <x:c r="C39" s="28" t="str">
        <x:v>Универсальные</x:v>
      </x:c>
      <x:c r="D39" s="28" t="str">
        <x:v>арахис</x:v>
      </x:c>
      <x:c r="E39" s="28" t="str">
        <x:v>Арахис | арахис | арахис)</x:v>
      </x:c>
      <x:c r="F39" s="28" t="str">
        <x:v>Орехи и семена</x:v>
      </x:c>
      <x:c r="G39" s="28" t="str">
        <x:v>черная смородина</x:v>
      </x:c>
      <x:c r="H39" s="28" t="str">
        <x:v>Черная смородина | черная смородина</x:v>
      </x:c>
      <x:c r="I39" s="28" t="str">
        <x:v>Прочее</x:v>
      </x:c>
      <x:c r="J39" s="28" t="str">
        <x:v>бобовый и зелёный в сыром виде; жареный, ореховый и какаоподобный после обжарки</x:v>
      </x:c>
      <x:c r="K39" s="28" t="str">
        <x:v>профиль зависит от конкретного продукта</x:v>
      </x:c>
      <x:c r="L39" s="28" t="str">
        <x:v>пиразины, фураны, 2-ацетил-1-пирролин, альдегиды</x:v>
      </x:c>
      <x:c r="M39" s="28" t="str">
        <x:v>характерный профиль зависит от конкретного продукта</x:v>
      </x:c>
      <x:c r="N39" s="28" t="str">
        <x:v>прямое пересечение семейств не является единственным объяснением</x:v>
      </x:c>
      <x:c r="O39" s="28" t="str">
        <x:v>надежная общая ключевая молекула не подтверждена</x:v>
      </x:c>
      <x:c r="P39" s="28" t="str">
        <x:v>сенсорная комплементарность</x:v>
      </x:c>
      <x:c r="Q3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9" s="28" t="str">
        <x:v>минимальный</x:v>
      </x:c>
      <x:c r="S39" s="28" t="str">
        <x:v>жирно-белковая пастообразная матрица; хорошо удерживает жареную ароматику</x:v>
      </x:c>
      <x:c r="T39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39" s="28" t="str">
        <x:v>Арахис имеет профиль «бобовый и зелёный в сыром виде; жареный, ореховый и какаоподобный после обжарки». Партнёр «черная смородина»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9" s="28" t="str">
        <x:v>сильный аллерген; риск прогоркания и загрязнения плесенью при плохом хранении</x:v>
      </x:c>
      <x:c r="W39" s="28" t="str">
        <x:v>соль, ваниль или карамель</x:v>
      </x:c>
      <x:c r="X39" s="28" t="str">
        <x:v>пралине, паста, выпечка, гарнир, соус, молочный или коктейльный компонент с черная смородина</x:v>
      </x:c>
      <x:c r="Y39" s="28" t="str">
        <x:v>десерты</x:v>
      </x:c>
      <x:c r="Z39" s="28" t="str">
        <x:v>Средняя</x:v>
      </x:c>
      <x:c r="AA39" s="28" t="str">
        <x:v>Тезариус вкусов (Ники Сегнит)(1).pdf</x:v>
      </x:c>
      <x:c r="AB39" s="28" t="str">
        <x:v>Тезариус вкусов (Ники Сегнит)(1).pdf: 59, 665, 875</x:v>
      </x:c>
      <x:c r="AC39" s="28" t="str">
        <x:v>Пара встречается как thesaurus; научное объяснение сформировано по ароматическому профилю и пищевой матрице.</x:v>
      </x:c>
      <x:c r="AD39" s="28" t="n">
        <x:v>1</x:v>
      </x:c>
      <x:c r="AE39" s="28" t="n">
        <x:v>3</x:v>
      </x:c>
      <x:c r="AF39" s="28" t="n">
        <x:f>IF(Z39="Высокая",3,IF(Z39="Средняя",2,1))+AD39*2+MIN(AE39,3)</x:f>
        <x:v>7</x:v>
      </x:c>
    </x:row>
    <x:row r="40" ht="62" customHeight="1">
      <x:c r="A40" s="28" t="str">
        <x:v>NCT-0039</x:v>
      </x:c>
      <x:c r="B40" s="28" t="str">
        <x:v>арахис</x:v>
      </x:c>
      <x:c r="C40" s="28" t="str">
        <x:v>Универсальные</x:v>
      </x:c>
      <x:c r="D40" s="28" t="str">
        <x:v>арахис</x:v>
      </x:c>
      <x:c r="E40" s="28" t="str">
        <x:v>Арахис | арахис</x:v>
      </x:c>
      <x:c r="F40" s="28" t="str">
        <x:v>Орехи и семена</x:v>
      </x:c>
      <x:c r="G40" s="28" t="str">
        <x:v>чили</x:v>
      </x:c>
      <x:c r="H40" s="28" t="str">
        <x:v>Чили | чили</x:v>
      </x:c>
      <x:c r="I40" s="28" t="str">
        <x:v>Специи</x:v>
      </x:c>
      <x:c r="J40" s="28" t="str">
        <x:v>бобовый и зелёный в сыром виде; жареный, ореховый и какаоподобный после обжарки</x:v>
      </x:c>
      <x:c r="K40" s="28" t="str">
        <x:v>пряный и древесный</x:v>
      </x:c>
      <x:c r="L40" s="28" t="str">
        <x:v>пиразины, фураны, 2-ацетил-1-пирролин, альдегиды</x:v>
      </x:c>
      <x:c r="M40" s="28" t="str">
        <x:v>терпены, фенилпропаноиды</x:v>
      </x:c>
      <x:c r="N40" s="28" t="str">
        <x:v>прямое пересечение семейств не является единственным объяснением</x:v>
      </x:c>
      <x:c r="O40" s="28" t="str">
        <x:v>надежная общая ключевая молекула не подтверждена</x:v>
      </x:c>
      <x:c r="P40" s="28" t="str">
        <x:v>сенсорная комплементарность</x:v>
      </x:c>
      <x:c r="Q4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0" s="28" t="str">
        <x:v>минимальный; у острого партнёра тройничный эффект может доминировать</x:v>
      </x:c>
      <x:c r="S40" s="28" t="str">
        <x:v>жирно-белковая пастообразная матрица; хорошо удерживает жареную ароматику</x:v>
      </x:c>
      <x:c r="T40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40" s="28" t="str">
        <x:v>Арахис имеет профиль «бобовый и зелёный в сыром виде; жареный, ореховый и какаоподобный после обжарки». Партнёр «чили»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0" s="28" t="str">
        <x:v>сильный аллерген; риск прогоркания и загрязнения плесенью при плохом хранении</x:v>
      </x:c>
      <x:c r="W40" s="28" t="str">
        <x:v>ваниль, апельсин или мёд</x:v>
      </x:c>
      <x:c r="X40" s="28" t="str">
        <x:v>пралине, паста, выпечка, гарнир, соус, молочный или коктейльный компонент с чили</x:v>
      </x:c>
      <x:c r="Y40" s="28" t="str">
        <x:v>десерты</x:v>
      </x:c>
      <x:c r="Z40" s="28" t="str">
        <x:v>Средняя</x:v>
      </x:c>
      <x:c r="AA40" s="28" t="str">
        <x:v>Тезариус вкусов (Ники Сегнит)(1).pdf</x:v>
      </x:c>
      <x:c r="AB40" s="28" t="str">
        <x:v>Тезариус вкусов (Ники Сегнит)(1).pdf: 59, 551</x:v>
      </x:c>
      <x:c r="AC40" s="28" t="str">
        <x:v>Пара встречается как thesaurus; научное объяснение сформировано по ароматическому профилю и пищевой матрице.</x:v>
      </x:c>
      <x:c r="AD40" s="28" t="n">
        <x:v>1</x:v>
      </x:c>
      <x:c r="AE40" s="28" t="n">
        <x:v>2</x:v>
      </x:c>
      <x:c r="AF40" s="28" t="n">
        <x:f>IF(Z40="Высокая",3,IF(Z40="Средняя",2,1))+AD40*2+MIN(AE40,3)</x:f>
        <x:v>6</x:v>
      </x:c>
    </x:row>
    <x:row r="41" ht="62" customHeight="1">
      <x:c r="A41" s="28" t="str">
        <x:v>NCT-0040</x:v>
      </x:c>
      <x:c r="B41" s="28" t="str">
        <x:v>арахис</x:v>
      </x:c>
      <x:c r="C41" s="28" t="str">
        <x:v>Десерты и выпечка</x:v>
      </x:c>
      <x:c r="D41" s="28" t="str">
        <x:v>арахис</x:v>
      </x:c>
      <x:c r="E41" s="28" t="str">
        <x:v>peanut | Арахис | арахис</x:v>
      </x:c>
      <x:c r="F41" s="28" t="str">
        <x:v>Орехи и семена</x:v>
      </x:c>
      <x:c r="G41" s="28" t="str">
        <x:v>шоколад</x:v>
      </x:c>
      <x:c r="H41" s="28" t="str">
        <x:v>chocolate | Шоколад | шоколад</x:v>
      </x:c>
      <x:c r="I41" s="28" t="str">
        <x:v>Какао и шоколад</x:v>
      </x:c>
      <x:c r="J41" s="28" t="str">
        <x:v>бобовый и зелёный в сыром виде; жареный, ореховый и какаоподобный после обжарки</x:v>
      </x:c>
      <x:c r="K41" s="28" t="str">
        <x:v>жареный, какаовый, фруктовый, цветочный, древесный и пряный; профиль зависит от происхождения и обжарки</x:v>
      </x:c>
      <x:c r="L41" s="28" t="str">
        <x:v>пиразины, фураны, 2-ацетил-1-пирролин, альдегиды</x:v>
      </x:c>
      <x:c r="M41" s="28" t="str">
        <x:v>альдегиды, пиразины, теобромин, фураны, эфиры</x:v>
      </x:c>
      <x:c r="N41" s="28" t="str">
        <x:v>жареный</x:v>
      </x:c>
      <x:c r="O41" s="28" t="str">
        <x:v>альдегиды, пиразины, фураны</x:v>
      </x:c>
      <x:c r="P41" s="28" t="str">
        <x:v>общие ароматические соединения, пересечение ароматических семейств, жареная химия и реакции Майяра</x:v>
      </x:c>
      <x:c r="Q4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1" s="28" t="str">
        <x:v>минимальный</x:v>
      </x:c>
      <x:c r="S41" s="28" t="str">
        <x:v>жирно-белковая пастообразная матрица; хорошо удерживает жареную ароматику</x:v>
      </x:c>
      <x:c r="T41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41" s="28" t="str">
        <x:v>Арахис имеет профиль «бобовый и зелёный в сыром виде; жареный, ореховый и какаоподобный после обжарки».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альдегиды, пиразины, фураны.</x:v>
      </x:c>
      <x:c r="V41" s="28" t="str">
        <x:v>сильный аллерген; риск прогоркания и загрязнения плесенью при плохом хранении</x:v>
      </x:c>
      <x:c r="W41" s="28" t="str">
        <x:v>соль, ваниль или карамель</x:v>
      </x:c>
      <x:c r="X41" s="28" t="str">
        <x:v>пралине, паста, выпечка, гарнир, соус, молочный или коктейльный компонент с шоколад</x:v>
      </x:c>
      <x:c r="Y41" s="28" t="str">
        <x:v>десерты</x:v>
      </x:c>
      <x:c r="Z41" s="28" t="str">
        <x:v>Высокая</x:v>
      </x:c>
      <x:c r="AA41" s="28" t="str">
        <x:v>The Art &amp; Science of Foodpairing.pdf | Таблица сочетания(1).pdf | Тезариус вкусов (Ники Сегнит)(1).pdf</x:v>
      </x:c>
      <x:c r="AB41" s="28" t="str">
        <x:v>The Art &amp; Science of Foodpairing.pdf: 62; Таблица сочетания(1).pdf: 15; Тезариус вкусов (Ники Сегнит)(1).pdf: 26, 59</x:v>
      </x:c>
      <x:c r="AC41" s="28" t="str">
        <x:v>Пара встречается как classic, grid, table, thesaurus; научное объяснение сформировано по ароматическому профилю и пищевой матрице.</x:v>
      </x:c>
      <x:c r="AD41" s="28" t="n">
        <x:v>3</x:v>
      </x:c>
      <x:c r="AE41" s="28" t="n">
        <x:v>5</x:v>
      </x:c>
      <x:c r="AF41" s="28" t="n">
        <x:f>IF(Z41="Высокая",3,IF(Z41="Средняя",2,1))+AD41*2+MIN(AE41,3)</x:f>
        <x:v>12</x:v>
      </x:c>
    </x:row>
    <x:row r="42" ht="62" customHeight="1">
      <x:c r="A42" s="28" t="str">
        <x:v>NCT-0041</x:v>
      </x:c>
      <x:c r="B42" s="28" t="str">
        <x:v>арахис</x:v>
      </x:c>
      <x:c r="C42" s="28" t="str">
        <x:v>Десерты и выпечка</x:v>
      </x:c>
      <x:c r="D42" s="28" t="str">
        <x:v>арахис</x:v>
      </x:c>
      <x:c r="E42" s="28" t="str">
        <x:v>Арахис | арахис</x:v>
      </x:c>
      <x:c r="F42" s="28" t="str">
        <x:v>Орехи и семена</x:v>
      </x:c>
      <x:c r="G42" s="28" t="str">
        <x:v>яблоко</x:v>
      </x:c>
      <x:c r="H42" s="28" t="str">
        <x:v>Яблоко | яблоко</x:v>
      </x:c>
      <x:c r="I42" s="28" t="str">
        <x:v>Фрукты и ягоды</x:v>
      </x:c>
      <x:c r="J42" s="28" t="str">
        <x:v>бобовый и зелёный в сыром виде; жареный, ореховый и какаоподобный после обжарки</x:v>
      </x:c>
      <x:c r="K42" s="28" t="str">
        <x:v>фруктовый, цветочный и свежий</x:v>
      </x:c>
      <x:c r="L42" s="28" t="str">
        <x:v>пиразины, фураны, 2-ацетил-1-пирролин, альдегиды</x:v>
      </x:c>
      <x:c r="M42" s="28" t="str">
        <x:v>альдегиды, эфиры</x:v>
      </x:c>
      <x:c r="N42" s="28" t="str">
        <x:v>прямое пересечение семейств не является единственным объяснением</x:v>
      </x:c>
      <x:c r="O42" s="28" t="str">
        <x:v>альдегиды</x:v>
      </x:c>
      <x:c r="P42" s="28" t="str">
        <x:v>общие ароматические соединения, контраст кислоты и жирной/горькой матрицы</x:v>
      </x:c>
      <x:c r="Q4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2" s="28" t="str">
        <x:v>минимальный</x:v>
      </x:c>
      <x:c r="S42" s="28" t="str">
        <x:v>жирно-белковая пастообразная матрица; хорошо удерживает жареную ароматику Водная фруктовая фаза требует эмульсии или мелкого измельчения, если орех или шоколад вводится как паста.</x:v>
      </x:c>
      <x:c r="T4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U42" s="28" t="str">
        <x:v>Арахис имеет профиль «бобовый и зелёный в сыром виде; жареный, ореховый и какаоподобный после обжарки». Партнёр «яблоко»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2" s="28" t="str">
        <x:v>сильный аллерген; риск прогоркания и загрязнения плесенью при плохом хранении; избыток кислоты может сделать чай или кофе резкими и разрушить молочную эмульсию</x:v>
      </x:c>
      <x:c r="W42" s="28" t="str">
        <x:v>ваниль, цитрус или молочный жир</x:v>
      </x:c>
      <x:c r="X42" s="28" t="str">
        <x:v>пралине, паста, выпечка, гарнир, соус, молочный или коктейльный компонент с яблоко</x:v>
      </x:c>
      <x:c r="Y42" s="28" t="str">
        <x:v>десерты</x:v>
      </x:c>
      <x:c r="Z42" s="28" t="str">
        <x:v>Средняя</x:v>
      </x:c>
      <x:c r="AA42" s="28" t="str">
        <x:v>Тезариус вкусов (Ники Сегнит)(1).pdf</x:v>
      </x:c>
      <x:c r="AB42" s="28" t="str">
        <x:v>Тезариус вкусов (Ники Сегнит)(1).pdf: 59, 710</x:v>
      </x:c>
      <x:c r="AC42" s="28" t="str">
        <x:v>Пара встречается как thesaurus; научное объяснение сформировано по ароматическому профилю и пищевой матрице.</x:v>
      </x:c>
      <x:c r="AD42" s="28" t="n">
        <x:v>1</x:v>
      </x:c>
      <x:c r="AE42" s="28" t="n">
        <x:v>2</x:v>
      </x:c>
      <x:c r="AF42" s="28" t="n">
        <x:f>IF(Z42="Высокая",3,IF(Z42="Средняя",2,1))+AD42*2+MIN(AE42,3)</x:f>
        <x:v>6</x:v>
      </x:c>
    </x:row>
    <x:row r="43" ht="62" customHeight="1">
      <x:c r="A43" s="28" t="str">
        <x:v>NCT-0042</x:v>
      </x:c>
      <x:c r="B43" s="28" t="str">
        <x:v>белый шоколад</x:v>
      </x:c>
      <x:c r="C43" s="28" t="str">
        <x:v>Еда и соусы</x:v>
      </x:c>
      <x:c r="D43" s="28" t="str">
        <x:v>белый шоколад</x:v>
      </x:c>
      <x:c r="E43" s="28" t="str">
        <x:v>white chocolate</x:v>
      </x:c>
      <x:c r="F43" s="28" t="str">
        <x:v>Какао и шоколад</x:v>
      </x:c>
      <x:c r="G43" s="28" t="str">
        <x:v>baechu kimchi</x:v>
      </x:c>
      <x:c r="H43" s="28" t="str">
        <x:v>baechu kimchi</x:v>
      </x:c>
      <x:c r="I43" s="28" t="str">
        <x:v>Ферментированные продукты и соусы</x:v>
      </x:c>
      <x:c r="J43" s="28" t="str">
        <x:v>сливочный, ванильный, карамельный и маслянистый без выраженного какаового жареного профиля</x:v>
      </x:c>
      <x:c r="K43" s="28" t="str">
        <x:v>ферментированный, умами и сложный</x:v>
      </x:c>
      <x:c r="L43" s="28" t="str">
        <x:v>ванилин, лактоны, диацетил, молочные альдегиды</x:v>
      </x:c>
      <x:c r="M43" s="28" t="str">
        <x:v>пиразины, фураны, эфиры</x:v>
      </x:c>
      <x:c r="N43" s="28" t="str">
        <x:v>прямое пересечение семейств не является единственным объяснением</x:v>
      </x:c>
      <x:c r="O43" s="28" t="str">
        <x:v>надежная общая ключевая молекула не подтверждена</x:v>
      </x:c>
      <x:c r="P43" s="28" t="str">
        <x:v>солёно-умами контраст</x:v>
      </x:c>
      <x:c r="Q43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43" s="28" t="str">
        <x:v>минимальный</x:v>
      </x:c>
      <x:c r="S43" s="28" t="str">
        <x:v>какао-масло, сахар и молочные компоненты; сильный липофильный носитель</x:v>
      </x:c>
      <x:c r="T43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43" s="28" t="str">
        <x:v>Белый шоколад имеет профиль «сливочный, ванильный, карамельный и маслянистый без выраженного какаового жареного профиля». Партнёр «baechu kimchi» относится к группе «Ферментированные продукты и соусы» и даёт ферментированный, умами и сложный.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43" s="28" t="str">
        <x:v>легко становится приторным и восковым; требует точной температуры темперирования</x:v>
      </x:c>
      <x:c r="W43" s="28" t="str">
        <x:v>карамелизированный лук, грибы или сливочное масло</x:v>
      </x:c>
      <x:c r="X43" s="28" t="str">
        <x:v>ганаш, плитка, крем, мусс, напиток, глазурь или соус с baechu kimchi</x:v>
      </x:c>
      <x:c r="Y43" s="28" t="str">
        <x:v>еда, десерты, соусы/маринады</x:v>
      </x:c>
      <x:c r="Z43" s="28" t="str">
        <x:v>Средняя</x:v>
      </x:c>
      <x:c r="AA43" s="28" t="str">
        <x:v>The Art &amp; Science of Foodpairing.pdf</x:v>
      </x:c>
      <x:c r="AB43" s="28" t="str">
        <x:v>The Art &amp; Science of Foodpairing.pdf: 305</x:v>
      </x:c>
      <x:c r="AC43" s="28" t="str">
        <x:v>Пара встречается как grid; научное объяснение сформировано по ароматическому профилю и пищевой матрице.</x:v>
      </x:c>
      <x:c r="AD43" s="28" t="n">
        <x:v>1</x:v>
      </x:c>
      <x:c r="AE43" s="28" t="n">
        <x:v>1</x:v>
      </x:c>
      <x:c r="AF43" s="28" t="n">
        <x:f>IF(Z43="Высокая",3,IF(Z43="Средняя",2,1))+AD43*2+MIN(AE43,3)</x:f>
        <x:v>5</x:v>
      </x:c>
    </x:row>
    <x:row r="44" ht="62" customHeight="1">
      <x:c r="A44" s="28" t="str">
        <x:v>NCT-0043</x:v>
      </x:c>
      <x:c r="B44" s="28" t="str">
        <x:v>белый шоколад</x:v>
      </x:c>
      <x:c r="C44" s="28" t="str">
        <x:v>Еда и соусы</x:v>
      </x:c>
      <x:c r="D44" s="28" t="str">
        <x:v>белый шоколад</x:v>
      </x:c>
      <x:c r="E44" s="28" t="str">
        <x:v>white chocolate</x:v>
      </x:c>
      <x:c r="F44" s="28" t="str">
        <x:v>Какао и шоколад</x:v>
      </x:c>
      <x:c r="G44" s="28" t="str">
        <x:v>balsamic vinegar</x:v>
      </x:c>
      <x:c r="H44" s="28" t="str">
        <x:v>balsamic vinegar</x:v>
      </x:c>
      <x:c r="I44" s="28" t="str">
        <x:v>Ферментированные продукты и соусы</x:v>
      </x:c>
      <x:c r="J44" s="28" t="str">
        <x:v>сливочный, ванильный, карамельный и маслянистый без выраженного какаового жареного профиля</x:v>
      </x:c>
      <x:c r="K44" s="28" t="str">
        <x:v>ферментированный, умами и сложный</x:v>
      </x:c>
      <x:c r="L44" s="28" t="str">
        <x:v>ванилин, лактоны, диацетил, молочные альдегиды</x:v>
      </x:c>
      <x:c r="M44" s="28" t="str">
        <x:v>пиразины, фураны, эфиры</x:v>
      </x:c>
      <x:c r="N44" s="28" t="str">
        <x:v>прямое пересечение семейств не является единственным объяснением</x:v>
      </x:c>
      <x:c r="O44" s="28" t="str">
        <x:v>надежная общая ключевая молекула не подтверждена</x:v>
      </x:c>
      <x:c r="P44" s="28" t="str">
        <x:v>солёно-умами контраст</x:v>
      </x:c>
      <x:c r="Q44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44" s="28" t="str">
        <x:v>минимальный</x:v>
      </x:c>
      <x:c r="S44" s="28" t="str">
        <x:v>какао-масло, сахар и молочные компоненты; сильный липофильный носитель</x:v>
      </x:c>
      <x:c r="T44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44" s="28" t="str">
        <x:v>Белый шоколад имеет профиль «сливочный, ванильный, карамельный и маслянистый без выраженного какаового жареного профиля». Партнёр «balsamic vinegar» относится к группе «Ферментированные продукты и соусы» и даёт ферментированный, умами и сложный.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44" s="28" t="str">
        <x:v>легко становится приторным и восковым; требует точной температуры темперирования</x:v>
      </x:c>
      <x:c r="W44" s="28" t="str">
        <x:v>карамелизированный лук, грибы или сливочное масло</x:v>
      </x:c>
      <x:c r="X44" s="28" t="str">
        <x:v>ганаш, плитка, крем, мусс, напиток, глазурь или соус с balsamic vinegar</x:v>
      </x:c>
      <x:c r="Y44" s="28" t="str">
        <x:v>еда, десерты, соусы/маринады</x:v>
      </x:c>
      <x:c r="Z44" s="28" t="str">
        <x:v>Средняя</x:v>
      </x:c>
      <x:c r="AA44" s="28" t="str">
        <x:v>The Art &amp; Science of Foodpairing.pdf</x:v>
      </x:c>
      <x:c r="AB44" s="28" t="str">
        <x:v>The Art &amp; Science of Foodpairing.pdf: 316</x:v>
      </x:c>
      <x:c r="AC44" s="28" t="str">
        <x:v>Пара встречается как grid; научное объяснение сформировано по ароматическому профилю и пищевой матрице.</x:v>
      </x:c>
      <x:c r="AD44" s="28" t="n">
        <x:v>1</x:v>
      </x:c>
      <x:c r="AE44" s="28" t="n">
        <x:v>1</x:v>
      </x:c>
      <x:c r="AF44" s="28" t="n">
        <x:f>IF(Z44="Высокая",3,IF(Z44="Средняя",2,1))+AD44*2+MIN(AE44,3)</x:f>
        <x:v>5</x:v>
      </x:c>
    </x:row>
    <x:row r="45" ht="62" customHeight="1">
      <x:c r="A45" s="28" t="str">
        <x:v>NCT-0044</x:v>
      </x:c>
      <x:c r="B45" s="28" t="str">
        <x:v>белый шоколад</x:v>
      </x:c>
      <x:c r="C45" s="28" t="str">
        <x:v>Универсальные</x:v>
      </x:c>
      <x:c r="D45" s="28" t="str">
        <x:v>белый шоколад</x:v>
      </x:c>
      <x:c r="E45" s="28" t="str">
        <x:v>blond chocolate</x:v>
      </x:c>
      <x:c r="F45" s="28" t="str">
        <x:v>Какао и шоколад</x:v>
      </x:c>
      <x:c r="G45" s="28" t="str">
        <x:v>blue cheese</x:v>
      </x:c>
      <x:c r="H45" s="28" t="str">
        <x:v>blue cheese</x:v>
      </x:c>
      <x:c r="I45" s="28" t="str">
        <x:v>Молочные продукты и сыры</x:v>
      </x:c>
      <x:c r="J45" s="28" t="str">
        <x:v>сливочный, ванильный, карамельный и маслянистый без выраженного какаового жареного профиля</x:v>
      </x:c>
      <x:c r="K45" s="28" t="str">
        <x:v>молочный, сливочный и ферментированный</x:v>
      </x:c>
      <x:c r="L45" s="28" t="str">
        <x:v>ванилин, лактоны, диацетил, молочные альдегиды</x:v>
      </x:c>
      <x:c r="M45" s="28" t="str">
        <x:v>диацетил, жирные кислоты, лактоны</x:v>
      </x:c>
      <x:c r="N45" s="28" t="str">
        <x:v>сливочный</x:v>
      </x:c>
      <x:c r="O45" s="28" t="str">
        <x:v>диацетил, лактоны</x:v>
      </x:c>
      <x:c r="P45" s="28" t="str">
        <x:v>общие ароматические соединения, пересечение ароматических семейств, жировая экстракция и связывание полифенолов белком</x:v>
      </x:c>
      <x:c r="Q45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45" s="28" t="str">
        <x:v>минимальный</x:v>
      </x:c>
      <x:c r="S45" s="28" t="str">
        <x:v>какао-масло, сахар и молочные компоненты; сильный липофильный носитель Совпадающие жирные фазы облегчают перенос аромата, но могут сделать продукт тяжёлым.</x:v>
      </x:c>
      <x:c r="T45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45" s="28" t="str">
        <x:v>Белый шоколад имеет профиль «сливочный, ванильный, карамельный и маслянистый без выраженного какаового жареного профиля». Партнёр «blue cheese» относится к группе «Молочные продукты и сыры» и даёт молочный, сливочный и ферментированный. Молекулярный мост создают диацетил, лактоны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сливочный; диацетил, лактоны.</x:v>
      </x:c>
      <x:c r="V45" s="28" t="str">
        <x:v>легко становится приторным и восковым; требует точной температуры темперирования; жир способен приглушить тонкую ароматику; белок связывает полифенолы</x:v>
      </x:c>
      <x:c r="W45" s="28" t="str">
        <x:v>мёд, карамель или фруктовая кислота</x:v>
      </x:c>
      <x:c r="X45" s="28" t="str">
        <x:v>ганаш, плитка, крем, мусс, напиток, глазурь или соус с blue cheese</x:v>
      </x:c>
      <x:c r="Y45" s="28" t="str">
        <x:v>десерты</x:v>
      </x:c>
      <x:c r="Z45" s="28" t="str">
        <x:v>Средняя</x:v>
      </x:c>
      <x:c r="AA45" s="28" t="str">
        <x:v>The Art &amp; Science of Foodpairing.pdf</x:v>
      </x:c>
      <x:c r="AB45" s="28" t="str">
        <x:v>The Art &amp; Science of Foodpairing.pdf: 164</x:v>
      </x:c>
      <x:c r="AC45" s="28" t="str">
        <x:v>Пара встречается как grid; научное объяснение сформировано по ароматическому профилю и пищевой матрице.</x:v>
      </x:c>
      <x:c r="AD45" s="28" t="n">
        <x:v>1</x:v>
      </x:c>
      <x:c r="AE45" s="28" t="n">
        <x:v>1</x:v>
      </x:c>
      <x:c r="AF45" s="28" t="n">
        <x:f>IF(Z45="Высокая",3,IF(Z45="Средняя",2,1))+AD45*2+MIN(AE45,3)</x:f>
        <x:v>5</x:v>
      </x:c>
    </x:row>
    <x:row r="46" ht="62" customHeight="1">
      <x:c r="A46" s="28" t="str">
        <x:v>NCT-0045</x:v>
      </x:c>
      <x:c r="B46" s="28" t="str">
        <x:v>белый шоколад</x:v>
      </x:c>
      <x:c r="C46" s="28" t="str">
        <x:v>Универсальные</x:v>
      </x:c>
      <x:c r="D46" s="28" t="str">
        <x:v>белый шоколад</x:v>
      </x:c>
      <x:c r="E46" s="28" t="str">
        <x:v>white chocolate</x:v>
      </x:c>
      <x:c r="F46" s="28" t="str">
        <x:v>Какао и шоколад</x:v>
      </x:c>
      <x:c r="G46" s="28" t="str">
        <x:v>chilli peppers</x:v>
      </x:c>
      <x:c r="H46" s="28" t="str">
        <x:v>chilli peppers</x:v>
      </x:c>
      <x:c r="I46" s="28" t="str">
        <x:v>Специи</x:v>
      </x:c>
      <x:c r="J46" s="28" t="str">
        <x:v>сливочный, ванильный, карамельный и маслянистый без выраженного какаового жареного профиля</x:v>
      </x:c>
      <x:c r="K46" s="28" t="str">
        <x:v>пряный и древесный</x:v>
      </x:c>
      <x:c r="L46" s="28" t="str">
        <x:v>ванилин, лактоны, диацетил, молочные альдегиды</x:v>
      </x:c>
      <x:c r="M46" s="28" t="str">
        <x:v>терпены, фенилпропаноиды</x:v>
      </x:c>
      <x:c r="N46" s="28" t="str">
        <x:v>прямое пересечение семейств не является единственным объяснением</x:v>
      </x:c>
      <x:c r="O46" s="28" t="str">
        <x:v>надежная общая ключевая молекула не подтверждена</x:v>
      </x:c>
      <x:c r="P46" s="28" t="str">
        <x:v>сенсорная комплементарность</x:v>
      </x:c>
      <x:c r="Q46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46" s="28" t="str">
        <x:v>минимальный</x:v>
      </x:c>
      <x:c r="S46" s="28" t="str">
        <x:v>какао-масло, сахар и молочные компоненты; сильный липофильный носитель</x:v>
      </x:c>
      <x:c r="T46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46" s="28" t="str">
        <x:v>Белый шоколад имеет профиль «сливочный, ванильный, карамельный и маслянистый без выраженного какаового жареного профиля». Партнёр «chilli peppers» относится к группе «Специи» и даёт пряный и древесный.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46" s="28" t="str">
        <x:v>легко становится приторным и восковым; требует точной температуры темперирования</x:v>
      </x:c>
      <x:c r="W46" s="28" t="str">
        <x:v>ваниль, апельсин или мёд</x:v>
      </x:c>
      <x:c r="X46" s="28" t="str">
        <x:v>ганаш, плитка, крем, мусс, напиток, глазурь или соус с chilli peppers</x:v>
      </x:c>
      <x:c r="Y46" s="28" t="str">
        <x:v>десерты</x:v>
      </x:c>
      <x:c r="Z46" s="28" t="str">
        <x:v>Средняя</x:v>
      </x:c>
      <x:c r="AA46" s="28" t="str">
        <x:v>The Art &amp; Science of Foodpairing.pdf</x:v>
      </x:c>
      <x:c r="AB46" s="28" t="str">
        <x:v>The Art &amp; Science of Foodpairing.pdf: 94</x:v>
      </x:c>
      <x:c r="AC46" s="28" t="str">
        <x:v>Пара встречается как grid; научное объяснение сформировано по ароматическому профилю и пищевой матрице.</x:v>
      </x:c>
      <x:c r="AD46" s="28" t="n">
        <x:v>1</x:v>
      </x:c>
      <x:c r="AE46" s="28" t="n">
        <x:v>1</x:v>
      </x:c>
      <x:c r="AF46" s="28" t="n">
        <x:f>IF(Z46="Высокая",3,IF(Z46="Средняя",2,1))+AD46*2+MIN(AE46,3)</x:f>
        <x:v>5</x:v>
      </x:c>
    </x:row>
    <x:row r="47" ht="62" customHeight="1">
      <x:c r="A47" s="28" t="str">
        <x:v>NCT-0046</x:v>
      </x:c>
      <x:c r="B47" s="28" t="str">
        <x:v>белый шоколад</x:v>
      </x:c>
      <x:c r="C47" s="28" t="str">
        <x:v>Универсальные</x:v>
      </x:c>
      <x:c r="D47" s="28" t="str">
        <x:v>белый шоколад</x:v>
      </x:c>
      <x:c r="E47" s="28" t="str">
        <x:v>white chocolate</x:v>
      </x:c>
      <x:c r="F47" s="28" t="str">
        <x:v>Какао и шоколад</x:v>
      </x:c>
      <x:c r="G47" s="28" t="str">
        <x:v>sesame seeds, halva and tahini</x:v>
      </x:c>
      <x:c r="H47" s="28" t="str">
        <x:v>sesame seeds, halva and tahini</x:v>
      </x:c>
      <x:c r="I47" s="28" t="str">
        <x:v>Прочее</x:v>
      </x:c>
      <x:c r="J47" s="28" t="str">
        <x:v>сливочный, ванильный, карамельный и маслянистый без выраженного какаового жареного профиля</x:v>
      </x:c>
      <x:c r="K47" s="28" t="str">
        <x:v>профиль зависит от конкретного продукта</x:v>
      </x:c>
      <x:c r="L47" s="28" t="str">
        <x:v>ванилин, лактоны, диацетил, молочные альдегиды</x:v>
      </x:c>
      <x:c r="M47" s="28" t="str">
        <x:v>характерный профиль зависит от конкретного продукта</x:v>
      </x:c>
      <x:c r="N47" s="28" t="str">
        <x:v>прямое пересечение семейств не является единственным объяснением</x:v>
      </x:c>
      <x:c r="O47" s="28" t="str">
        <x:v>надежная общая ключевая молекула не подтверждена</x:v>
      </x:c>
      <x:c r="P47" s="28" t="str">
        <x:v>сенсорная комплементарность</x:v>
      </x:c>
      <x:c r="Q47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47" s="28" t="str">
        <x:v>минимальный</x:v>
      </x:c>
      <x:c r="S47" s="28" t="str">
        <x:v>какао-масло, сахар и молочные компоненты; сильный липофильный носитель</x:v>
      </x:c>
      <x:c r="T47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47" s="28" t="str">
        <x:v>Белый шоколад имеет профиль «сливочный, ванильный, карамельный и маслянистый без выраженного какаового жареного профиля». Партнёр «sesame seeds, halva and tahini»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47" s="28" t="str">
        <x:v>легко становится приторным и восковым; требует точной температуры темперирования</x:v>
      </x:c>
      <x:c r="W47" s="28" t="str">
        <x:v>соль, ваниль или карамель</x:v>
      </x:c>
      <x:c r="X47" s="28" t="str">
        <x:v>ганаш, плитка, крем, мусс, напиток, глазурь или соус с sesame seeds, halva and tahini</x:v>
      </x:c>
      <x:c r="Y47" s="28" t="str">
        <x:v>десерты</x:v>
      </x:c>
      <x:c r="Z47" s="28" t="str">
        <x:v>Средняя</x:v>
      </x:c>
      <x:c r="AA47" s="28" t="str">
        <x:v>The Art &amp; Science of Foodpairing.pdf</x:v>
      </x:c>
      <x:c r="AB47" s="28" t="str">
        <x:v>The Art &amp; Science of Foodpairing.pdf: 308</x:v>
      </x:c>
      <x:c r="AC47" s="28" t="str">
        <x:v>Пара встречается как grid; научное объяснение сформировано по ароматическому профилю и пищевой матрице.</x:v>
      </x:c>
      <x:c r="AD47" s="28" t="n">
        <x:v>1</x:v>
      </x:c>
      <x:c r="AE47" s="28" t="n">
        <x:v>1</x:v>
      </x:c>
      <x:c r="AF47" s="28" t="n">
        <x:f>IF(Z47="Высокая",3,IF(Z47="Средняя",2,1))+AD47*2+MIN(AE47,3)</x:f>
        <x:v>5</x:v>
      </x:c>
    </x:row>
    <x:row r="48" ht="62" customHeight="1">
      <x:c r="A48" s="28" t="str">
        <x:v>NCT-0047</x:v>
      </x:c>
      <x:c r="B48" s="28" t="str">
        <x:v>белый шоколад</x:v>
      </x:c>
      <x:c r="C48" s="28" t="str">
        <x:v>Десерты и выпечка</x:v>
      </x:c>
      <x:c r="D48" s="28" t="str">
        <x:v>белый шоколад</x:v>
      </x:c>
      <x:c r="E48" s="28" t="str">
        <x:v>white chocolate</x:v>
      </x:c>
      <x:c r="F48" s="28" t="str">
        <x:v>Какао и шоколад</x:v>
      </x:c>
      <x:c r="G48" s="28" t="str">
        <x:v>watermelon</x:v>
      </x:c>
      <x:c r="H48" s="28" t="str">
        <x:v>watermelon</x:v>
      </x:c>
      <x:c r="I48" s="28" t="str">
        <x:v>Фрукты и ягоды</x:v>
      </x:c>
      <x:c r="J48" s="28" t="str">
        <x:v>сливочный, ванильный, карамельный и маслянистый без выраженного какаового жареного профиля</x:v>
      </x:c>
      <x:c r="K48" s="28" t="str">
        <x:v>фруктовый, цветочный и свежий</x:v>
      </x:c>
      <x:c r="L48" s="28" t="str">
        <x:v>ванилин, лактоны, диацетил, молочные альдегиды</x:v>
      </x:c>
      <x:c r="M48" s="28" t="str">
        <x:v>альдегиды, эфиры</x:v>
      </x:c>
      <x:c r="N48" s="28" t="str">
        <x:v>прямое пересечение семейств не является единственным объяснением</x:v>
      </x:c>
      <x:c r="O48" s="28" t="str">
        <x:v>надежная общая ключевая молекула не подтверждена</x:v>
      </x:c>
      <x:c r="P48" s="28" t="str">
        <x:v>контраст кислоты и жирной/горькой матрицы</x:v>
      </x:c>
      <x:c r="Q48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48" s="28" t="str">
        <x:v>минимальный</x:v>
      </x:c>
      <x:c r="S48" s="28" t="str">
        <x:v>какао-масло, сахар и молочные компоненты; сильный липофильный носитель Водная фруктовая фаза требует эмульсии или мелкого измельчения, если орех или шоколад вводится как паста.</x:v>
      </x:c>
      <x:c r="T48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48" s="28" t="str">
        <x:v>Белый шоколад имеет профиль «сливочный, ванильный, карамельный и маслянистый без выраженного какаового жареного профиля». Партнёр «watermelon»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48" s="28" t="str">
        <x:v>легко становится приторным и восковым; требует точной температуры темперирования; избыток кислоты может сделать чай или кофе резкими и разрушить молочную эмульсию</x:v>
      </x:c>
      <x:c r="W48" s="28" t="str">
        <x:v>ваниль, цитрус или молочный жир</x:v>
      </x:c>
      <x:c r="X48" s="28" t="str">
        <x:v>ганаш, плитка, крем, мусс, напиток, глазурь или соус с watermelon</x:v>
      </x:c>
      <x:c r="Y48" s="28" t="str">
        <x:v>десерты</x:v>
      </x:c>
      <x:c r="Z48" s="28" t="str">
        <x:v>Средняя</x:v>
      </x:c>
      <x:c r="AA48" s="28" t="str">
        <x:v>The Art &amp; Science of Foodpairing.pdf</x:v>
      </x:c>
      <x:c r="AB48" s="28" t="str">
        <x:v>The Art &amp; Science of Foodpairing.pdf: 78</x:v>
      </x:c>
      <x:c r="AC48" s="28" t="str">
        <x:v>Пара встречается как grid; научное объяснение сформировано по ароматическому профилю и пищевой матрице.</x:v>
      </x:c>
      <x:c r="AD48" s="28" t="n">
        <x:v>1</x:v>
      </x:c>
      <x:c r="AE48" s="28" t="n">
        <x:v>1</x:v>
      </x:c>
      <x:c r="AF48" s="28" t="n">
        <x:f>IF(Z48="Высокая",3,IF(Z48="Средняя",2,1))+AD48*2+MIN(AE48,3)</x:f>
        <x:v>5</x:v>
      </x:c>
    </x:row>
    <x:row r="49" ht="62" customHeight="1">
      <x:c r="A49" s="28" t="str">
        <x:v>NCT-0048</x:v>
      </x:c>
      <x:c r="B49" s="28" t="str">
        <x:v>белый шоколад</x:v>
      </x:c>
      <x:c r="C49" s="28" t="str">
        <x:v>Универсальные</x:v>
      </x:c>
      <x:c r="D49" s="28" t="str">
        <x:v>белый шоколад</x:v>
      </x:c>
      <x:c r="E49" s="28" t="str">
        <x:v>Белый шоколад | белый шоколад</x:v>
      </x:c>
      <x:c r="F49" s="28" t="str">
        <x:v>Какао и шоколад</x:v>
      </x:c>
      <x:c r="G49" s="28" t="str">
        <x:v>ананас</x:v>
      </x:c>
      <x:c r="H49" s="28" t="str">
        <x:v>Ананас | ананас</x:v>
      </x:c>
      <x:c r="I49" s="28" t="str">
        <x:v>Прочее</x:v>
      </x:c>
      <x:c r="J49" s="28" t="str">
        <x:v>сливочный, ванильный, карамельный и маслянистый без выраженного какаового жареного профиля</x:v>
      </x:c>
      <x:c r="K49" s="28" t="str">
        <x:v>профиль зависит от конкретного продукта</x:v>
      </x:c>
      <x:c r="L49" s="28" t="str">
        <x:v>ванилин, лактоны, диацетил, молочные альдегиды</x:v>
      </x:c>
      <x:c r="M49" s="28" t="str">
        <x:v>характерный профиль зависит от конкретного продукта</x:v>
      </x:c>
      <x:c r="N49" s="28" t="str">
        <x:v>прямое пересечение семейств не является единственным объяснением</x:v>
      </x:c>
      <x:c r="O49" s="28" t="str">
        <x:v>надежная общая ключевая молекула не подтверждена</x:v>
      </x:c>
      <x:c r="P49" s="28" t="str">
        <x:v>сенсорная комплементарность</x:v>
      </x:c>
      <x:c r="Q49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49" s="28" t="str">
        <x:v>минимальный</x:v>
      </x:c>
      <x:c r="S49" s="28" t="str">
        <x:v>какао-масло, сахар и молочные компоненты; сильный липофильный носитель</x:v>
      </x:c>
      <x:c r="T49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49" s="28" t="str">
        <x:v>Белый шоколад имеет профиль «сливочный, ванильный, карамельный и маслянистый без выраженного какаового жареного профиля». Партнёр «ананас»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49" s="28" t="str">
        <x:v>легко становится приторным и восковым; требует точной температуры темперирования</x:v>
      </x:c>
      <x:c r="W49" s="28" t="str">
        <x:v>соль, ваниль или карамель</x:v>
      </x:c>
      <x:c r="X49" s="28" t="str">
        <x:v>ганаш, плитка, крем, мусс, напиток, глазурь или соус с ананас</x:v>
      </x:c>
      <x:c r="Y49" s="28" t="str">
        <x:v>десерты</x:v>
      </x:c>
      <x:c r="Z49" s="28" t="str">
        <x:v>Средняя</x:v>
      </x:c>
      <x:c r="AA49" s="28" t="str">
        <x:v>Тезариус вкусов (Ники Сегнит)(1).pdf</x:v>
      </x:c>
      <x:c r="AB49" s="28" t="str">
        <x:v>Тезариус вкусов (Ники Сегнит)(1).pdf: 702, 923</x:v>
      </x:c>
      <x:c r="AC49" s="28" t="str">
        <x:v>Пара встречается как thesaurus; научное объяснение сформировано по ароматическому профилю и пищевой матрице.</x:v>
      </x:c>
      <x:c r="AD49" s="28" t="n">
        <x:v>1</x:v>
      </x:c>
      <x:c r="AE49" s="28" t="n">
        <x:v>2</x:v>
      </x:c>
      <x:c r="AF49" s="28" t="n">
        <x:f>IF(Z49="Высокая",3,IF(Z49="Средняя",2,1))+AD49*2+MIN(AE49,3)</x:f>
        <x:v>6</x:v>
      </x:c>
    </x:row>
    <x:row r="50" ht="62" customHeight="1">
      <x:c r="A50" s="28" t="str">
        <x:v>NCT-0049</x:v>
      </x:c>
      <x:c r="B50" s="28" t="str">
        <x:v>белый шоколад</x:v>
      </x:c>
      <x:c r="C50" s="28" t="str">
        <x:v>Десерты и выпечка</x:v>
      </x:c>
      <x:c r="D50" s="28" t="str">
        <x:v>белый шоколад</x:v>
      </x:c>
      <x:c r="E50" s="28" t="str">
        <x:v>white chocolate</x:v>
      </x:c>
      <x:c r="F50" s="28" t="str">
        <x:v>Какао и шоколад</x:v>
      </x:c>
      <x:c r="G50" s="28" t="str">
        <x:v>банан</x:v>
      </x:c>
      <x:c r="H50" s="28" t="str">
        <x:v>banana</x:v>
      </x:c>
      <x:c r="I50" s="28" t="str">
        <x:v>Фрукты и ягоды</x:v>
      </x:c>
      <x:c r="J50" s="28" t="str">
        <x:v>сливочный, ванильный, карамельный и маслянистый без выраженного какаового жареного профиля</x:v>
      </x:c>
      <x:c r="K50" s="28" t="str">
        <x:v>сливочный, фруктовый</x:v>
      </x:c>
      <x:c r="L50" s="28" t="str">
        <x:v>ванилин, лактоны, диацетил, молочные альдегиды</x:v>
      </x:c>
      <x:c r="M50" s="28" t="str">
        <x:v>изоамилацетат</x:v>
      </x:c>
      <x:c r="N50" s="28" t="str">
        <x:v>сливочный</x:v>
      </x:c>
      <x:c r="O50" s="28" t="str">
        <x:v>надежная общая ключевая молекула не подтверждена</x:v>
      </x:c>
      <x:c r="P50" s="28" t="str">
        <x:v>пересечение ароматических семейств, контраст кислоты и жирной/горькой матрицы</x:v>
      </x:c>
      <x:c r="Q50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0" s="28" t="str">
        <x:v>минимальный</x:v>
      </x:c>
      <x:c r="S50" s="28" t="str">
        <x:v>какао-масло, сахар и молочные компоненты; сильный липофильный носитель Водная фруктовая фаза требует эмульсии или мелкого измельчения, если орех или шоколад вводится как паста.</x:v>
      </x:c>
      <x:c r="T50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50" s="28" t="str">
        <x:v>Белый шоколад имеет профиль «сливочный, ванильный, карамельный и маслянистый без выраженного какаового жареного профиля». Партнёр «банан» относится к группе «Фрукты и ягоды» и даёт сливочный, фруктовый. Профили пересекаются в семействах: сливочный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сливочный; механизм не следует сводить к одной общей молекуле.</x:v>
      </x:c>
      <x:c r="V50" s="28" t="str">
        <x:v>легко становится приторным и восковым; требует точной температуры темперирования; избыток кислоты может сделать чай или кофе резкими и разрушить молочную эмульсию</x:v>
      </x:c>
      <x:c r="W50" s="28" t="str">
        <x:v>ваниль, цитрус или молочный жир</x:v>
      </x:c>
      <x:c r="X50" s="28" t="str">
        <x:v>ганаш, плитка, крем, мусс, напиток, глазурь или соус с банан</x:v>
      </x:c>
      <x:c r="Y50" s="28" t="str">
        <x:v>десерты</x:v>
      </x:c>
      <x:c r="Z50" s="28" t="str">
        <x:v>Средняя</x:v>
      </x:c>
      <x:c r="AA50" s="28" t="str">
        <x:v>The Art &amp; Science of Foodpairing.pdf</x:v>
      </x:c>
      <x:c r="AB50" s="28" t="str">
        <x:v>The Art &amp; Science of Foodpairing.pdf: 342</x:v>
      </x:c>
      <x:c r="AC50" s="28" t="str">
        <x:v>Пара встречается как grid; научное объяснение сформировано по ароматическому профилю и пищевой матрице.</x:v>
      </x:c>
      <x:c r="AD50" s="28" t="n">
        <x:v>1</x:v>
      </x:c>
      <x:c r="AE50" s="28" t="n">
        <x:v>1</x:v>
      </x:c>
      <x:c r="AF50" s="28" t="n">
        <x:f>IF(Z50="Высокая",3,IF(Z50="Средняя",2,1))+AD50*2+MIN(AE50,3)</x:f>
        <x:v>5</x:v>
      </x:c>
    </x:row>
    <x:row r="51" ht="62" customHeight="1">
      <x:c r="A51" s="28" t="str">
        <x:v>NCT-0050</x:v>
      </x:c>
      <x:c r="B51" s="28" t="str">
        <x:v>белый шоколад</x:v>
      </x:c>
      <x:c r="C51" s="28" t="str">
        <x:v>Универсальные</x:v>
      </x:c>
      <x:c r="D51" s="28" t="str">
        <x:v>белый шоколад</x:v>
      </x:c>
      <x:c r="E51" s="28" t="str">
        <x:v>белый шоколад</x:v>
      </x:c>
      <x:c r="F51" s="28" t="str">
        <x:v>Какао и шоколад</x:v>
      </x:c>
      <x:c r="G51" s="28" t="str">
        <x:v>голубика</x:v>
      </x:c>
      <x:c r="H51" s="28" t="str">
        <x:v>Голубика</x:v>
      </x:c>
      <x:c r="I51" s="28" t="str">
        <x:v>Прочее</x:v>
      </x:c>
      <x:c r="J51" s="28" t="str">
        <x:v>сливочный, ванильный, карамельный и маслянистый без выраженного какаового жареного профиля</x:v>
      </x:c>
      <x:c r="K51" s="28" t="str">
        <x:v>профиль зависит от конкретного продукта</x:v>
      </x:c>
      <x:c r="L51" s="28" t="str">
        <x:v>ванилин, лактоны, диацетил, молочные альдегиды</x:v>
      </x:c>
      <x:c r="M51" s="28" t="str">
        <x:v>характерный профиль зависит от конкретного продукта</x:v>
      </x:c>
      <x:c r="N51" s="28" t="str">
        <x:v>прямое пересечение семейств не является единственным объяснением</x:v>
      </x:c>
      <x:c r="O51" s="28" t="str">
        <x:v>надежная общая ключевая молекула не подтверждена</x:v>
      </x:c>
      <x:c r="P51" s="28" t="str">
        <x:v>сенсорная комплементарность</x:v>
      </x:c>
      <x:c r="Q51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1" s="28" t="str">
        <x:v>минимальный</x:v>
      </x:c>
      <x:c r="S51" s="28" t="str">
        <x:v>какао-масло, сахар и молочные компоненты; сильный липофильный носитель</x:v>
      </x:c>
      <x:c r="T51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51" s="28" t="str">
        <x:v>Белый шоколад имеет профиль «сливочный, ванильный, карамельный и маслянистый без выраженного какаового жареного профиля». Партнёр «голубика»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51" s="28" t="str">
        <x:v>легко становится приторным и восковым; требует точной температуры темперирования</x:v>
      </x:c>
      <x:c r="W51" s="28" t="str">
        <x:v>соль, ваниль или карамель</x:v>
      </x:c>
      <x:c r="X51" s="28" t="str">
        <x:v>ганаш, плитка, крем, мусс, напиток, глазурь или соус с голубика</x:v>
      </x:c>
      <x:c r="Y51" s="28" t="str">
        <x:v>десерты</x:v>
      </x:c>
      <x:c r="Z51" s="28" t="str">
        <x:v>Гипотеза / практическая</x:v>
      </x:c>
      <x:c r="AA51" s="28" t="str">
        <x:v>Таблица сочетания(1).pdf</x:v>
      </x:c>
      <x:c r="AB51" s="28" t="str">
        <x:v>Таблица сочетания(1).pdf: 3</x:v>
      </x:c>
      <x:c r="AC51" s="28" t="str">
        <x:v>Пара встречается как table; научное объяснение сформировано по ароматическому профилю и пищевой матрице.</x:v>
      </x:c>
      <x:c r="AD51" s="28" t="n">
        <x:v>1</x:v>
      </x:c>
      <x:c r="AE51" s="28" t="n">
        <x:v>1</x:v>
      </x:c>
      <x:c r="AF51" s="28" t="n">
        <x:f>IF(Z51="Высокая",3,IF(Z51="Средняя",2,1))+AD51*2+MIN(AE51,3)</x:f>
        <x:v>4</x:v>
      </x:c>
    </x:row>
    <x:row r="52" ht="62" customHeight="1">
      <x:c r="A52" s="28" t="str">
        <x:v>NCT-0051</x:v>
      </x:c>
      <x:c r="B52" s="28" t="str">
        <x:v>белый шоколад</x:v>
      </x:c>
      <x:c r="C52" s="28" t="str">
        <x:v>Универсальные</x:v>
      </x:c>
      <x:c r="D52" s="28" t="str">
        <x:v>белый шоколад</x:v>
      </x:c>
      <x:c r="E52" s="28" t="str">
        <x:v>Белый шоколад | белый шоколад</x:v>
      </x:c>
      <x:c r="F52" s="28" t="str">
        <x:v>Какао и шоколад</x:v>
      </x:c>
      <x:c r="G52" s="28" t="str">
        <x:v>ежевика</x:v>
      </x:c>
      <x:c r="H52" s="28" t="str">
        <x:v>Ежевика | ежевика</x:v>
      </x:c>
      <x:c r="I52" s="28" t="str">
        <x:v>Прочее</x:v>
      </x:c>
      <x:c r="J52" s="28" t="str">
        <x:v>сливочный, ванильный, карамельный и маслянистый без выраженного какаового жареного профиля</x:v>
      </x:c>
      <x:c r="K52" s="28" t="str">
        <x:v>профиль зависит от конкретного продукта</x:v>
      </x:c>
      <x:c r="L52" s="28" t="str">
        <x:v>ванилин, лактоны, диацетил, молочные альдегиды</x:v>
      </x:c>
      <x:c r="M52" s="28" t="str">
        <x:v>характерный профиль зависит от конкретного продукта</x:v>
      </x:c>
      <x:c r="N52" s="28" t="str">
        <x:v>прямое пересечение семейств не является единственным объяснением</x:v>
      </x:c>
      <x:c r="O52" s="28" t="str">
        <x:v>надежная общая ключевая молекула не подтверждена</x:v>
      </x:c>
      <x:c r="P52" s="28" t="str">
        <x:v>сенсорная комплементарность</x:v>
      </x:c>
      <x:c r="Q52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2" s="28" t="str">
        <x:v>минимальный</x:v>
      </x:c>
      <x:c r="S52" s="28" t="str">
        <x:v>какао-масло, сахар и молочные компоненты; сильный липофильный носитель</x:v>
      </x:c>
      <x:c r="T52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52" s="28" t="str">
        <x:v>Белый шоколад имеет профиль «сливочный, ванильный, карамельный и маслянистый без выраженного какаового жареного профиля». Партнёр «ежевика»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52" s="28" t="str">
        <x:v>легко становится приторным и восковым; требует точной температуры темперирования</x:v>
      </x:c>
      <x:c r="W52" s="28" t="str">
        <x:v>соль, ваниль или карамель</x:v>
      </x:c>
      <x:c r="X52" s="28" t="str">
        <x:v>ганаш, плитка, крем, мусс, напиток, глазурь или соус с ежевика</x:v>
      </x:c>
      <x:c r="Y52" s="28" t="str">
        <x:v>десерты</x:v>
      </x:c>
      <x:c r="Z52" s="28" t="str">
        <x:v>Средняя</x:v>
      </x:c>
      <x:c r="AA52" s="28" t="str">
        <x:v>Тезариус вкусов (Ники Сегнит)(1).pdf</x:v>
      </x:c>
      <x:c r="AB52" s="28" t="str">
        <x:v>Тезариус вкусов (Ники Сегнит)(1).pdf: 880, 923</x:v>
      </x:c>
      <x:c r="AC52" s="28" t="str">
        <x:v>Пара встречается как thesaurus; научное объяснение сформировано по ароматическому профилю и пищевой матрице.</x:v>
      </x:c>
      <x:c r="AD52" s="28" t="n">
        <x:v>1</x:v>
      </x:c>
      <x:c r="AE52" s="28" t="n">
        <x:v>2</x:v>
      </x:c>
      <x:c r="AF52" s="28" t="n">
        <x:f>IF(Z52="Высокая",3,IF(Z52="Средняя",2,1))+AD52*2+MIN(AE52,3)</x:f>
        <x:v>6</x:v>
      </x:c>
    </x:row>
    <x:row r="53" ht="62" customHeight="1">
      <x:c r="A53" s="28" t="str">
        <x:v>NCT-0052</x:v>
      </x:c>
      <x:c r="B53" s="28" t="str">
        <x:v>белый шоколад</x:v>
      </x:c>
      <x:c r="C53" s="28" t="str">
        <x:v>Универсальные</x:v>
      </x:c>
      <x:c r="D53" s="28" t="str">
        <x:v>белый шоколад</x:v>
      </x:c>
      <x:c r="E53" s="28" t="str">
        <x:v>Белый шоколад | белый шоколад</x:v>
      </x:c>
      <x:c r="F53" s="28" t="str">
        <x:v>Какао и шоколад</x:v>
      </x:c>
      <x:c r="G53" s="28" t="str">
        <x:v>кардамон</x:v>
      </x:c>
      <x:c r="H53" s="28" t="str">
        <x:v>Кардамон | кардамон</x:v>
      </x:c>
      <x:c r="I53" s="28" t="str">
        <x:v>Специи</x:v>
      </x:c>
      <x:c r="J53" s="28" t="str">
        <x:v>сливочный, ванильный, карамельный и маслянистый без выраженного какаового жареного профиля</x:v>
      </x:c>
      <x:c r="K53" s="28" t="str">
        <x:v>камфорный, цветочный, цитрусовый</x:v>
      </x:c>
      <x:c r="L53" s="28" t="str">
        <x:v>ванилин, лактоны, диацетил, молочные альдегиды</x:v>
      </x:c>
      <x:c r="M53" s="28" t="str">
        <x:v>1,8-цинеол, линалоол</x:v>
      </x:c>
      <x:c r="N53" s="28" t="str">
        <x:v>прямое пересечение семейств не является единственным объяснением</x:v>
      </x:c>
      <x:c r="O53" s="28" t="str">
        <x:v>надежная общая ключевая молекула не подтверждена</x:v>
      </x:c>
      <x:c r="P53" s="28" t="str">
        <x:v>сенсорная комплементарность</x:v>
      </x:c>
      <x:c r="Q53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3" s="28" t="str">
        <x:v>минимальный</x:v>
      </x:c>
      <x:c r="S53" s="28" t="str">
        <x:v>какао-масло, сахар и молочные компоненты; сильный липофильный носитель</x:v>
      </x:c>
      <x:c r="T53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53" s="28" t="str">
        <x:v>Белый шоколад имеет профиль «сливочный, ванильный, карамельный и маслянистый без выраженного какаового жареного профиля». Партнёр «кардамон» относится к группе «Специи» и даёт камфорный, цветочный, цитрусовый.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53" s="28" t="str">
        <x:v>легко становится приторным и восковым; требует точной температуры темперирования</x:v>
      </x:c>
      <x:c r="W53" s="28" t="str">
        <x:v>ваниль, апельсин или мёд</x:v>
      </x:c>
      <x:c r="X53" s="28" t="str">
        <x:v>ганаш, плитка, крем, мусс, напиток, глазурь или соус с кардамон</x:v>
      </x:c>
      <x:c r="Y53" s="28" t="str">
        <x:v>десерты</x:v>
      </x:c>
      <x:c r="Z53" s="28" t="str">
        <x:v>Средняя</x:v>
      </x:c>
      <x:c r="AA53" s="28" t="str">
        <x:v>Тезариус вкусов (Ники Сегнит)(1).pdf</x:v>
      </x:c>
      <x:c r="AB53" s="28" t="str">
        <x:v>Тезариус вкусов (Ники Сегнит)(1).pdf: 828, 923</x:v>
      </x:c>
      <x:c r="AC53" s="28" t="str">
        <x:v>Пара встречается как thesaurus; научное объяснение сформировано по ароматическому профилю и пищевой матрице.</x:v>
      </x:c>
      <x:c r="AD53" s="28" t="n">
        <x:v>1</x:v>
      </x:c>
      <x:c r="AE53" s="28" t="n">
        <x:v>2</x:v>
      </x:c>
      <x:c r="AF53" s="28" t="n">
        <x:f>IF(Z53="Высокая",3,IF(Z53="Средняя",2,1))+AD53*2+MIN(AE53,3)</x:f>
        <x:v>6</x:v>
      </x:c>
    </x:row>
    <x:row r="54" ht="62" customHeight="1">
      <x:c r="A54" s="28" t="str">
        <x:v>NCT-0053</x:v>
      </x:c>
      <x:c r="B54" s="28" t="str">
        <x:v>белый шоколад</x:v>
      </x:c>
      <x:c r="C54" s="28" t="str">
        <x:v>Универсальные</x:v>
      </x:c>
      <x:c r="D54" s="28" t="str">
        <x:v>белый шоколад</x:v>
      </x:c>
      <x:c r="E54" s="28" t="str">
        <x:v>Белый шоколад | белый шоколад</x:v>
      </x:c>
      <x:c r="F54" s="28" t="str">
        <x:v>Какао и шоколад</x:v>
      </x:c>
      <x:c r="G54" s="28" t="str">
        <x:v>клубника</x:v>
      </x:c>
      <x:c r="H54" s="28" t="str">
        <x:v>Клубника | клубника</x:v>
      </x:c>
      <x:c r="I54" s="28" t="str">
        <x:v>Прочее</x:v>
      </x:c>
      <x:c r="J54" s="28" t="str">
        <x:v>сливочный, ванильный, карамельный и маслянистый без выраженного какаового жареного профиля</x:v>
      </x:c>
      <x:c r="K54" s="28" t="str">
        <x:v>зелёный, карамельный, фруктовый</x:v>
      </x:c>
      <x:c r="L54" s="28" t="str">
        <x:v>ванилин, лактоны, диацетил, молочные альдегиды</x:v>
      </x:c>
      <x:c r="M54" s="28" t="str">
        <x:v>фуранеол, эфиры</x:v>
      </x:c>
      <x:c r="N54" s="28" t="str">
        <x:v>карамельный</x:v>
      </x:c>
      <x:c r="O54" s="28" t="str">
        <x:v>надежная общая ключевая молекула не подтверждена</x:v>
      </x:c>
      <x:c r="P54" s="28" t="str">
        <x:v>пересечение ароматических семейств</x:v>
      </x:c>
      <x:c r="Q54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4" s="28" t="str">
        <x:v>минимальный</x:v>
      </x:c>
      <x:c r="S54" s="28" t="str">
        <x:v>какао-масло, сахар и молочные компоненты; сильный липофильный носитель</x:v>
      </x:c>
      <x:c r="T54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54" s="28" t="str">
        <x:v>Белый шоколад имеет профиль «сливочный, ванильный, карамельный и маслянистый без выраженного какаового жареного профиля». Партнёр «клубника» относится к группе «Прочее» и даёт зелёный, карамельный, фруктовый. Профили пересекаются в семействах: карамельный Какао-масло медленно высвобождает липофильные ароматы, а сахар и соль изменяют воспринимаемую горечь. Итог: карамельный; механизм не следует сводить к одной общей молекуле.</x:v>
      </x:c>
      <x:c r="V54" s="28" t="str">
        <x:v>легко становится приторным и восковым; требует точной температуры темперирования</x:v>
      </x:c>
      <x:c r="W54" s="28" t="str">
        <x:v>соль, ваниль или карамель</x:v>
      </x:c>
      <x:c r="X54" s="28" t="str">
        <x:v>ганаш, плитка, крем, мусс, напиток, глазурь или соус с клубника</x:v>
      </x:c>
      <x:c r="Y54" s="28" t="str">
        <x:v>десерты</x:v>
      </x:c>
      <x:c r="Z54" s="28" t="str">
        <x:v>Средняя</x:v>
      </x:c>
      <x:c r="AA54" s="28" t="str">
        <x:v>Тезариус вкусов (Ники Сегнит)(1).pdf</x:v>
      </x:c>
      <x:c r="AB54" s="28" t="str">
        <x:v>Тезариус вкусов (Ники Сегнит)(1).pdf: 693, 923</x:v>
      </x:c>
      <x:c r="AC54" s="28" t="str">
        <x:v>Пара встречается как thesaurus; научное объяснение сформировано по ароматическому профилю и пищевой матрице.</x:v>
      </x:c>
      <x:c r="AD54" s="28" t="n">
        <x:v>1</x:v>
      </x:c>
      <x:c r="AE54" s="28" t="n">
        <x:v>2</x:v>
      </x:c>
      <x:c r="AF54" s="28" t="n">
        <x:f>IF(Z54="Высокая",3,IF(Z54="Средняя",2,1))+AD54*2+MIN(AE54,3)</x:f>
        <x:v>6</x:v>
      </x:c>
    </x:row>
    <x:row r="55" ht="62" customHeight="1">
      <x:c r="A55" s="28" t="str">
        <x:v>NCT-0054</x:v>
      </x:c>
      <x:c r="B55" s="28" t="str">
        <x:v>белый шоколад</x:v>
      </x:c>
      <x:c r="C55" s="28" t="str">
        <x:v>Универсальные</x:v>
      </x:c>
      <x:c r="D55" s="28" t="str">
        <x:v>белый шоколад</x:v>
      </x:c>
      <x:c r="E55" s="28" t="str">
        <x:v>белый шоколад</x:v>
      </x:c>
      <x:c r="F55" s="28" t="str">
        <x:v>Какао и шоколад</x:v>
      </x:c>
      <x:c r="G55" s="28" t="str">
        <x:v>клюква</x:v>
      </x:c>
      <x:c r="H55" s="28" t="str">
        <x:v>Клюква</x:v>
      </x:c>
      <x:c r="I55" s="28" t="str">
        <x:v>Прочее</x:v>
      </x:c>
      <x:c r="J55" s="28" t="str">
        <x:v>сливочный, ванильный, карамельный и маслянистый без выраженного какаового жареного профиля</x:v>
      </x:c>
      <x:c r="K55" s="28" t="str">
        <x:v>профиль зависит от конкретного продукта</x:v>
      </x:c>
      <x:c r="L55" s="28" t="str">
        <x:v>ванилин, лактоны, диацетил, молочные альдегиды</x:v>
      </x:c>
      <x:c r="M55" s="28" t="str">
        <x:v>характерный профиль зависит от конкретного продукта</x:v>
      </x:c>
      <x:c r="N55" s="28" t="str">
        <x:v>прямое пересечение семейств не является единственным объяснением</x:v>
      </x:c>
      <x:c r="O55" s="28" t="str">
        <x:v>надежная общая ключевая молекула не подтверждена</x:v>
      </x:c>
      <x:c r="P55" s="28" t="str">
        <x:v>сенсорная комплементарность</x:v>
      </x:c>
      <x:c r="Q55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5" s="28" t="str">
        <x:v>минимальный</x:v>
      </x:c>
      <x:c r="S55" s="28" t="str">
        <x:v>какао-масло, сахар и молочные компоненты; сильный липофильный носитель</x:v>
      </x:c>
      <x:c r="T55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55" s="28" t="str">
        <x:v>Белый шоколад имеет профиль «сливочный, ванильный, карамельный и маслянистый без выраженного какаового жареного профиля». Партнёр «клюква»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55" s="28" t="str">
        <x:v>легко становится приторным и восковым; требует точной температуры темперирования</x:v>
      </x:c>
      <x:c r="W55" s="28" t="str">
        <x:v>соль, ваниль или карамель</x:v>
      </x:c>
      <x:c r="X55" s="28" t="str">
        <x:v>ганаш, плитка, крем, мусс, напиток, глазурь или соус с клюква</x:v>
      </x:c>
      <x:c r="Y55" s="28" t="str">
        <x:v>десерты</x:v>
      </x:c>
      <x:c r="Z55" s="28" t="str">
        <x:v>Гипотеза / практическая</x:v>
      </x:c>
      <x:c r="AA55" s="28" t="str">
        <x:v>Таблица сочетания(1).pdf</x:v>
      </x:c>
      <x:c r="AB55" s="28" t="str">
        <x:v>Таблица сочетания(1).pdf: 6</x:v>
      </x:c>
      <x:c r="AC55" s="28" t="str">
        <x:v>Пара встречается как table; научное объяснение сформировано по ароматическому профилю и пищевой матрице.</x:v>
      </x:c>
      <x:c r="AD55" s="28" t="n">
        <x:v>1</x:v>
      </x:c>
      <x:c r="AE55" s="28" t="n">
        <x:v>1</x:v>
      </x:c>
      <x:c r="AF55" s="28" t="n">
        <x:f>IF(Z55="Высокая",3,IF(Z55="Средняя",2,1))+AD55*2+MIN(AE55,3)</x:f>
        <x:v>4</x:v>
      </x:c>
    </x:row>
    <x:row r="56" ht="62" customHeight="1">
      <x:c r="A56" s="28" t="str">
        <x:v>NCT-0055</x:v>
      </x:c>
      <x:c r="B56" s="28" t="str">
        <x:v>белый шоколад</x:v>
      </x:c>
      <x:c r="C56" s="28" t="str">
        <x:v>Универсальные</x:v>
      </x:c>
      <x:c r="D56" s="28" t="str">
        <x:v>белый шоколад</x:v>
      </x:c>
      <x:c r="E56" s="28" t="str">
        <x:v>white chocolate | Белый шоколад | белый шоколад</x:v>
      </x:c>
      <x:c r="F56" s="28" t="str">
        <x:v>Какао и шоколад</x:v>
      </x:c>
      <x:c r="G56" s="28" t="str">
        <x:v>кокос</x:v>
      </x:c>
      <x:c r="H56" s="28" t="str">
        <x:v>coconut | Кокос | кокос</x:v>
      </x:c>
      <x:c r="I56" s="28" t="str">
        <x:v>Прочее</x:v>
      </x:c>
      <x:c r="J56" s="28" t="str">
        <x:v>сливочный, ванильный, карамельный и маслянистый без выраженного какаового жареного профиля</x:v>
      </x:c>
      <x:c r="K56" s="28" t="str">
        <x:v>лактонный, сливочный</x:v>
      </x:c>
      <x:c r="L56" s="28" t="str">
        <x:v>ванилин, лактоны, диацетил, молочные альдегиды</x:v>
      </x:c>
      <x:c r="M56" s="28" t="str">
        <x:v>лактоны</x:v>
      </x:c>
      <x:c r="N56" s="28" t="str">
        <x:v>сливочный</x:v>
      </x:c>
      <x:c r="O56" s="28" t="str">
        <x:v>лактоны</x:v>
      </x:c>
      <x:c r="P56" s="28" t="str">
        <x:v>общие ароматические соединения, пересечение ароматических семейств</x:v>
      </x:c>
      <x:c r="Q56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6" s="28" t="str">
        <x:v>минимальный</x:v>
      </x:c>
      <x:c r="S56" s="28" t="str">
        <x:v>какао-масло, сахар и молочные компоненты; сильный липофильный носитель</x:v>
      </x:c>
      <x:c r="T56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56" s="28" t="str">
        <x:v>Белый шоколад имеет профиль «сливочный, ванильный, карамельный и маслянистый без выраженного какаового жареного профиля». Партнёр «кокос» относится к группе «Прочее» и даёт лактонный, сливочный. Молекулярный мост создают лактоны Какао-масло медленно высвобождает липофильные ароматы, а сахар и соль изменяют воспринимаемую горечь. Итог: сливочный; лактоны.</x:v>
      </x:c>
      <x:c r="V56" s="28" t="str">
        <x:v>легко становится приторным и восковым; требует точной температуры темперирования</x:v>
      </x:c>
      <x:c r="W56" s="28" t="str">
        <x:v>соль, ваниль или карамель</x:v>
      </x:c>
      <x:c r="X56" s="28" t="str">
        <x:v>ганаш, плитка, крем, мусс, напиток, глазурь или соус с кокос</x:v>
      </x:c>
      <x:c r="Y56" s="28" t="str">
        <x:v>десерты</x:v>
      </x:c>
      <x:c r="Z56" s="28" t="str">
        <x:v>Высокая</x:v>
      </x:c>
      <x:c r="AA56" s="28" t="str">
        <x:v>The Art &amp; Science of Foodpairing.pdf | Тезариус вкусов (Ники Сегнит)(1).pdf</x:v>
      </x:c>
      <x:c r="AB56" s="28" t="str">
        <x:v>The Art &amp; Science of Foodpairing.pdf: 135; Тезариус вкусов (Ники Сегнит)(1).pdf: 754, 924</x:v>
      </x:c>
      <x:c r="AC56" s="28" t="str">
        <x:v>Пара встречается как grid, thesaurus; научное объяснение сформировано по ароматическому профилю и пищевой матрице.</x:v>
      </x:c>
      <x:c r="AD56" s="28" t="n">
        <x:v>2</x:v>
      </x:c>
      <x:c r="AE56" s="28" t="n">
        <x:v>3</x:v>
      </x:c>
      <x:c r="AF56" s="28" t="n">
        <x:f>IF(Z56="Высокая",3,IF(Z56="Средняя",2,1))+AD56*2+MIN(AE56,3)</x:f>
        <x:v>10</x:v>
      </x:c>
    </x:row>
    <x:row r="57" ht="62" customHeight="1">
      <x:c r="A57" s="28" t="str">
        <x:v>NCT-0056</x:v>
      </x:c>
      <x:c r="B57" s="28" t="str">
        <x:v>белый шоколад</x:v>
      </x:c>
      <x:c r="C57" s="28" t="str">
        <x:v>Напитки</x:v>
      </x:c>
      <x:c r="D57" s="28" t="str">
        <x:v>белый шоколад</x:v>
      </x:c>
      <x:c r="E57" s="28" t="str">
        <x:v>white chocolate | Белый шоколад | белый шоколад</x:v>
      </x:c>
      <x:c r="F57" s="28" t="str">
        <x:v>Какао и шоколад</x:v>
      </x:c>
      <x:c r="G57" s="28" t="str">
        <x:v>кофе</x:v>
      </x:c>
      <x:c r="H57" s="28" t="str">
        <x:v>coffee | Кофе | кофе</x:v>
      </x:c>
      <x:c r="I57" s="28" t="str">
        <x:v>Кофе</x:v>
      </x:c>
      <x:c r="J57" s="28" t="str">
        <x:v>сливочный, ванильный, карамельный и маслянистый без выраженного какаового жареного профиля</x:v>
      </x:c>
      <x:c r="K57" s="28" t="str">
        <x:v>жареный, ореховый, карамельный, цветочный, фруктовый, фенольный и древесный</x:v>
      </x:c>
      <x:c r="L57" s="28" t="str">
        <x:v>ванилин, лактоны, диацетил, молочные альдегиды</x:v>
      </x:c>
      <x:c r="M57" s="28" t="str">
        <x:v>2-фурфурилтиол, гваякол, диацетил, пиразины, фураны</x:v>
      </x:c>
      <x:c r="N57" s="28" t="str">
        <x:v>карамельный</x:v>
      </x:c>
      <x:c r="O57" s="28" t="str">
        <x:v>диацетил</x:v>
      </x:c>
      <x:c r="P57" s="28" t="str">
        <x:v>общие ароматические соединения, пересечение ароматических семейств, жареная химия и реакции Майяра</x:v>
      </x:c>
      <x:c r="Q57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7" s="28" t="str">
        <x:v>минимальный</x:v>
      </x:c>
      <x:c r="S57" s="28" t="str">
        <x:v>какао-масло, сахар и молочные компоненты; сильный липофильный носитель</x:v>
      </x:c>
      <x:c r="T57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57" s="28" t="str">
        <x:v>Белый шоколад имеет профиль «сливочный, ванильный, карамельный и маслянистый без выраженного какаового жареного профиля».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диацетил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карамельный; диацетил.</x:v>
      </x:c>
      <x:c r="V57" s="28" t="str">
        <x:v>легко становится приторным и восковым; требует точной температуры темперирования</x:v>
      </x:c>
      <x:c r="W57" s="28" t="str">
        <x:v>соль, ваниль или карамель</x:v>
      </x:c>
      <x:c r="X57" s="28" t="str">
        <x:v>ганаш, плитка, крем, мусс, напиток, глазурь или соус с кофе</x:v>
      </x:c>
      <x:c r="Y57" s="28" t="str">
        <x:v>напитки, десерты</x:v>
      </x:c>
      <x:c r="Z57" s="28" t="str">
        <x:v>Высокая</x:v>
      </x:c>
      <x:c r="AA57" s="28" t="str">
        <x:v>The Art &amp; Science of Foodpairing.pdf | Тезариус вкусов (Ники Сегнит)(1).pdf</x:v>
      </x:c>
      <x:c r="AB57" s="28" t="str">
        <x:v>The Art &amp; Science of Foodpairing.pdf: 297; Тезариус вкусов (Ники Сегнит)(1).pdf: 43, 924</x:v>
      </x:c>
      <x:c r="AC57" s="28" t="str">
        <x:v>Пара встречается как grid, thesaurus; научное объяснение сформировано по ароматическому профилю и пищевой матрице.</x:v>
      </x:c>
      <x:c r="AD57" s="28" t="n">
        <x:v>2</x:v>
      </x:c>
      <x:c r="AE57" s="28" t="n">
        <x:v>3</x:v>
      </x:c>
      <x:c r="AF57" s="28" t="n">
        <x:f>IF(Z57="Высокая",3,IF(Z57="Средняя",2,1))+AD57*2+MIN(AE57,3)</x:f>
        <x:v>10</x:v>
      </x:c>
    </x:row>
    <x:row r="58" ht="62" customHeight="1">
      <x:c r="A58" s="28" t="str">
        <x:v>NCT-0057</x:v>
      </x:c>
      <x:c r="B58" s="28" t="str">
        <x:v>белый шоколад</x:v>
      </x:c>
      <x:c r="C58" s="28" t="str">
        <x:v>Универсальные</x:v>
      </x:c>
      <x:c r="D58" s="28" t="str">
        <x:v>белый шоколад</x:v>
      </x:c>
      <x:c r="E58" s="28" t="str">
        <x:v>белый шоколад</x:v>
      </x:c>
      <x:c r="F58" s="28" t="str">
        <x:v>Какао и шоколад</x:v>
      </x:c>
      <x:c r="G58" s="28" t="str">
        <x:v>крыжовник</x:v>
      </x:c>
      <x:c r="H58" s="28" t="str">
        <x:v>Крыжовник</x:v>
      </x:c>
      <x:c r="I58" s="28" t="str">
        <x:v>Прочее</x:v>
      </x:c>
      <x:c r="J58" s="28" t="str">
        <x:v>сливочный, ванильный, карамельный и маслянистый без выраженного какаового жареного профиля</x:v>
      </x:c>
      <x:c r="K58" s="28" t="str">
        <x:v>профиль зависит от конкретного продукта</x:v>
      </x:c>
      <x:c r="L58" s="28" t="str">
        <x:v>ванилин, лактоны, диацетил, молочные альдегиды</x:v>
      </x:c>
      <x:c r="M58" s="28" t="str">
        <x:v>характерный профиль зависит от конкретного продукта</x:v>
      </x:c>
      <x:c r="N58" s="28" t="str">
        <x:v>прямое пересечение семейств не является единственным объяснением</x:v>
      </x:c>
      <x:c r="O58" s="28" t="str">
        <x:v>надежная общая ключевая молекула не подтверждена</x:v>
      </x:c>
      <x:c r="P58" s="28" t="str">
        <x:v>сенсорная комплементарность</x:v>
      </x:c>
      <x:c r="Q58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8" s="28" t="str">
        <x:v>минимальный</x:v>
      </x:c>
      <x:c r="S58" s="28" t="str">
        <x:v>какао-масло, сахар и молочные компоненты; сильный липофильный носитель</x:v>
      </x:c>
      <x:c r="T58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58" s="28" t="str">
        <x:v>Белый шоколад имеет профиль «сливочный, ванильный, карамельный и маслянистый без выраженного какаового жареного профиля». Партнёр «крыжовник»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58" s="28" t="str">
        <x:v>легко становится приторным и восковым; требует точной температуры темперирования</x:v>
      </x:c>
      <x:c r="W58" s="28" t="str">
        <x:v>соль, ваниль или карамель</x:v>
      </x:c>
      <x:c r="X58" s="28" t="str">
        <x:v>ганаш, плитка, крем, мусс, напиток, глазурь или соус с крыжовник</x:v>
      </x:c>
      <x:c r="Y58" s="28" t="str">
        <x:v>десерты</x:v>
      </x:c>
      <x:c r="Z58" s="28" t="str">
        <x:v>Гипотеза / практическая</x:v>
      </x:c>
      <x:c r="AA58" s="28" t="str">
        <x:v>Таблица сочетания(1).pdf</x:v>
      </x:c>
      <x:c r="AB58" s="28" t="str">
        <x:v>Таблица сочетания(1).pdf: 8</x:v>
      </x:c>
      <x:c r="AC58" s="28" t="str">
        <x:v>Пара встречается как table; научное объяснение сформировано по ароматическому профилю и пищевой матрице.</x:v>
      </x:c>
      <x:c r="AD58" s="28" t="n">
        <x:v>1</x:v>
      </x:c>
      <x:c r="AE58" s="28" t="n">
        <x:v>1</x:v>
      </x:c>
      <x:c r="AF58" s="28" t="n">
        <x:f>IF(Z58="Высокая",3,IF(Z58="Средняя",2,1))+AD58*2+MIN(AE58,3)</x:f>
        <x:v>4</x:v>
      </x:c>
    </x:row>
    <x:row r="59" ht="62" customHeight="1">
      <x:c r="A59" s="28" t="str">
        <x:v>NCT-0058</x:v>
      </x:c>
      <x:c r="B59" s="28" t="str">
        <x:v>белый шоколад</x:v>
      </x:c>
      <x:c r="C59" s="28" t="str">
        <x:v>Десерты и выпечка</x:v>
      </x:c>
      <x:c r="D59" s="28" t="str">
        <x:v>белый шоколад</x:v>
      </x:c>
      <x:c r="E59" s="28" t="str">
        <x:v>Белый шоколад | белый шоколад</x:v>
      </x:c>
      <x:c r="F59" s="28" t="str">
        <x:v>Какао и шоколад</x:v>
      </x:c>
      <x:c r="G59" s="28" t="str">
        <x:v>лимон</x:v>
      </x:c>
      <x:c r="H59" s="28" t="str">
        <x:v>Лимон | лимон</x:v>
      </x:c>
      <x:c r="I59" s="28" t="str">
        <x:v>Фрукты и ягоды</x:v>
      </x:c>
      <x:c r="J59" s="28" t="str">
        <x:v>сливочный, ванильный, карамельный и маслянистый без выраженного какаового жареного профиля</x:v>
      </x:c>
      <x:c r="K59" s="28" t="str">
        <x:v>кислый, цитрусовый</x:v>
      </x:c>
      <x:c r="L59" s="28" t="str">
        <x:v>ванилин, лактоны, диацетил, молочные альдегиды</x:v>
      </x:c>
      <x:c r="M59" s="28" t="str">
        <x:v>лимонен, цитраль</x:v>
      </x:c>
      <x:c r="N59" s="28" t="str">
        <x:v>прямое пересечение семейств не является единственным объяснением</x:v>
      </x:c>
      <x:c r="O59" s="28" t="str">
        <x:v>надежная общая ключевая молекула не подтверждена</x:v>
      </x:c>
      <x:c r="P59" s="28" t="str">
        <x:v>контраст кислоты и жирной/горькой матрицы</x:v>
      </x:c>
      <x:c r="Q59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9" s="28" t="str">
        <x:v>минимальный</x:v>
      </x:c>
      <x:c r="S59" s="28" t="str">
        <x:v>какао-масло, сахар и молочные компоненты; сильный липофильный носитель Водная фруктовая фаза требует эмульсии или мелкого измельчения, если орех или шоколад вводится как паста.</x:v>
      </x:c>
      <x:c r="T59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59" s="28" t="str">
        <x:v>Белый шоколад имеет профиль «сливочный, ванильный, карамельный и маслянистый без выраженного какаового жареного профиля».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59" s="28" t="str">
        <x:v>легко становится приторным и восковым; требует точной температуры темперирования; избыток кислоты может сделать чай или кофе резкими и разрушить молочную эмульсию</x:v>
      </x:c>
      <x:c r="W59" s="28" t="str">
        <x:v>ваниль, цитрус или молочный жир</x:v>
      </x:c>
      <x:c r="X59" s="28" t="str">
        <x:v>ганаш, плитка, крем, мусс, напиток, глазурь или соус с лимон</x:v>
      </x:c>
      <x:c r="Y59" s="28" t="str">
        <x:v>десерты</x:v>
      </x:c>
      <x:c r="Z59" s="28" t="str">
        <x:v>Средняя</x:v>
      </x:c>
      <x:c r="AA59" s="28" t="str">
        <x:v>Тезариус вкусов (Ники Сегнит)(1).pdf</x:v>
      </x:c>
      <x:c r="AB59" s="28" t="str">
        <x:v>Тезариус вкусов (Ники Сегнит)(1).pdf: 801, 924</x:v>
      </x:c>
      <x:c r="AC59" s="28" t="str">
        <x:v>Пара встречается как thesaurus; научное объяснение сформировано по ароматическому профилю и пищевой матрице.</x:v>
      </x:c>
      <x:c r="AD59" s="28" t="n">
        <x:v>1</x:v>
      </x:c>
      <x:c r="AE59" s="28" t="n">
        <x:v>2</x:v>
      </x:c>
      <x:c r="AF59" s="28" t="n">
        <x:f>IF(Z59="Высокая",3,IF(Z59="Средняя",2,1))+AD59*2+MIN(AE59,3)</x:f>
        <x:v>6</x:v>
      </x:c>
    </x:row>
    <x:row r="60" ht="62" customHeight="1">
      <x:c r="A60" s="28" t="str">
        <x:v>NCT-0059</x:v>
      </x:c>
      <x:c r="B60" s="28" t="str">
        <x:v>белый шоколад</x:v>
      </x:c>
      <x:c r="C60" s="28" t="str">
        <x:v>Универсальные</x:v>
      </x:c>
      <x:c r="D60" s="28" t="str">
        <x:v>белый шоколад</x:v>
      </x:c>
      <x:c r="E60" s="28" t="str">
        <x:v>Белый шоколад | белый шоколад</x:v>
      </x:c>
      <x:c r="F60" s="28" t="str">
        <x:v>Какао и шоколад</x:v>
      </x:c>
      <x:c r="G60" s="28" t="str">
        <x:v>малина</x:v>
      </x:c>
      <x:c r="H60" s="28" t="str">
        <x:v>Малина | малина</x:v>
      </x:c>
      <x:c r="I60" s="28" t="str">
        <x:v>Прочее</x:v>
      </x:c>
      <x:c r="J60" s="28" t="str">
        <x:v>сливочный, ванильный, карамельный и маслянистый без выраженного какаового жареного профиля</x:v>
      </x:c>
      <x:c r="K60" s="28" t="str">
        <x:v>цветочный, ягодный</x:v>
      </x:c>
      <x:c r="L60" s="28" t="str">
        <x:v>ванилин, лактоны, диацетил, молочные альдегиды</x:v>
      </x:c>
      <x:c r="M60" s="28" t="str">
        <x:v>иононы, малиновый кетон</x:v>
      </x:c>
      <x:c r="N60" s="28" t="str">
        <x:v>прямое пересечение семейств не является единственным объяснением</x:v>
      </x:c>
      <x:c r="O60" s="28" t="str">
        <x:v>надежная общая ключевая молекула не подтверждена</x:v>
      </x:c>
      <x:c r="P60" s="28" t="str">
        <x:v>сенсорная комплементарность</x:v>
      </x:c>
      <x:c r="Q60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0" s="28" t="str">
        <x:v>минимальный</x:v>
      </x:c>
      <x:c r="S60" s="28" t="str">
        <x:v>какао-масло, сахар и молочные компоненты; сильный липофильный носитель</x:v>
      </x:c>
      <x:c r="T60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60" s="28" t="str">
        <x:v>Белый шоколад имеет профиль «сливочный, ванильный, карамельный и маслянистый без выраженного какаового жареного профиля». Партнёр «малина» относится к группе «Прочее» и даёт цветочный, ягодный.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0" s="28" t="str">
        <x:v>легко становится приторным и восковым; требует точной температуры темперирования</x:v>
      </x:c>
      <x:c r="W60" s="28" t="str">
        <x:v>соль, ваниль или карамель</x:v>
      </x:c>
      <x:c r="X60" s="28" t="str">
        <x:v>ганаш, плитка, крем, мусс, напиток, глазурь или соус с малина</x:v>
      </x:c>
      <x:c r="Y60" s="28" t="str">
        <x:v>десерты</x:v>
      </x:c>
      <x:c r="Z60" s="28" t="str">
        <x:v>Средняя</x:v>
      </x:c>
      <x:c r="AA60" s="28" t="str">
        <x:v>Тезариус вкусов (Ники Сегнит)(1).pdf</x:v>
      </x:c>
      <x:c r="AB60" s="28" t="str">
        <x:v>Тезариус вкусов (Ники Сегнит)(1).pdf: 886, 925</x:v>
      </x:c>
      <x:c r="AC60" s="28" t="str">
        <x:v>Пара встречается как thesaurus; научное объяснение сформировано по ароматическому профилю и пищевой матрице.</x:v>
      </x:c>
      <x:c r="AD60" s="28" t="n">
        <x:v>1</x:v>
      </x:c>
      <x:c r="AE60" s="28" t="n">
        <x:v>2</x:v>
      </x:c>
      <x:c r="AF60" s="28" t="n">
        <x:f>IF(Z60="Высокая",3,IF(Z60="Средняя",2,1))+AD60*2+MIN(AE60,3)</x:f>
        <x:v>6</x:v>
      </x:c>
    </x:row>
    <x:row r="61" ht="62" customHeight="1">
      <x:c r="A61" s="28" t="str">
        <x:v>NCT-0060</x:v>
      </x:c>
      <x:c r="B61" s="28" t="str">
        <x:v>белый шоколад</x:v>
      </x:c>
      <x:c r="C61" s="28" t="str">
        <x:v>Универсальные</x:v>
      </x:c>
      <x:c r="D61" s="28" t="str">
        <x:v>белый шоколад</x:v>
      </x:c>
      <x:c r="E61" s="28" t="str">
        <x:v>Белый шоколад | белый шоколад</x:v>
      </x:c>
      <x:c r="F61" s="28" t="str">
        <x:v>Какао и шоколад</x:v>
      </x:c>
      <x:c r="G61" s="28" t="str">
        <x:v>оливки</x:v>
      </x:c>
      <x:c r="H61" s="28" t="str">
        <x:v>Оливки | оливки</x:v>
      </x:c>
      <x:c r="I61" s="28" t="str">
        <x:v>Прочее</x:v>
      </x:c>
      <x:c r="J61" s="28" t="str">
        <x:v>сливочный, ванильный, карамельный и маслянистый без выраженного какаового жареного профиля</x:v>
      </x:c>
      <x:c r="K61" s="28" t="str">
        <x:v>профиль зависит от конкретного продукта</x:v>
      </x:c>
      <x:c r="L61" s="28" t="str">
        <x:v>ванилин, лактоны, диацетил, молочные альдегиды</x:v>
      </x:c>
      <x:c r="M61" s="28" t="str">
        <x:v>характерный профиль зависит от конкретного продукта</x:v>
      </x:c>
      <x:c r="N61" s="28" t="str">
        <x:v>прямое пересечение семейств не является единственным объяснением</x:v>
      </x:c>
      <x:c r="O61" s="28" t="str">
        <x:v>надежная общая ключевая молекула не подтверждена</x:v>
      </x:c>
      <x:c r="P61" s="28" t="str">
        <x:v>сенсорная комплементарность</x:v>
      </x:c>
      <x:c r="Q61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1" s="28" t="str">
        <x:v>минимальный</x:v>
      </x:c>
      <x:c r="S61" s="28" t="str">
        <x:v>какао-масло, сахар и молочные компоненты; сильный липофильный носитель</x:v>
      </x:c>
      <x:c r="T61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61" s="28" t="str">
        <x:v>Белый шоколад имеет профиль «сливочный, ванильный, карамельный и маслянистый без выраженного какаового жареного профиля». Партнёр «оливки»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1" s="28" t="str">
        <x:v>легко становится приторным и восковым; требует точной температуры темперирования</x:v>
      </x:c>
      <x:c r="W61" s="28" t="str">
        <x:v>соль, ваниль или карамель</x:v>
      </x:c>
      <x:c r="X61" s="28" t="str">
        <x:v>ганаш, плитка, крем, мусс, напиток, глазурь или соус с оливки</x:v>
      </x:c>
      <x:c r="Y61" s="28" t="str">
        <x:v>десерты</x:v>
      </x:c>
      <x:c r="Z61" s="28" t="str">
        <x:v>Средняя</x:v>
      </x:c>
      <x:c r="AA61" s="28" t="str">
        <x:v>Тезариус вкусов (Ники Сегнит)(1).pdf</x:v>
      </x:c>
      <x:c r="AB61" s="28" t="str">
        <x:v>Тезариус вкусов (Ники Сегнит)(1).pdf: 464, 926</x:v>
      </x:c>
      <x:c r="AC61" s="28" t="str">
        <x:v>Пара встречается как thesaurus; научное объяснение сформировано по ароматическому профилю и пищевой матрице.</x:v>
      </x:c>
      <x:c r="AD61" s="28" t="n">
        <x:v>1</x:v>
      </x:c>
      <x:c r="AE61" s="28" t="n">
        <x:v>2</x:v>
      </x:c>
      <x:c r="AF61" s="28" t="n">
        <x:f>IF(Z61="Высокая",3,IF(Z61="Средняя",2,1))+AD61*2+MIN(AE61,3)</x:f>
        <x:v>6</x:v>
      </x:c>
    </x:row>
    <x:row r="62" ht="62" customHeight="1">
      <x:c r="A62" s="28" t="str">
        <x:v>NCT-0061</x:v>
      </x:c>
      <x:c r="B62" s="28" t="str">
        <x:v>белый шоколад</x:v>
      </x:c>
      <x:c r="C62" s="28" t="str">
        <x:v>Универсальные</x:v>
      </x:c>
      <x:c r="D62" s="28" t="str">
        <x:v>белый шоколад</x:v>
      </x:c>
      <x:c r="E62" s="28" t="str">
        <x:v>blond chocolate</x:v>
      </x:c>
      <x:c r="F62" s="28" t="str">
        <x:v>Какао и шоколад</x:v>
      </x:c>
      <x:c r="G62" s="28" t="str">
        <x:v>пармезан</x:v>
      </x:c>
      <x:c r="H62" s="28" t="str">
        <x:v>Parmigiano-Reggiano</x:v>
      </x:c>
      <x:c r="I62" s="28" t="str">
        <x:v>Прочее</x:v>
      </x:c>
      <x:c r="J62" s="28" t="str">
        <x:v>сливочный, ванильный, карамельный и маслянистый без выраженного какаового жареного профиля</x:v>
      </x:c>
      <x:c r="K62" s="28" t="str">
        <x:v>профиль зависит от конкретного продукта</x:v>
      </x:c>
      <x:c r="L62" s="28" t="str">
        <x:v>ванилин, лактоны, диацетил, молочные альдегиды</x:v>
      </x:c>
      <x:c r="M62" s="28" t="str">
        <x:v>характерный профиль зависит от конкретного продукта</x:v>
      </x:c>
      <x:c r="N62" s="28" t="str">
        <x:v>прямое пересечение семейств не является единственным объяснением</x:v>
      </x:c>
      <x:c r="O62" s="28" t="str">
        <x:v>надежная общая ключевая молекула не подтверждена</x:v>
      </x:c>
      <x:c r="P62" s="28" t="str">
        <x:v>сенсорная комплементарность</x:v>
      </x:c>
      <x:c r="Q62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2" s="28" t="str">
        <x:v>минимальный</x:v>
      </x:c>
      <x:c r="S62" s="28" t="str">
        <x:v>какао-масло, сахар и молочные компоненты; сильный липофильный носитель</x:v>
      </x:c>
      <x:c r="T62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62" s="28" t="str">
        <x:v>Белый шоколад имеет профиль «сливочный, ванильный, карамельный и маслянистый без выраженного какаового жареного профиля». Партнёр «пармезан»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2" s="28" t="str">
        <x:v>легко становится приторным и восковым; требует точной температуры темперирования</x:v>
      </x:c>
      <x:c r="W62" s="28" t="str">
        <x:v>соль, ваниль или карамель</x:v>
      </x:c>
      <x:c r="X62" s="28" t="str">
        <x:v>ганаш, плитка, крем, мусс, напиток, глазурь или соус с пармезан</x:v>
      </x:c>
      <x:c r="Y62" s="28" t="str">
        <x:v>десерты</x:v>
      </x:c>
      <x:c r="Z62" s="28" t="str">
        <x:v>Средняя</x:v>
      </x:c>
      <x:c r="AA62" s="28" t="str">
        <x:v>The Art &amp; Science of Foodpairing.pdf</x:v>
      </x:c>
      <x:c r="AB62" s="28" t="str">
        <x:v>The Art &amp; Science of Foodpairing.pdf: 282</x:v>
      </x:c>
      <x:c r="AC62" s="28" t="str">
        <x:v>Пара встречается как grid; научное объяснение сформировано по ароматическому профилю и пищевой матрице.</x:v>
      </x:c>
      <x:c r="AD62" s="28" t="n">
        <x:v>1</x:v>
      </x:c>
      <x:c r="AE62" s="28" t="n">
        <x:v>1</x:v>
      </x:c>
      <x:c r="AF62" s="28" t="n">
        <x:f>IF(Z62="Высокая",3,IF(Z62="Средняя",2,1))+AD62*2+MIN(AE62,3)</x:f>
        <x:v>5</x:v>
      </x:c>
    </x:row>
    <x:row r="63" ht="62" customHeight="1">
      <x:c r="A63" s="28" t="str">
        <x:v>NCT-0062</x:v>
      </x:c>
      <x:c r="B63" s="28" t="str">
        <x:v>белый шоколад</x:v>
      </x:c>
      <x:c r="C63" s="28" t="str">
        <x:v>Универсальные</x:v>
      </x:c>
      <x:c r="D63" s="28" t="str">
        <x:v>белый шоколад</x:v>
      </x:c>
      <x:c r="E63" s="28" t="str">
        <x:v>white chocolate</x:v>
      </x:c>
      <x:c r="F63" s="28" t="str">
        <x:v>Какао и шоколад</x:v>
      </x:c>
      <x:c r="G63" s="28" t="str">
        <x:v>перечная мята</x:v>
      </x:c>
      <x:c r="H63" s="28" t="str">
        <x:v>peppermint</x:v>
      </x:c>
      <x:c r="I63" s="28" t="str">
        <x:v>Травы, цветы и листья</x:v>
      </x:c>
      <x:c r="J63" s="28" t="str">
        <x:v>сливочный, ванильный, карамельный и маслянистый без выраженного какаового жареного профиля</x:v>
      </x:c>
      <x:c r="K63" s="28" t="str">
        <x:v>зелёный, холодящий</x:v>
      </x:c>
      <x:c r="L63" s="28" t="str">
        <x:v>ванилин, лактоны, диацетил, молочные альдегиды</x:v>
      </x:c>
      <x:c r="M63" s="28" t="str">
        <x:v>ментол</x:v>
      </x:c>
      <x:c r="N63" s="28" t="str">
        <x:v>прямое пересечение семейств не является единственным объяснением</x:v>
      </x:c>
      <x:c r="O63" s="28" t="str">
        <x:v>надежная общая ключевая молекула не подтверждена</x:v>
      </x:c>
      <x:c r="P63" s="28" t="str">
        <x:v>сенсорная комплементарность</x:v>
      </x:c>
      <x:c r="Q63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3" s="28" t="str">
        <x:v>минимальный</x:v>
      </x:c>
      <x:c r="S63" s="28" t="str">
        <x:v>какао-масло, сахар и молочные компоненты; сильный липофильный носитель</x:v>
      </x:c>
      <x:c r="T63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63" s="28" t="str">
        <x:v>Белый шоколад имеет профиль «сливочный, ванильный, карамельный и маслянистый без выраженного какаового жареного профиля». Партнёр «перечная мята» относится к группе «Травы, цветы и листья» и даёт зелёный, холодящий.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3" s="28" t="str">
        <x:v>легко становится приторным и восковым; требует точной температуры темперирования</x:v>
      </x:c>
      <x:c r="W63" s="28" t="str">
        <x:v>цитрус, мёд или сливки</x:v>
      </x:c>
      <x:c r="X63" s="28" t="str">
        <x:v>ганаш, плитка, крем, мусс, напиток, глазурь или соус с перечная мята</x:v>
      </x:c>
      <x:c r="Y63" s="28" t="str">
        <x:v>десерты</x:v>
      </x:c>
      <x:c r="Z63" s="28" t="str">
        <x:v>Высокая</x:v>
      </x:c>
      <x:c r="AA63" s="28" t="str">
        <x:v>The Art &amp; Science of Foodpairing.pdf</x:v>
      </x:c>
      <x:c r="AB63" s="28" t="str">
        <x:v>The Art &amp; Science of Foodpairing.pdf: 61</x:v>
      </x:c>
      <x:c r="AC63" s="28" t="str">
        <x:v>Пара встречается как classic; научное объяснение сформировано по ароматическому профилю и пищевой матрице.</x:v>
      </x:c>
      <x:c r="AD63" s="28" t="n">
        <x:v>1</x:v>
      </x:c>
      <x:c r="AE63" s="28" t="n">
        <x:v>1</x:v>
      </x:c>
      <x:c r="AF63" s="28" t="n">
        <x:f>IF(Z63="Высокая",3,IF(Z63="Средняя",2,1))+AD63*2+MIN(AE63,3)</x:f>
        <x:v>6</x:v>
      </x:c>
    </x:row>
    <x:row r="64" ht="62" customHeight="1">
      <x:c r="A64" s="28" t="str">
        <x:v>NCT-0063</x:v>
      </x:c>
      <x:c r="B64" s="28" t="str">
        <x:v>белый шоколад</x:v>
      </x:c>
      <x:c r="C64" s="28" t="str">
        <x:v>Универсальные</x:v>
      </x:c>
      <x:c r="D64" s="28" t="str">
        <x:v>белый шоколад</x:v>
      </x:c>
      <x:c r="E64" s="28" t="str">
        <x:v>white chocolate</x:v>
      </x:c>
      <x:c r="F64" s="28" t="str">
        <x:v>Какао и шоколад</x:v>
      </x:c>
      <x:c r="G64" s="28" t="str">
        <x:v>ростки пшеницы</x:v>
      </x:c>
      <x:c r="H64" s="28" t="str">
        <x:v>wheatgrass</x:v>
      </x:c>
      <x:c r="I64" s="28" t="str">
        <x:v>Прочее</x:v>
      </x:c>
      <x:c r="J64" s="28" t="str">
        <x:v>сливочный, ванильный, карамельный и маслянистый без выраженного какаового жареного профиля</x:v>
      </x:c>
      <x:c r="K64" s="28" t="str">
        <x:v>профиль зависит от конкретного продукта</x:v>
      </x:c>
      <x:c r="L64" s="28" t="str">
        <x:v>ванилин, лактоны, диацетил, молочные альдегиды</x:v>
      </x:c>
      <x:c r="M64" s="28" t="str">
        <x:v>характерный профиль зависит от конкретного продукта</x:v>
      </x:c>
      <x:c r="N64" s="28" t="str">
        <x:v>прямое пересечение семейств не является единственным объяснением</x:v>
      </x:c>
      <x:c r="O64" s="28" t="str">
        <x:v>надежная общая ключевая молекула не подтверждена</x:v>
      </x:c>
      <x:c r="P64" s="28" t="str">
        <x:v>сенсорная комплементарность</x:v>
      </x:c>
      <x:c r="Q64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4" s="28" t="str">
        <x:v>минимальный</x:v>
      </x:c>
      <x:c r="S64" s="28" t="str">
        <x:v>какао-масло, сахар и молочные компоненты; сильный липофильный носитель</x:v>
      </x:c>
      <x:c r="T64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64" s="28" t="str">
        <x:v>Белый шоколад имеет профиль «сливочный, ванильный, карамельный и маслянистый без выраженного какаового жареного профиля». Партнёр «ростки пшеницы»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4" s="28" t="str">
        <x:v>легко становится приторным и восковым; требует точной температуры темперирования</x:v>
      </x:c>
      <x:c r="W64" s="28" t="str">
        <x:v>соль, ваниль или карамель</x:v>
      </x:c>
      <x:c r="X64" s="28" t="str">
        <x:v>ганаш, плитка, крем, мусс, напиток, глазурь или соус с ростки пшеницы</x:v>
      </x:c>
      <x:c r="Y64" s="28" t="str">
        <x:v>десерты</x:v>
      </x:c>
      <x:c r="Z64" s="28" t="str">
        <x:v>Высокая</x:v>
      </x:c>
      <x:c r="AA64" s="28" t="str">
        <x:v>The Art &amp; Science of Foodpairing.pdf</x:v>
      </x:c>
      <x:c r="AB64" s="28" t="str">
        <x:v>The Art &amp; Science of Foodpairing.pdf: 61</x:v>
      </x:c>
      <x:c r="AC64" s="28" t="str">
        <x:v>Пара встречается как chef's; научное объяснение сформировано по ароматическому профилю и пищевой матрице.</x:v>
      </x:c>
      <x:c r="AD64" s="28" t="n">
        <x:v>1</x:v>
      </x:c>
      <x:c r="AE64" s="28" t="n">
        <x:v>1</x:v>
      </x:c>
      <x:c r="AF64" s="28" t="n">
        <x:f>IF(Z64="Высокая",3,IF(Z64="Средняя",2,1))+AD64*2+MIN(AE64,3)</x:f>
        <x:v>6</x:v>
      </x:c>
    </x:row>
    <x:row r="65" ht="62" customHeight="1">
      <x:c r="A65" s="28" t="str">
        <x:v>NCT-0064</x:v>
      </x:c>
      <x:c r="B65" s="28" t="str">
        <x:v>белый шоколад</x:v>
      </x:c>
      <x:c r="C65" s="28" t="str">
        <x:v>Еда и соусы</x:v>
      </x:c>
      <x:c r="D65" s="28" t="str">
        <x:v>белый шоколад</x:v>
      </x:c>
      <x:c r="E65" s="28" t="str">
        <x:v>Белый шоколад | белый шоколад</x:v>
      </x:c>
      <x:c r="F65" s="28" t="str">
        <x:v>Какао и шоколад</x:v>
      </x:c>
      <x:c r="G65" s="28" t="str">
        <x:v>черная икра</x:v>
      </x:c>
      <x:c r="H65" s="28" t="str">
        <x:v>Черная икра | черная икра</x:v>
      </x:c>
      <x:c r="I65" s="28" t="str">
        <x:v>Рыба и морепродукты</x:v>
      </x:c>
      <x:c r="J65" s="28" t="str">
        <x:v>сливочный, ванильный, карамельный и маслянистый без выраженного какаового жареного профиля</x:v>
      </x:c>
      <x:c r="K65" s="28" t="str">
        <x:v>морской, солоноватый и умами</x:v>
      </x:c>
      <x:c r="L65" s="28" t="str">
        <x:v>ванилин, лактоны, диацетил, молочные альдегиды</x:v>
      </x:c>
      <x:c r="M65" s="28" t="str">
        <x:v>альдегиды, амины</x:v>
      </x:c>
      <x:c r="N65" s="28" t="str">
        <x:v>прямое пересечение семейств не является единственным объяснением</x:v>
      </x:c>
      <x:c r="O65" s="28" t="str">
        <x:v>надежная общая ключевая молекула не подтверждена</x:v>
      </x:c>
      <x:c r="P65" s="28" t="str">
        <x:v>солёно-умами контраст</x:v>
      </x:c>
      <x:c r="Q65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5" s="28" t="str">
        <x:v>минимальный</x:v>
      </x:c>
      <x:c r="S65" s="28" t="str">
        <x:v>какао-масло, сахар и молочные компоненты; сильный липофильный носитель</x:v>
      </x:c>
      <x:c r="T65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65" s="28" t="str">
        <x:v>Белый шоколад имеет профиль «сливочный, ванильный, карамельный и маслянистый без выраженного какаового жареного профиля». Партнёр «черная икра»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5" s="28" t="str">
        <x:v>легко становится приторным и восковым; требует точной температуры темперирования; малейшая прогорклость ореха или шоколада усиливает неприятные рыбные оттенки</x:v>
      </x:c>
      <x:c r="W65" s="28" t="str">
        <x:v>соль, соевый соус, коричневое масло или специя</x:v>
      </x:c>
      <x:c r="X65" s="28" t="str">
        <x:v>ганаш, плитка, крем, мусс, напиток, глазурь или соус с черная икра</x:v>
      </x:c>
      <x:c r="Y65" s="28" t="str">
        <x:v>еда, десерты, соусы/маринады</x:v>
      </x:c>
      <x:c r="Z65" s="28" t="str">
        <x:v>Средняя</x:v>
      </x:c>
      <x:c r="AA65" s="28" t="str">
        <x:v>Тезариус вкусов (Ники Сегнит)(1).pdf</x:v>
      </x:c>
      <x:c r="AB65" s="28" t="str">
        <x:v>Тезариус вкусов (Ники Сегнит)(1).pdf: 405, 926</x:v>
      </x:c>
      <x:c r="AC65" s="28" t="str">
        <x:v>Пара встречается как thesaurus; научное объяснение сформировано по ароматическому профилю и пищевой матрице.</x:v>
      </x:c>
      <x:c r="AD65" s="28" t="n">
        <x:v>1</x:v>
      </x:c>
      <x:c r="AE65" s="28" t="n">
        <x:v>2</x:v>
      </x:c>
      <x:c r="AF65" s="28" t="n">
        <x:f>IF(Z65="Высокая",3,IF(Z65="Средняя",2,1))+AD65*2+MIN(AE65,3)</x:f>
        <x:v>6</x:v>
      </x:c>
    </x:row>
    <x:row r="66" ht="62" customHeight="1">
      <x:c r="A66" s="28" t="str">
        <x:v>NCT-0065</x:v>
      </x:c>
      <x:c r="B66" s="28" t="str">
        <x:v>белый шоколад</x:v>
      </x:c>
      <x:c r="C66" s="28" t="str">
        <x:v>Напитки</x:v>
      </x:c>
      <x:c r="D66" s="28" t="str">
        <x:v>белый шоколад</x:v>
      </x:c>
      <x:c r="E66" s="28" t="str">
        <x:v>blond chocolate</x:v>
      </x:c>
      <x:c r="F66" s="28" t="str">
        <x:v>Какао и шоколад</x:v>
      </x:c>
      <x:c r="G66" s="28" t="str">
        <x:v>чёрный чай</x:v>
      </x:c>
      <x:c r="H66" s="28" t="str">
        <x:v>lapsang souchong tea</x:v>
      </x:c>
      <x:c r="I66" s="28" t="str">
        <x:v>Чай</x:v>
      </x:c>
      <x:c r="J66" s="28" t="str">
        <x:v>сливочный, ванильный, карамельный и маслянистый без выраженного какаового жареного профиля</x:v>
      </x:c>
      <x:c r="K66" s="28" t="str">
        <x:v>мальтовый, цветочный, фруктовый, древесный и слегка дымный</x:v>
      </x:c>
      <x:c r="L66" s="28" t="str">
        <x:v>ванилин, лактоны, диацетил, молочные альдегиды</x:v>
      </x:c>
      <x:c r="M66" s="28" t="str">
        <x:v>3-метилбутаналь, гераниол, линалол, теафлавины, фенольные соединения</x:v>
      </x:c>
      <x:c r="N66" s="28" t="str">
        <x:v>прямое пересечение семейств не является единственным объяснением</x:v>
      </x:c>
      <x:c r="O66" s="28" t="str">
        <x:v>надежная общая ключевая молекула не подтверждена</x:v>
      </x:c>
      <x:c r="P66" s="28" t="str">
        <x:v>сенсорная комплементарность</x:v>
      </x:c>
      <x:c r="Q66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6" s="28" t="str">
        <x:v>минимальный</x:v>
      </x:c>
      <x:c r="S66" s="28" t="str">
        <x:v>какао-масло, сахар и молочные компоненты; сильный липофильный носитель Вода извлекает танины быстрее, чем гидрофобные ореховые и какаовые молекулы, поэтому полезна жировая или спиртовая мостовая фаза.</x:v>
      </x:c>
      <x:c r="T66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66" s="28" t="str">
        <x:v>Белый шоколад имеет профиль «сливочный, ванильный, карамельный и маслянистый без выраженного какаового жареного профиля». Партнёр «чёрный чай» относится к группе «Чай» и даёт мальтовый, цветочный, фруктовый, древесный и слегка дымный.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6" s="28" t="str">
        <x:v>легко становится приторным и восковым; требует точной температуры темперирования</x:v>
      </x:c>
      <x:c r="W66" s="28" t="str">
        <x:v>соль, ваниль или карамель</x:v>
      </x:c>
      <x:c r="X66" s="28" t="str">
        <x:v>ганаш, плитка, крем, мусс, напиток, глазурь или соус с чёрный чай</x:v>
      </x:c>
      <x:c r="Y66" s="28" t="str">
        <x:v>напитки, десерты</x:v>
      </x:c>
      <x:c r="Z66" s="28" t="str">
        <x:v>Высокая</x:v>
      </x:c>
      <x:c r="AA66" s="28" t="str">
        <x:v>The Art &amp; Science of Foodpairing.pdf</x:v>
      </x:c>
      <x:c r="AB66" s="28" t="str">
        <x:v>The Art &amp; Science of Foodpairing.pdf: 365</x:v>
      </x:c>
      <x:c r="AC66" s="28" t="str">
        <x:v>Пара встречается как potential; научное объяснение сформировано по ароматическому профилю и пищевой матрице.</x:v>
      </x:c>
      <x:c r="AD66" s="28" t="n">
        <x:v>1</x:v>
      </x:c>
      <x:c r="AE66" s="28" t="n">
        <x:v>1</x:v>
      </x:c>
      <x:c r="AF66" s="28" t="n">
        <x:f>IF(Z66="Высокая",3,IF(Z66="Средняя",2,1))+AD66*2+MIN(AE66,3)</x:f>
        <x:v>6</x:v>
      </x:c>
    </x:row>
    <x:row r="67" ht="62" customHeight="1">
      <x:c r="A67" s="28" t="str">
        <x:v>NCT-0066</x:v>
      </x:c>
      <x:c r="B67" s="28" t="str">
        <x:v>белый шоколад</x:v>
      </x:c>
      <x:c r="C67" s="28" t="str">
        <x:v>Универсальные</x:v>
      </x:c>
      <x:c r="D67" s="28" t="str">
        <x:v>белый шоколад</x:v>
      </x:c>
      <x:c r="E67" s="28" t="str">
        <x:v>Белый шоколад | белый шоколад</x:v>
      </x:c>
      <x:c r="F67" s="28" t="str">
        <x:v>Какао и шоколад</x:v>
      </x:c>
      <x:c r="G67" s="28" t="str">
        <x:v>шафран</x:v>
      </x:c>
      <x:c r="H67" s="28" t="str">
        <x:v>Шафран | шафран</x:v>
      </x:c>
      <x:c r="I67" s="28" t="str">
        <x:v>Прочее</x:v>
      </x:c>
      <x:c r="J67" s="28" t="str">
        <x:v>сливочный, ванильный, карамельный и маслянистый без выраженного какаового жареного профиля</x:v>
      </x:c>
      <x:c r="K67" s="28" t="str">
        <x:v>профиль зависит от конкретного продукта</x:v>
      </x:c>
      <x:c r="L67" s="28" t="str">
        <x:v>ванилин, лактоны, диацетил, молочные альдегиды</x:v>
      </x:c>
      <x:c r="M67" s="28" t="str">
        <x:v>характерный профиль зависит от конкретного продукта</x:v>
      </x:c>
      <x:c r="N67" s="28" t="str">
        <x:v>прямое пересечение семейств не является единственным объяснением</x:v>
      </x:c>
      <x:c r="O67" s="28" t="str">
        <x:v>надежная общая ключевая молекула не подтверждена</x:v>
      </x:c>
      <x:c r="P67" s="28" t="str">
        <x:v>сенсорная комплементарность</x:v>
      </x:c>
      <x:c r="Q67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7" s="28" t="str">
        <x:v>минимальный</x:v>
      </x:c>
      <x:c r="S67" s="28" t="str">
        <x:v>какао-масло, сахар и молочные компоненты; сильный липофильный носитель</x:v>
      </x:c>
      <x:c r="T67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67" s="28" t="str">
        <x:v>Белый шоколад имеет профиль «сливочный, ванильный, карамельный и маслянистый без выраженного какаового жареного профиля». Партнёр «шафран»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7" s="28" t="str">
        <x:v>легко становится приторным и восковым; требует точной температуры темперирования</x:v>
      </x:c>
      <x:c r="W67" s="28" t="str">
        <x:v>соль, ваниль или карамель</x:v>
      </x:c>
      <x:c r="X67" s="28" t="str">
        <x:v>ганаш, плитка, крем, мусс, напиток, глазурь или соус с шафран</x:v>
      </x:c>
      <x:c r="Y67" s="28" t="str">
        <x:v>десерты</x:v>
      </x:c>
      <x:c r="Z67" s="28" t="str">
        <x:v>Средняя</x:v>
      </x:c>
      <x:c r="AA67" s="28" t="str">
        <x:v>Тезариус вкусов (Ники Сегнит)(1).pdf</x:v>
      </x:c>
      <x:c r="AB67" s="28" t="str">
        <x:v>Тезариус вкусов (Ники Сегнит)(1).pdf: 474, 927</x:v>
      </x:c>
      <x:c r="AC67" s="28" t="str">
        <x:v>Пара встречается как thesaurus; научное объяснение сформировано по ароматическому профилю и пищевой матрице.</x:v>
      </x:c>
      <x:c r="AD67" s="28" t="n">
        <x:v>1</x:v>
      </x:c>
      <x:c r="AE67" s="28" t="n">
        <x:v>2</x:v>
      </x:c>
      <x:c r="AF67" s="28" t="n">
        <x:f>IF(Z67="Высокая",3,IF(Z67="Средняя",2,1))+AD67*2+MIN(AE67,3)</x:f>
        <x:v>6</x:v>
      </x:c>
    </x:row>
    <x:row r="68" ht="62" customHeight="1">
      <x:c r="A68" s="28" t="str">
        <x:v>NCT-0067</x:v>
      </x:c>
      <x:c r="B68" s="28" t="str">
        <x:v>белый шоколад</x:v>
      </x:c>
      <x:c r="C68" s="28" t="str">
        <x:v>Десерты и выпечка</x:v>
      </x:c>
      <x:c r="D68" s="28" t="str">
        <x:v>белый шоколад</x:v>
      </x:c>
      <x:c r="E68" s="28" t="str">
        <x:v>белый шоколад</x:v>
      </x:c>
      <x:c r="F68" s="28" t="str">
        <x:v>Какао и шоколад</x:v>
      </x:c>
      <x:c r="G68" s="28" t="str">
        <x:v>шоколад темный</x:v>
      </x:c>
      <x:c r="H68" s="28" t="str">
        <x:v>Шоколад темный</x:v>
      </x:c>
      <x:c r="I68" s="28" t="str">
        <x:v>Какао и шоколад</x:v>
      </x:c>
      <x:c r="J68" s="28" t="str">
        <x:v>сливочный, ванильный, карамельный и маслянистый без выраженного какаового жареного профиля</x:v>
      </x:c>
      <x:c r="K68" s="28" t="str">
        <x:v>какаовый, жареный и горько-сладкий</x:v>
      </x:c>
      <x:c r="L68" s="28" t="str">
        <x:v>ванилин, лактоны, диацетил, молочные альдегиды</x:v>
      </x:c>
      <x:c r="M68" s="28" t="str">
        <x:v>альдегиды, пиразины, фураны</x:v>
      </x:c>
      <x:c r="N68" s="28" t="str">
        <x:v>карамельный</x:v>
      </x:c>
      <x:c r="O68" s="28" t="str">
        <x:v>надежная общая ключевая молекула не подтверждена</x:v>
      </x:c>
      <x:c r="P68" s="28" t="str">
        <x:v>пересечение ароматических семейств, жареная химия и реакции Майяра</x:v>
      </x:c>
      <x:c r="Q68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8" s="28" t="str">
        <x:v>минимальный</x:v>
      </x:c>
      <x:c r="S68" s="28" t="str">
        <x:v>какао-масло, сахар и молочные компоненты; сильный липофильный носитель</x:v>
      </x:c>
      <x:c r="T68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U68" s="28" t="str">
        <x:v>Белый шоколад имеет профиль «сливочный, ванильный, карамельный и маслянистый без выраженного какаового жареного профиля». Партнёр «шоколад темный» относится к группе «Какао и шоколад» и даёт какаовый, жареный и горько-сладкий. Профили пересекаются в семействах: карамельный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карамельный; механизм не следует сводить к одной общей молекуле.</x:v>
      </x:c>
      <x:c r="V68" s="28" t="str">
        <x:v>легко становится приторным и восковым; требует точной температуры темперирования</x:v>
      </x:c>
      <x:c r="W68" s="28" t="str">
        <x:v>соль, ваниль или карамель</x:v>
      </x:c>
      <x:c r="X68" s="28" t="str">
        <x:v>ганаш, плитка, крем, мусс, напиток, глазурь или соус с шоколад темный</x:v>
      </x:c>
      <x:c r="Y68" s="28" t="str">
        <x:v>десерты</x:v>
      </x:c>
      <x:c r="Z68" s="28" t="str">
        <x:v>Средняя</x:v>
      </x:c>
      <x:c r="AA68" s="28" t="str">
        <x:v>Тезариус вкусов (Ники Сегнит)(1).pdf</x:v>
      </x:c>
      <x:c r="AB68" s="28" t="str">
        <x:v>Тезариус вкусов (Ники Сегнит)(1).pdf: 27</x:v>
      </x:c>
      <x:c r="AC68" s="28" t="str">
        <x:v>Пара встречается как thesaurus; научное объяснение сформировано по ароматическому профилю и пищевой матрице.</x:v>
      </x:c>
      <x:c r="AD68" s="28" t="n">
        <x:v>1</x:v>
      </x:c>
      <x:c r="AE68" s="28" t="n">
        <x:v>1</x:v>
      </x:c>
      <x:c r="AF68" s="28" t="n">
        <x:f>IF(Z68="Высокая",3,IF(Z68="Средняя",2,1))+AD68*2+MIN(AE68,3)</x:f>
        <x:v>5</x:v>
      </x:c>
    </x:row>
    <x:row r="69" ht="62" customHeight="1">
      <x:c r="A69" s="28" t="str">
        <x:v>NCT-0068</x:v>
      </x:c>
      <x:c r="B69" s="28" t="str">
        <x:v>бразильский орех</x:v>
      </x:c>
      <x:c r="C69" s="28" t="str">
        <x:v>Еда и соусы</x:v>
      </x:c>
      <x:c r="D69" s="28" t="str">
        <x:v>бразильский орех</x:v>
      </x:c>
      <x:c r="E69" s="28" t="str">
        <x:v>Brazil nut</x:v>
      </x:c>
      <x:c r="F69" s="28" t="str">
        <x:v>Орехи и семена</x:v>
      </x:c>
      <x:c r="G69" s="28" t="str">
        <x:v>картофель фри</x:v>
      </x:c>
      <x:c r="H69" s="28" t="str">
        <x:v>French fries</x:v>
      </x:c>
      <x:c r="I69" s="28" t="str">
        <x:v>Овощи, бобовые и грибы</x:v>
      </x:c>
      <x:c r="J69" s="28" t="str">
        <x:v>маслянистый, древесный, землистый и мягко-ореховый</x:v>
      </x:c>
      <x:c r="K69" s="28" t="str">
        <x:v>зелёный, землистый или умами</x:v>
      </x:c>
      <x:c r="L69" s="28" t="str">
        <x:v>альдегиды, пиразины, сернистые следы</x:v>
      </x:c>
      <x:c r="M69" s="28" t="str">
        <x:v>альдегиды, сернистые соединения</x:v>
      </x:c>
      <x:c r="N69" s="28" t="str">
        <x:v>землистый</x:v>
      </x:c>
      <x:c r="O69" s="28" t="str">
        <x:v>альдегиды</x:v>
      </x:c>
      <x:c r="P69" s="28" t="str">
        <x:v>общие ароматические соединения, пересечение ароматических семейств</x:v>
      </x:c>
      <x:c r="Q6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69" s="28" t="str">
        <x:v>минимальный</x:v>
      </x:c>
      <x:c r="S69" s="28" t="str">
        <x:v>богатая жиром и белком матрица</x:v>
      </x:c>
      <x:c r="T69" s="28" t="str">
        <x:v>обжарка усиливает жареные и сернистые оттенки. Целый орех обжаривать умеренно, охлаждать перед измельчением и хранить герметично.</x:v>
      </x:c>
      <x:c r="U69" s="28" t="str">
        <x:v>Бразильский орех имеет профиль «маслянистый, древесный, землистый и мягко-ореховый». Партнёр «картофель фри»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землистый; альдегиды.</x:v>
      </x:c>
      <x:c r="V69" s="28" t="str">
        <x:v>аллерген; очень богат селеном, поэтому не подходит для бесконтрольной высокой дозировки</x:v>
      </x:c>
      <x:c r="W69" s="28" t="str">
        <x:v>соль, ваниль или карамель</x:v>
      </x:c>
      <x:c r="X69" s="28" t="str">
        <x:v>пралине, паста, выпечка, гарнир, соус, молочный или коктейльный компонент с картофель фри</x:v>
      </x:c>
      <x:c r="Y69" s="28" t="str">
        <x:v>еда, десерты, соусы/маринады</x:v>
      </x:c>
      <x:c r="Z69" s="28" t="str">
        <x:v>Средняя</x:v>
      </x:c>
      <x:c r="AA69" s="28" t="str">
        <x:v>The Art &amp; Science of Foodpairing.pdf</x:v>
      </x:c>
      <x:c r="AB69" s="28" t="str">
        <x:v>The Art &amp; Science of Foodpairing.pdf: 196</x:v>
      </x:c>
      <x:c r="AC69" s="28" t="str">
        <x:v>Пара встречается как grid; научное объяснение сформировано по ароматическому профилю и пищевой матрице.</x:v>
      </x:c>
      <x:c r="AD69" s="28" t="n">
        <x:v>1</x:v>
      </x:c>
      <x:c r="AE69" s="28" t="n">
        <x:v>1</x:v>
      </x:c>
      <x:c r="AF69" s="28" t="n">
        <x:f>IF(Z69="Высокая",3,IF(Z69="Средняя",2,1))+AD69*2+MIN(AE69,3)</x:f>
        <x:v>5</x:v>
      </x:c>
    </x:row>
    <x:row r="70" ht="62" customHeight="1">
      <x:c r="A70" s="28" t="str">
        <x:v>NCT-0069</x:v>
      </x:c>
      <x:c r="B70" s="28" t="str">
        <x:v>грецкий орех</x:v>
      </x:c>
      <x:c r="C70" s="28" t="str">
        <x:v>Универсальные</x:v>
      </x:c>
      <x:c r="D70" s="28" t="str">
        <x:v>грецкий орех</x:v>
      </x:c>
      <x:c r="E70" s="28" t="str">
        <x:v>walnut</x:v>
      </x:c>
      <x:c r="F70" s="28" t="str">
        <x:v>Орехи и семена</x:v>
      </x:c>
      <x:c r="G70" s="28" t="str">
        <x:v>peppercorns</x:v>
      </x:c>
      <x:c r="H70" s="28" t="str">
        <x:v>peppercorns</x:v>
      </x:c>
      <x:c r="I70" s="28" t="str">
        <x:v>Специи</x:v>
      </x:c>
      <x:c r="J70" s="28" t="str">
        <x:v>ореховый, древесный, землистый, слегка горький и маслянистый</x:v>
      </x:c>
      <x:c r="K70" s="28" t="str">
        <x:v>пряный и древесный</x:v>
      </x:c>
      <x:c r="L70" s="28" t="str">
        <x:v>гексаналь, пентаналь, пиразины, лактоны</x:v>
      </x:c>
      <x:c r="M70" s="28" t="str">
        <x:v>терпены, фенилпропаноиды</x:v>
      </x:c>
      <x:c r="N70" s="28" t="str">
        <x:v>древесный</x:v>
      </x:c>
      <x:c r="O70" s="28" t="str">
        <x:v>надежная общая ключевая молекула не подтверждена</x:v>
      </x:c>
      <x:c r="P70" s="28" t="str">
        <x:v>пересечение ароматических семейств</x:v>
      </x:c>
      <x:c r="Q7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70" s="28" t="str">
        <x:v>минимальный</x:v>
      </x:c>
      <x:c r="S70" s="28" t="str">
        <x:v>богатая полиненасыщенными жирами матрица, особенно склонная к окислению</x:v>
      </x:c>
      <x:c r="T70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70" s="28" t="str">
        <x:v>Грецкий орех имеет профиль «ореховый, древесный, землистый, слегка горький и маслянистый». Партнёр «peppercorns» относится к группе «Специи» и даёт пряный и древесный. Профили пересекаются в семействах: древесный Ореховый жир служит носителем ароматов и создаёт текстурный контраст, но окисление быстро превращает профиль в прогорклый. Итог: древесный; механизм не следует сводить к одной общей молекуле.</x:v>
      </x:c>
      <x:c r="V70" s="28" t="str">
        <x:v>аллерген; быстро окисляется; горькая кожица способна доминировать</x:v>
      </x:c>
      <x:c r="W70" s="28" t="str">
        <x:v>ваниль, апельсин или мёд</x:v>
      </x:c>
      <x:c r="X70" s="28" t="str">
        <x:v>пралине, паста, выпечка, гарнир, соус, молочный или коктейльный компонент с peppercorns</x:v>
      </x:c>
      <x:c r="Y70" s="28" t="str">
        <x:v>десерты</x:v>
      </x:c>
      <x:c r="Z70" s="28" t="str">
        <x:v>Средняя</x:v>
      </x:c>
      <x:c r="AA70" s="28" t="str">
        <x:v>The Art &amp; Science of Foodpairing.pdf</x:v>
      </x:c>
      <x:c r="AB70" s="28" t="str">
        <x:v>The Art &amp; Science of Foodpairing.pdf: 273, 274</x:v>
      </x:c>
      <x:c r="AC70" s="28" t="str">
        <x:v>Пара встречается как grid; научное объяснение сформировано по ароматическому профилю и пищевой матрице.</x:v>
      </x:c>
      <x:c r="AD70" s="28" t="n">
        <x:v>1</x:v>
      </x:c>
      <x:c r="AE70" s="28" t="n">
        <x:v>2</x:v>
      </x:c>
      <x:c r="AF70" s="28" t="n">
        <x:f>IF(Z70="Высокая",3,IF(Z70="Средняя",2,1))+AD70*2+MIN(AE70,3)</x:f>
        <x:v>6</x:v>
      </x:c>
    </x:row>
    <x:row r="71" ht="62" customHeight="1">
      <x:c r="A71" s="28" t="str">
        <x:v>NCT-0070</x:v>
      </x:c>
      <x:c r="B71" s="28" t="str">
        <x:v>грецкий орех</x:v>
      </x:c>
      <x:c r="C71" s="28" t="str">
        <x:v>Еда и соусы</x:v>
      </x:c>
      <x:c r="D71" s="28" t="str">
        <x:v>грецкий орех</x:v>
      </x:c>
      <x:c r="E71" s="28" t="str">
        <x:v>walnut</x:v>
      </x:c>
      <x:c r="F71" s="28" t="str">
        <x:v>Орехи и семена</x:v>
      </x:c>
      <x:c r="G71" s="28" t="str">
        <x:v>sweet potato</x:v>
      </x:c>
      <x:c r="H71" s="28" t="str">
        <x:v>sweet potato</x:v>
      </x:c>
      <x:c r="I71" s="28" t="str">
        <x:v>Овощи, бобовые и грибы</x:v>
      </x:c>
      <x:c r="J71" s="28" t="str">
        <x:v>ореховый, древесный, землистый, слегка горький и маслянистый</x:v>
      </x:c>
      <x:c r="K71" s="28" t="str">
        <x:v>зелёный, землистый или умами</x:v>
      </x:c>
      <x:c r="L71" s="28" t="str">
        <x:v>гексаналь, пентаналь, пиразины, лактоны</x:v>
      </x:c>
      <x:c r="M71" s="28" t="str">
        <x:v>альдегиды, сернистые соединения</x:v>
      </x:c>
      <x:c r="N71" s="28" t="str">
        <x:v>землистый</x:v>
      </x:c>
      <x:c r="O71" s="28" t="str">
        <x:v>надежная общая ключевая молекула не подтверждена</x:v>
      </x:c>
      <x:c r="P71" s="28" t="str">
        <x:v>пересечение ароматических семейств</x:v>
      </x:c>
      <x:c r="Q7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71" s="28" t="str">
        <x:v>минимальный</x:v>
      </x:c>
      <x:c r="S71" s="28" t="str">
        <x:v>богатая полиненасыщенными жирами матрица, особенно склонная к окислению</x:v>
      </x:c>
      <x:c r="T71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71" s="28" t="str">
        <x:v>Грецкий орех имеет профиль «ореховый, древесный, землистый, слегка горький и маслянистый». Партнёр «sweet potato»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V71" s="28" t="str">
        <x:v>аллерген; быстро окисляется; горькая кожица способна доминировать</x:v>
      </x:c>
      <x:c r="W71" s="28" t="str">
        <x:v>соль, ваниль или карамель</x:v>
      </x:c>
      <x:c r="X71" s="28" t="str">
        <x:v>пралине, паста, выпечка, гарнир, соус, молочный или коктейльный компонент с sweet potato</x:v>
      </x:c>
      <x:c r="Y71" s="28" t="str">
        <x:v>еда, десерты, соусы/маринады</x:v>
      </x:c>
      <x:c r="Z71" s="28" t="str">
        <x:v>Средняя</x:v>
      </x:c>
      <x:c r="AA71" s="28" t="str">
        <x:v>The Art &amp; Science of Foodpairing.pdf</x:v>
      </x:c>
      <x:c r="AB71" s="28" t="str">
        <x:v>The Art &amp; Science of Foodpairing.pdf: 119</x:v>
      </x:c>
      <x:c r="AC71" s="28" t="str">
        <x:v>Пара встречается как grid; научное объяснение сформировано по ароматическому профилю и пищевой матрице.</x:v>
      </x:c>
      <x:c r="AD71" s="28" t="n">
        <x:v>1</x:v>
      </x:c>
      <x:c r="AE71" s="28" t="n">
        <x:v>1</x:v>
      </x:c>
      <x:c r="AF71" s="28" t="n">
        <x:f>IF(Z71="Высокая",3,IF(Z71="Средняя",2,1))+AD71*2+MIN(AE71,3)</x:f>
        <x:v>5</x:v>
      </x:c>
    </x:row>
    <x:row r="72" ht="62" customHeight="1">
      <x:c r="A72" s="28" t="str">
        <x:v>NCT-0071</x:v>
      </x:c>
      <x:c r="B72" s="28" t="str">
        <x:v>грецкий орех</x:v>
      </x:c>
      <x:c r="C72" s="28" t="str">
        <x:v>Десерты и выпечка</x:v>
      </x:c>
      <x:c r="D72" s="28" t="str">
        <x:v>грецкий орех</x:v>
      </x:c>
      <x:c r="E72" s="28" t="str">
        <x:v>Грецкий орех</x:v>
      </x:c>
      <x:c r="F72" s="28" t="str">
        <x:v>Орехи и семена</x:v>
      </x:c>
      <x:c r="G72" s="28" t="str">
        <x:v>абрикос</x:v>
      </x:c>
      <x:c r="H72" s="28" t="str">
        <x:v>абрикос</x:v>
      </x:c>
      <x:c r="I72" s="28" t="str">
        <x:v>Фрукты и ягоды</x:v>
      </x:c>
      <x:c r="J72" s="28" t="str">
        <x:v>ореховый, древесный, землистый, слегка горький и маслянистый</x:v>
      </x:c>
      <x:c r="K72" s="28" t="str">
        <x:v>лактонный, миндальный, фруктовый</x:v>
      </x:c>
      <x:c r="L72" s="28" t="str">
        <x:v>гексаналь, пентаналь, пиразины, лактоны</x:v>
      </x:c>
      <x:c r="M72" s="28" t="str">
        <x:v>бензальдегид, лактоны</x:v>
      </x:c>
      <x:c r="N72" s="28" t="str">
        <x:v>прямое пересечение семейств не является единственным объяснением</x:v>
      </x:c>
      <x:c r="O72" s="28" t="str">
        <x:v>лактоны</x:v>
      </x:c>
      <x:c r="P72" s="28" t="str">
        <x:v>общие ароматические соединения, контраст кислоты и жирной/горькой матрицы</x:v>
      </x:c>
      <x:c r="Q7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72" s="28" t="str">
        <x:v>минимальный</x:v>
      </x:c>
      <x:c r="S72" s="28" t="str">
        <x:v>богатая полиненасыщенными жирами матрица, особенно склонная к окислению Водная фруктовая фаза требует эмульсии или мелкого измельчения, если орех или шоколад вводится как паста.</x:v>
      </x:c>
      <x:c r="T72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72" s="28" t="str">
        <x:v>Грецкий орех имеет профиль «ореховый, древесный, землистый, слегка горький и маслянистый». Партнёр «абрикос» относится к группе «Фрукты и ягоды» и даёт лактонный, миндальный, фруктовый. Молекулярный мост создают лактоны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лактоны.</x:v>
      </x:c>
      <x:c r="V72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W72" s="28" t="str">
        <x:v>ваниль, цитрус или молочный жир</x:v>
      </x:c>
      <x:c r="X72" s="28" t="str">
        <x:v>пралине, паста, выпечка, гарнир, соус, молочный или коктейльный компонент с абрикос</x:v>
      </x:c>
      <x:c r="Y72" s="28" t="str">
        <x:v>десерты</x:v>
      </x:c>
      <x:c r="Z72" s="28" t="str">
        <x:v>Гипотеза / практическая</x:v>
      </x:c>
      <x:c r="AA72" s="28" t="str">
        <x:v>Таблица сочетания(1).pdf</x:v>
      </x:c>
      <x:c r="AB72" s="28" t="str">
        <x:v>Таблица сочетания(1).pdf: 21</x:v>
      </x:c>
      <x:c r="AC72" s="28" t="str">
        <x:v>Пара встречается как table; научное объяснение сформировано по ароматическому профилю и пищевой матрице.</x:v>
      </x:c>
      <x:c r="AD72" s="28" t="n">
        <x:v>1</x:v>
      </x:c>
      <x:c r="AE72" s="28" t="n">
        <x:v>1</x:v>
      </x:c>
      <x:c r="AF72" s="28" t="n">
        <x:f>IF(Z72="Высокая",3,IF(Z72="Средняя",2,1))+AD72*2+MIN(AE72,3)</x:f>
        <x:v>4</x:v>
      </x:c>
    </x:row>
    <x:row r="73" ht="62" customHeight="1">
      <x:c r="A73" s="28" t="str">
        <x:v>NCT-0072</x:v>
      </x:c>
      <x:c r="B73" s="28" t="str">
        <x:v>грецкий орех</x:v>
      </x:c>
      <x:c r="C73" s="28" t="str">
        <x:v>Универсальные</x:v>
      </x:c>
      <x:c r="D73" s="28" t="str">
        <x:v>грецкий орех</x:v>
      </x:c>
      <x:c r="E73" s="28" t="str">
        <x:v>грецкий орех</x:v>
      </x:c>
      <x:c r="F73" s="28" t="str">
        <x:v>Орехи и семена</x:v>
      </x:c>
      <x:c r="G73" s="28" t="str">
        <x:v>айва</x:v>
      </x:c>
      <x:c r="H73" s="28" t="str">
        <x:v>Айва</x:v>
      </x:c>
      <x:c r="I73" s="28" t="str">
        <x:v>Прочее</x:v>
      </x:c>
      <x:c r="J73" s="28" t="str">
        <x:v>ореховый, древесный, землистый, слегка горький и маслянистый</x:v>
      </x:c>
      <x:c r="K73" s="28" t="str">
        <x:v>профиль зависит от конкретного продукта</x:v>
      </x:c>
      <x:c r="L73" s="28" t="str">
        <x:v>гексаналь, пентаналь, пиразины, лактоны</x:v>
      </x:c>
      <x:c r="M73" s="28" t="str">
        <x:v>характерный профиль зависит от конкретного продукта</x:v>
      </x:c>
      <x:c r="N73" s="28" t="str">
        <x:v>прямое пересечение семейств не является единственным объяснением</x:v>
      </x:c>
      <x:c r="O73" s="28" t="str">
        <x:v>надежная общая ключевая молекула не подтверждена</x:v>
      </x:c>
      <x:c r="P73" s="28" t="str">
        <x:v>сенсорная комплементарность</x:v>
      </x:c>
      <x:c r="Q7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73" s="28" t="str">
        <x:v>минимальный</x:v>
      </x:c>
      <x:c r="S73" s="28" t="str">
        <x:v>богатая полиненасыщенными жирами матрица, особенно склонная к окислению</x:v>
      </x:c>
      <x:c r="T73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73" s="28" t="str">
        <x:v>Грецкий орех имеет профиль «ореховый, древесный, землистый, слегка горький и маслянистый». Партнёр «айва»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73" s="28" t="str">
        <x:v>аллерген; быстро окисляется; горькая кожица способна доминировать</x:v>
      </x:c>
      <x:c r="W73" s="28" t="str">
        <x:v>соль, ваниль или карамель</x:v>
      </x:c>
      <x:c r="X73" s="28" t="str">
        <x:v>пралине, паста, выпечка, гарнир, соус, молочный или коктейльный компонент с айва</x:v>
      </x:c>
      <x:c r="Y73" s="28" t="str">
        <x:v>десерты</x:v>
      </x:c>
      <x:c r="Z73" s="28" t="str">
        <x:v>Гипотеза / практическая</x:v>
      </x:c>
      <x:c r="AA73" s="28" t="str">
        <x:v>Таблица сочетания(1).pdf</x:v>
      </x:c>
      <x:c r="AB73" s="28" t="str">
        <x:v>Таблица сочетания(1).pdf: 18</x:v>
      </x:c>
      <x:c r="AC73" s="28" t="str">
        <x:v>Пара встречается как table; научное объяснение сформировано по ароматическому профилю и пищевой матрице.</x:v>
      </x:c>
      <x:c r="AD73" s="28" t="n">
        <x:v>1</x:v>
      </x:c>
      <x:c r="AE73" s="28" t="n">
        <x:v>1</x:v>
      </x:c>
      <x:c r="AF73" s="28" t="n">
        <x:f>IF(Z73="Высокая",3,IF(Z73="Средняя",2,1))+AD73*2+MIN(AE73,3)</x:f>
        <x:v>4</x:v>
      </x:c>
    </x:row>
    <x:row r="74" ht="62" customHeight="1">
      <x:c r="A74" s="28" t="str">
        <x:v>NCT-0073</x:v>
      </x:c>
      <x:c r="B74" s="28" t="str">
        <x:v>грецкий орех</x:v>
      </x:c>
      <x:c r="C74" s="28" t="str">
        <x:v>Универсальные</x:v>
      </x:c>
      <x:c r="D74" s="28" t="str">
        <x:v>грецкий орех</x:v>
      </x:c>
      <x:c r="E74" s="28" t="str">
        <x:v>Грецкий орех | грецкий орех</x:v>
      </x:c>
      <x:c r="F74" s="28" t="str">
        <x:v>Орехи и семена</x:v>
      </x:c>
      <x:c r="G74" s="28" t="str">
        <x:v>анис</x:v>
      </x:c>
      <x:c r="H74" s="28" t="str">
        <x:v>Анис | анис</x:v>
      </x:c>
      <x:c r="I74" s="28" t="str">
        <x:v>Прочее</x:v>
      </x:c>
      <x:c r="J74" s="28" t="str">
        <x:v>ореховый, древесный, землистый, слегка горький и маслянистый</x:v>
      </x:c>
      <x:c r="K74" s="28" t="str">
        <x:v>профиль зависит от конкретного продукта</x:v>
      </x:c>
      <x:c r="L74" s="28" t="str">
        <x:v>гексаналь, пентаналь, пиразины, лактоны</x:v>
      </x:c>
      <x:c r="M74" s="28" t="str">
        <x:v>характерный профиль зависит от конкретного продукта</x:v>
      </x:c>
      <x:c r="N74" s="28" t="str">
        <x:v>прямое пересечение семейств не является единственным объяснением</x:v>
      </x:c>
      <x:c r="O74" s="28" t="str">
        <x:v>надежная общая ключевая молекула не подтверждена</x:v>
      </x:c>
      <x:c r="P74" s="28" t="str">
        <x:v>сенсорная комплементарность</x:v>
      </x:c>
      <x:c r="Q7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74" s="28" t="str">
        <x:v>минимальный</x:v>
      </x:c>
      <x:c r="S74" s="28" t="str">
        <x:v>богатая полиненасыщенными жирами матрица, особенно склонная к окислению</x:v>
      </x:c>
      <x:c r="T7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74" s="28" t="str">
        <x:v>Грецкий орех имеет профиль «ореховый, древесный, землистый, слегка горький и маслянистый». Партнёр «анис»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74" s="28" t="str">
        <x:v>аллерген; быстро окисляется; горькая кожица способна доминировать</x:v>
      </x:c>
      <x:c r="W74" s="28" t="str">
        <x:v>соль, ваниль или карамель</x:v>
      </x:c>
      <x:c r="X74" s="28" t="str">
        <x:v>пралине, паста, выпечка, гарнир, соус, молочный или коктейльный компонент с анис</x:v>
      </x:c>
      <x:c r="Y74" s="28" t="str">
        <x:v>десерты</x:v>
      </x:c>
      <x:c r="Z74" s="28" t="str">
        <x:v>Высокая</x:v>
      </x:c>
      <x:c r="AA74" s="28" t="str">
        <x:v>Таблица сочетания(1).pdf | Тезариус вкусов (Ники Сегнит)(1).pdf</x:v>
      </x:c>
      <x:c r="AB74" s="28" t="str">
        <x:v>Таблица сочетания(1).pdf: 21; Тезариус вкусов (Ники Сегнит)(1).pdf: 483, 622</x:v>
      </x:c>
      <x:c r="AC74" s="28" t="str">
        <x:v>Пара встречается как table, thesaurus; научное объяснение сформировано по ароматическому профилю и пищевой матрице.</x:v>
      </x:c>
      <x:c r="AD74" s="28" t="n">
        <x:v>2</x:v>
      </x:c>
      <x:c r="AE74" s="28" t="n">
        <x:v>3</x:v>
      </x:c>
      <x:c r="AF74" s="28" t="n">
        <x:f>IF(Z74="Высокая",3,IF(Z74="Средняя",2,1))+AD74*2+MIN(AE74,3)</x:f>
        <x:v>10</x:v>
      </x:c>
    </x:row>
    <x:row r="75" ht="62" customHeight="1">
      <x:c r="A75" s="28" t="str">
        <x:v>NCT-0074</x:v>
      </x:c>
      <x:c r="B75" s="28" t="str">
        <x:v>грецкий орех</x:v>
      </x:c>
      <x:c r="C75" s="28" t="str">
        <x:v>Десерты и выпечка</x:v>
      </x:c>
      <x:c r="D75" s="28" t="str">
        <x:v>грецкий орех</x:v>
      </x:c>
      <x:c r="E75" s="28" t="str">
        <x:v>Грецкий орех | грецкий орех</x:v>
      </x:c>
      <x:c r="F75" s="28" t="str">
        <x:v>Орехи и семена</x:v>
      </x:c>
      <x:c r="G75" s="28" t="str">
        <x:v>апельсин</x:v>
      </x:c>
      <x:c r="H75" s="28" t="str">
        <x:v>Апельсин | апельсин</x:v>
      </x:c>
      <x:c r="I75" s="28" t="str">
        <x:v>Фрукты и ягоды</x:v>
      </x:c>
      <x:c r="J75" s="28" t="str">
        <x:v>ореховый, древесный, землистый, слегка горький и маслянистый</x:v>
      </x:c>
      <x:c r="K75" s="28" t="str">
        <x:v>сладкий, цитрусовый</x:v>
      </x:c>
      <x:c r="L75" s="28" t="str">
        <x:v>гексаналь, пентаналь, пиразины, лактоны</x:v>
      </x:c>
      <x:c r="M75" s="28" t="str">
        <x:v>лимонен, линалоол</x:v>
      </x:c>
      <x:c r="N75" s="28" t="str">
        <x:v>прямое пересечение семейств не является единственным объяснением</x:v>
      </x:c>
      <x:c r="O75" s="28" t="str">
        <x:v>надежная общая ключевая молекула не подтверждена</x:v>
      </x:c>
      <x:c r="P75" s="28" t="str">
        <x:v>контраст кислоты и жирной/горькой матрицы</x:v>
      </x:c>
      <x:c r="Q7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75" s="28" t="str">
        <x:v>минимальный</x:v>
      </x:c>
      <x:c r="S75" s="28" t="str">
        <x:v>богатая полиненасыщенными жирами матрица, особенно склонная к окислению Водная фруктовая фаза требует эмульсии или мелкого измельчения, если орех или шоколад вводится как паста.</x:v>
      </x:c>
      <x:c r="T75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75" s="28" t="str">
        <x:v>Грецкий орех имеет профиль «ореховый, древесный, землистый, слегка горький и маслянистый». Партнёр «апельсин»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75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W75" s="28" t="str">
        <x:v>ваниль, цитрус или молочный жир</x:v>
      </x:c>
      <x:c r="X75" s="28" t="str">
        <x:v>пралине, паста, выпечка, гарнир, соус, молочный или коктейльный компонент с апельсин</x:v>
      </x:c>
      <x:c r="Y75" s="28" t="str">
        <x:v>десерты</x:v>
      </x:c>
      <x:c r="Z75" s="28" t="str">
        <x:v>Средняя</x:v>
      </x:c>
      <x:c r="AA75" s="28" t="str">
        <x:v>Тезариус вкусов (Ники Сегнит)(1).pdf</x:v>
      </x:c>
      <x:c r="AB75" s="28" t="str">
        <x:v>Тезариус вкусов (Ники Сегнит)(1).pdf: 623, 775</x:v>
      </x:c>
      <x:c r="AC75" s="28" t="str">
        <x:v>Пара встречается как thesaurus; научное объяснение сформировано по ароматическому профилю и пищевой матрице.</x:v>
      </x:c>
      <x:c r="AD75" s="28" t="n">
        <x:v>1</x:v>
      </x:c>
      <x:c r="AE75" s="28" t="n">
        <x:v>2</x:v>
      </x:c>
      <x:c r="AF75" s="28" t="n">
        <x:f>IF(Z75="Высокая",3,IF(Z75="Средняя",2,1))+AD75*2+MIN(AE75,3)</x:f>
        <x:v>6</x:v>
      </x:c>
    </x:row>
    <x:row r="76" ht="62" customHeight="1">
      <x:c r="A76" s="28" t="str">
        <x:v>NCT-0075</x:v>
      </x:c>
      <x:c r="B76" s="28" t="str">
        <x:v>грецкий орех</x:v>
      </x:c>
      <x:c r="C76" s="28" t="str">
        <x:v>Универсальные</x:v>
      </x:c>
      <x:c r="D76" s="28" t="str">
        <x:v>грецкий орех</x:v>
      </x:c>
      <x:c r="E76" s="28" t="str">
        <x:v>грецкий орех</x:v>
      </x:c>
      <x:c r="F76" s="28" t="str">
        <x:v>Орехи и семена</x:v>
      </x:c>
      <x:c r="G76" s="28" t="str">
        <x:v>бадьян</x:v>
      </x:c>
      <x:c r="H76" s="28" t="str">
        <x:v>Бадьян</x:v>
      </x:c>
      <x:c r="I76" s="28" t="str">
        <x:v>Прочее</x:v>
      </x:c>
      <x:c r="J76" s="28" t="str">
        <x:v>ореховый, древесный, землистый, слегка горький и маслянистый</x:v>
      </x:c>
      <x:c r="K76" s="28" t="str">
        <x:v>профиль зависит от конкретного продукта</x:v>
      </x:c>
      <x:c r="L76" s="28" t="str">
        <x:v>гексаналь, пентаналь, пиразины, лактоны</x:v>
      </x:c>
      <x:c r="M76" s="28" t="str">
        <x:v>характерный профиль зависит от конкретного продукта</x:v>
      </x:c>
      <x:c r="N76" s="28" t="str">
        <x:v>прямое пересечение семейств не является единственным объяснением</x:v>
      </x:c>
      <x:c r="O76" s="28" t="str">
        <x:v>надежная общая ключевая молекула не подтверждена</x:v>
      </x:c>
      <x:c r="P76" s="28" t="str">
        <x:v>сенсорная комплементарность</x:v>
      </x:c>
      <x:c r="Q7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76" s="28" t="str">
        <x:v>минимальный</x:v>
      </x:c>
      <x:c r="S76" s="28" t="str">
        <x:v>богатая полиненасыщенными жирами матрица, особенно склонная к окислению</x:v>
      </x:c>
      <x:c r="T76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76" s="28" t="str">
        <x:v>Грецкий орех имеет профиль «ореховый, древесный, землистый, слегка горький и маслянистый». Партнёр «бадьян»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76" s="28" t="str">
        <x:v>аллерген; быстро окисляется; горькая кожица способна доминировать</x:v>
      </x:c>
      <x:c r="W76" s="28" t="str">
        <x:v>соль, ваниль или карамель</x:v>
      </x:c>
      <x:c r="X76" s="28" t="str">
        <x:v>пралине, паста, выпечка, гарнир, соус, молочный или коктейльный компонент с бадьян</x:v>
      </x:c>
      <x:c r="Y76" s="28" t="str">
        <x:v>десерты</x:v>
      </x:c>
      <x:c r="Z76" s="28" t="str">
        <x:v>Гипотеза / практическая</x:v>
      </x:c>
      <x:c r="AA76" s="28" t="str">
        <x:v>Таблица сочетания(1).pdf</x:v>
      </x:c>
      <x:c r="AB76" s="28" t="str">
        <x:v>Таблица сочетания(1).pdf: 20</x:v>
      </x:c>
      <x:c r="AC76" s="28" t="str">
        <x:v>Пара встречается как table; научное объяснение сформировано по ароматическому профилю и пищевой матрице.</x:v>
      </x:c>
      <x:c r="AD76" s="28" t="n">
        <x:v>1</x:v>
      </x:c>
      <x:c r="AE76" s="28" t="n">
        <x:v>1</x:v>
      </x:c>
      <x:c r="AF76" s="28" t="n">
        <x:f>IF(Z76="Высокая",3,IF(Z76="Средняя",2,1))+AD76*2+MIN(AE76,3)</x:f>
        <x:v>4</x:v>
      </x:c>
    </x:row>
    <x:row r="77" ht="62" customHeight="1">
      <x:c r="A77" s="28" t="str">
        <x:v>NCT-0076</x:v>
      </x:c>
      <x:c r="B77" s="28" t="str">
        <x:v>грецкий орех</x:v>
      </x:c>
      <x:c r="C77" s="28" t="str">
        <x:v>Универсальные</x:v>
      </x:c>
      <x:c r="D77" s="28" t="str">
        <x:v>грецкий орех</x:v>
      </x:c>
      <x:c r="E77" s="28" t="str">
        <x:v>Грецкий орех | грецкий орех</x:v>
      </x:c>
      <x:c r="F77" s="28" t="str">
        <x:v>Орехи и семена</x:v>
      </x:c>
      <x:c r="G77" s="28" t="str">
        <x:v>базилик</x:v>
      </x:c>
      <x:c r="H77" s="28" t="str">
        <x:v>Базилик | базилик</x:v>
      </x:c>
      <x:c r="I77" s="28" t="str">
        <x:v>Травы, цветы и листья</x:v>
      </x:c>
      <x:c r="J77" s="28" t="str">
        <x:v>ореховый, древесный, землистый, слегка горький и маслянистый</x:v>
      </x:c>
      <x:c r="K77" s="28" t="str">
        <x:v>зелёный, цветочный и терпеновый</x:v>
      </x:c>
      <x:c r="L77" s="28" t="str">
        <x:v>гексаналь, пентаналь, пиразины, лактоны</x:v>
      </x:c>
      <x:c r="M77" s="28" t="str">
        <x:v>линалоол, терпены</x:v>
      </x:c>
      <x:c r="N77" s="28" t="str">
        <x:v>прямое пересечение семейств не является единственным объяснением</x:v>
      </x:c>
      <x:c r="O77" s="28" t="str">
        <x:v>надежная общая ключевая молекула не подтверждена</x:v>
      </x:c>
      <x:c r="P77" s="28" t="str">
        <x:v>сенсорная комплементарность</x:v>
      </x:c>
      <x:c r="Q7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77" s="28" t="str">
        <x:v>минимальный</x:v>
      </x:c>
      <x:c r="S77" s="28" t="str">
        <x:v>богатая полиненасыщенными жирами матрица, особенно склонная к окислению</x:v>
      </x:c>
      <x:c r="T77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77" s="28" t="str">
        <x:v>Грецкий орех имеет профиль «ореховый, древесный, землистый, слегка горький и маслянистый». Партнёр «базилик»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77" s="28" t="str">
        <x:v>аллерген; быстро окисляется; горькая кожица способна доминировать</x:v>
      </x:c>
      <x:c r="W77" s="28" t="str">
        <x:v>цитрус, мёд или сливки</x:v>
      </x:c>
      <x:c r="X77" s="28" t="str">
        <x:v>пралине, паста, выпечка, гарнир, соус, молочный или коктейльный компонент с базилик</x:v>
      </x:c>
      <x:c r="Y77" s="28" t="str">
        <x:v>десерты</x:v>
      </x:c>
      <x:c r="Z77" s="28" t="str">
        <x:v>Средняя</x:v>
      </x:c>
      <x:c r="AA77" s="28" t="str">
        <x:v>Тезариус вкусов (Ники Сегнит)(1).pdf</x:v>
      </x:c>
      <x:c r="AB77" s="28" t="str">
        <x:v>Тезариус вкусов (Ники Сегнит)(1).pdf: 566, 623</x:v>
      </x:c>
      <x:c r="AC77" s="28" t="str">
        <x:v>Пара встречается как thesaurus; научное объяснение сформировано по ароматическому профилю и пищевой матрице.</x:v>
      </x:c>
      <x:c r="AD77" s="28" t="n">
        <x:v>1</x:v>
      </x:c>
      <x:c r="AE77" s="28" t="n">
        <x:v>2</x:v>
      </x:c>
      <x:c r="AF77" s="28" t="n">
        <x:f>IF(Z77="Высокая",3,IF(Z77="Средняя",2,1))+AD77*2+MIN(AE77,3)</x:f>
        <x:v>6</x:v>
      </x:c>
    </x:row>
    <x:row r="78" ht="62" customHeight="1">
      <x:c r="A78" s="28" t="str">
        <x:v>NCT-0077</x:v>
      </x:c>
      <x:c r="B78" s="28" t="str">
        <x:v>грецкий орех</x:v>
      </x:c>
      <x:c r="C78" s="28" t="str">
        <x:v>Еда и соусы</x:v>
      </x:c>
      <x:c r="D78" s="28" t="str">
        <x:v>грецкий орех</x:v>
      </x:c>
      <x:c r="E78" s="28" t="str">
        <x:v>Грецкий орех | грецкий орех</x:v>
      </x:c>
      <x:c r="F78" s="28" t="str">
        <x:v>Орехи и семена</x:v>
      </x:c>
      <x:c r="G78" s="28" t="str">
        <x:v>баклажан</x:v>
      </x:c>
      <x:c r="H78" s="28" t="str">
        <x:v>Баклажан | баклажан</x:v>
      </x:c>
      <x:c r="I78" s="28" t="str">
        <x:v>Овощи, бобовые и грибы</x:v>
      </x:c>
      <x:c r="J78" s="28" t="str">
        <x:v>ореховый, древесный, землистый, слегка горький и маслянистый</x:v>
      </x:c>
      <x:c r="K78" s="28" t="str">
        <x:v>зелёный, землистый или умами</x:v>
      </x:c>
      <x:c r="L78" s="28" t="str">
        <x:v>гексаналь, пентаналь, пиразины, лактоны</x:v>
      </x:c>
      <x:c r="M78" s="28" t="str">
        <x:v>альдегиды, сернистые соединения</x:v>
      </x:c>
      <x:c r="N78" s="28" t="str">
        <x:v>землистый</x:v>
      </x:c>
      <x:c r="O78" s="28" t="str">
        <x:v>надежная общая ключевая молекула не подтверждена</x:v>
      </x:c>
      <x:c r="P78" s="28" t="str">
        <x:v>пересечение ароматических семейств</x:v>
      </x:c>
      <x:c r="Q7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78" s="28" t="str">
        <x:v>минимальный</x:v>
      </x:c>
      <x:c r="S78" s="28" t="str">
        <x:v>богатая полиненасыщенными жирами матрица, особенно склонная к окислению</x:v>
      </x:c>
      <x:c r="T78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78" s="28" t="str">
        <x:v>Грецкий орех имеет профиль «ореховый, древесный, землистый, слегка горький и маслянистый». Партнёр «баклажан»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V78" s="28" t="str">
        <x:v>аллерген; быстро окисляется; горькая кожица способна доминировать</x:v>
      </x:c>
      <x:c r="W78" s="28" t="str">
        <x:v>соль, ваниль или карамель</x:v>
      </x:c>
      <x:c r="X78" s="28" t="str">
        <x:v>пралине, паста, выпечка, гарнир, соус, молочный или коктейльный компонент с баклажан</x:v>
      </x:c>
      <x:c r="Y78" s="28" t="str">
        <x:v>еда, десерты, соусы/маринады</x:v>
      </x:c>
      <x:c r="Z78" s="28" t="str">
        <x:v>Средняя</x:v>
      </x:c>
      <x:c r="AA78" s="28" t="str">
        <x:v>Тезариус вкусов (Ники Сегнит)(1).pdf</x:v>
      </x:c>
      <x:c r="AB78" s="28" t="str">
        <x:v>Тезариус вкусов (Ники Сегнит)(1).pdf: 210, 623</x:v>
      </x:c>
      <x:c r="AC78" s="28" t="str">
        <x:v>Пара встречается как thesaurus; научное объяснение сформировано по ароматическому профилю и пищевой матрице.</x:v>
      </x:c>
      <x:c r="AD78" s="28" t="n">
        <x:v>1</x:v>
      </x:c>
      <x:c r="AE78" s="28" t="n">
        <x:v>2</x:v>
      </x:c>
      <x:c r="AF78" s="28" t="n">
        <x:f>IF(Z78="Высокая",3,IF(Z78="Средняя",2,1))+AD78*2+MIN(AE78,3)</x:f>
        <x:v>6</x:v>
      </x:c>
    </x:row>
    <x:row r="79" ht="62" customHeight="1">
      <x:c r="A79" s="28" t="str">
        <x:v>NCT-0078</x:v>
      </x:c>
      <x:c r="B79" s="28" t="str">
        <x:v>грецкий орех</x:v>
      </x:c>
      <x:c r="C79" s="28" t="str">
        <x:v>Десерты и выпечка</x:v>
      </x:c>
      <x:c r="D79" s="28" t="str">
        <x:v>грецкий орех</x:v>
      </x:c>
      <x:c r="E79" s="28" t="str">
        <x:v>Грецкий орех | грецкий орех</x:v>
      </x:c>
      <x:c r="F79" s="28" t="str">
        <x:v>Орехи и семена</x:v>
      </x:c>
      <x:c r="G79" s="28" t="str">
        <x:v>банан</x:v>
      </x:c>
      <x:c r="H79" s="28" t="str">
        <x:v>Банан | банан</x:v>
      </x:c>
      <x:c r="I79" s="28" t="str">
        <x:v>Фрукты и ягоды</x:v>
      </x:c>
      <x:c r="J79" s="28" t="str">
        <x:v>ореховый, древесный, землистый, слегка горький и маслянистый</x:v>
      </x:c>
      <x:c r="K79" s="28" t="str">
        <x:v>сливочный, фруктовый</x:v>
      </x:c>
      <x:c r="L79" s="28" t="str">
        <x:v>гексаналь, пентаналь, пиразины, лактоны</x:v>
      </x:c>
      <x:c r="M79" s="28" t="str">
        <x:v>изоамилацетат</x:v>
      </x:c>
      <x:c r="N79" s="28" t="str">
        <x:v>прямое пересечение семейств не является единственным объяснением</x:v>
      </x:c>
      <x:c r="O79" s="28" t="str">
        <x:v>надежная общая ключевая молекула не подтверждена</x:v>
      </x:c>
      <x:c r="P79" s="28" t="str">
        <x:v>контраст кислоты и жирной/горькой матрицы</x:v>
      </x:c>
      <x:c r="Q7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79" s="28" t="str">
        <x:v>минимальный</x:v>
      </x:c>
      <x:c r="S79" s="28" t="str">
        <x:v>богатая полиненасыщенными жирами матрица, особенно склонная к окислению Водная фруктовая фаза требует эмульсии или мелкого измельчения, если орех или шоколад вводится как паста.</x:v>
      </x:c>
      <x:c r="T79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79" s="28" t="str">
        <x:v>Грецкий орех имеет профиль «ореховый, древесный, землистый, слегка горький и маслянистый».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79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W79" s="28" t="str">
        <x:v>ваниль, цитрус или молочный жир</x:v>
      </x:c>
      <x:c r="X79" s="28" t="str">
        <x:v>пралине, паста, выпечка, гарнир, соус, молочный или коктейльный компонент с банан</x:v>
      </x:c>
      <x:c r="Y79" s="28" t="str">
        <x:v>десерты</x:v>
      </x:c>
      <x:c r="Z79" s="28" t="str">
        <x:v>Высокая</x:v>
      </x:c>
      <x:c r="AA79" s="28" t="str">
        <x:v>Таблица сочетания(1).pdf | Тезариус вкусов (Ники Сегнит)(1).pdf</x:v>
      </x:c>
      <x:c r="AB79" s="28" t="str">
        <x:v>Таблица сочетания(1).pdf: 2, 21; Тезариус вкусов (Ники Сегнит)(1).pdf: 623, 732</x:v>
      </x:c>
      <x:c r="AC79" s="28" t="str">
        <x:v>Пара встречается как table, thesaurus; научное объяснение сформировано по ароматическому профилю и пищевой матрице.</x:v>
      </x:c>
      <x:c r="AD79" s="28" t="n">
        <x:v>2</x:v>
      </x:c>
      <x:c r="AE79" s="28" t="n">
        <x:v>4</x:v>
      </x:c>
      <x:c r="AF79" s="28" t="n">
        <x:f>IF(Z79="Высокая",3,IF(Z79="Средняя",2,1))+AD79*2+MIN(AE79,3)</x:f>
        <x:v>10</x:v>
      </x:c>
    </x:row>
    <x:row r="80" ht="62" customHeight="1">
      <x:c r="A80" s="28" t="str">
        <x:v>NCT-0079</x:v>
      </x:c>
      <x:c r="B80" s="28" t="str">
        <x:v>грецкий орех</x:v>
      </x:c>
      <x:c r="C80" s="28" t="str">
        <x:v>Универсальные</x:v>
      </x:c>
      <x:c r="D80" s="28" t="str">
        <x:v>грецкий орех</x:v>
      </x:c>
      <x:c r="E80" s="28" t="str">
        <x:v>Грецкий орех | грецкий орех</x:v>
      </x:c>
      <x:c r="F80" s="28" t="str">
        <x:v>Орехи и семена</x:v>
      </x:c>
      <x:c r="G80" s="28" t="str">
        <x:v>брокколи</x:v>
      </x:c>
      <x:c r="H80" s="28" t="str">
        <x:v>Брокколи | брокколи</x:v>
      </x:c>
      <x:c r="I80" s="28" t="str">
        <x:v>Прочее</x:v>
      </x:c>
      <x:c r="J80" s="28" t="str">
        <x:v>ореховый, древесный, землистый, слегка горький и маслянистый</x:v>
      </x:c>
      <x:c r="K80" s="28" t="str">
        <x:v>профиль зависит от конкретного продукта</x:v>
      </x:c>
      <x:c r="L80" s="28" t="str">
        <x:v>гексаналь, пентаналь, пиразины, лактоны</x:v>
      </x:c>
      <x:c r="M80" s="28" t="str">
        <x:v>характерный профиль зависит от конкретного продукта</x:v>
      </x:c>
      <x:c r="N80" s="28" t="str">
        <x:v>прямое пересечение семейств не является единственным объяснением</x:v>
      </x:c>
      <x:c r="O80" s="28" t="str">
        <x:v>надежная общая ключевая молекула не подтверждена</x:v>
      </x:c>
      <x:c r="P80" s="28" t="str">
        <x:v>сенсорная комплементарность</x:v>
      </x:c>
      <x:c r="Q8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80" s="28" t="str">
        <x:v>минимальный</x:v>
      </x:c>
      <x:c r="S80" s="28" t="str">
        <x:v>богатая полиненасыщенными жирами матрица, особенно склонная к окислению</x:v>
      </x:c>
      <x:c r="T80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80" s="28" t="str">
        <x:v>Грецкий орех имеет профиль «ореховый, древесный, землистый, слегка горький и маслянистый». Партнёр «брокколи»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80" s="28" t="str">
        <x:v>аллерген; быстро окисляется; горькая кожица способна доминировать</x:v>
      </x:c>
      <x:c r="W80" s="28" t="str">
        <x:v>соль, ваниль или карамель</x:v>
      </x:c>
      <x:c r="X80" s="28" t="str">
        <x:v>пралине, паста, выпечка, гарнир, соус, молочный или коктейльный компонент с брокколи</x:v>
      </x:c>
      <x:c r="Y80" s="28" t="str">
        <x:v>десерты</x:v>
      </x:c>
      <x:c r="Z80" s="28" t="str">
        <x:v>Средняя</x:v>
      </x:c>
      <x:c r="AA80" s="28" t="str">
        <x:v>Тезариус вкусов (Ники Сегнит)(1).pdf</x:v>
      </x:c>
      <x:c r="AB80" s="28" t="str">
        <x:v>Тезариус вкусов (Ники Сегнит)(1).pdf: 331, 624</x:v>
      </x:c>
      <x:c r="AC80" s="28" t="str">
        <x:v>Пара встречается как thesaurus; научное объяснение сформировано по ароматическому профилю и пищевой матрице.</x:v>
      </x:c>
      <x:c r="AD80" s="28" t="n">
        <x:v>1</x:v>
      </x:c>
      <x:c r="AE80" s="28" t="n">
        <x:v>2</x:v>
      </x:c>
      <x:c r="AF80" s="28" t="n">
        <x:f>IF(Z80="Высокая",3,IF(Z80="Средняя",2,1))+AD80*2+MIN(AE80,3)</x:f>
        <x:v>6</x:v>
      </x:c>
    </x:row>
    <x:row r="81" ht="62" customHeight="1">
      <x:c r="A81" s="28" t="str">
        <x:v>NCT-0080</x:v>
      </x:c>
      <x:c r="B81" s="28" t="str">
        <x:v>грецкий орех</x:v>
      </x:c>
      <x:c r="C81" s="28" t="str">
        <x:v>Универсальные</x:v>
      </x:c>
      <x:c r="D81" s="28" t="str">
        <x:v>грецкий орех</x:v>
      </x:c>
      <x:c r="E81" s="28" t="str">
        <x:v>Грецкий орех | грецкий орех</x:v>
      </x:c>
      <x:c r="F81" s="28" t="str">
        <x:v>Орехи и семена</x:v>
      </x:c>
      <x:c r="G81" s="28" t="str">
        <x:v>ваниль</x:v>
      </x:c>
      <x:c r="H81" s="28" t="str">
        <x:v>Ваниль | ваниль</x:v>
      </x:c>
      <x:c r="I81" s="28" t="str">
        <x:v>Специи</x:v>
      </x:c>
      <x:c r="J81" s="28" t="str">
        <x:v>ореховый, древесный, землистый, слегка горький и маслянистый</x:v>
      </x:c>
      <x:c r="K81" s="28" t="str">
        <x:v>ванильный, цветочный</x:v>
      </x:c>
      <x:c r="L81" s="28" t="str">
        <x:v>гексаналь, пентаналь, пиразины, лактоны</x:v>
      </x:c>
      <x:c r="M81" s="28" t="str">
        <x:v>ванилин</x:v>
      </x:c>
      <x:c r="N81" s="28" t="str">
        <x:v>прямое пересечение семейств не является единственным объяснением</x:v>
      </x:c>
      <x:c r="O81" s="28" t="str">
        <x:v>надежная общая ключевая молекула не подтверждена</x:v>
      </x:c>
      <x:c r="P81" s="28" t="str">
        <x:v>сенсорная комплементарность</x:v>
      </x:c>
      <x:c r="Q8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81" s="28" t="str">
        <x:v>минимальный</x:v>
      </x:c>
      <x:c r="S81" s="28" t="str">
        <x:v>богатая полиненасыщенными жирами матрица, особенно склонная к окислению</x:v>
      </x:c>
      <x:c r="T81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81" s="28" t="str">
        <x:v>Грецкий орех имеет профиль «ореховый, древесный, землистый, слегка горький и маслянистый».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81" s="28" t="str">
        <x:v>аллерген; быстро окисляется; горькая кожица способна доминировать</x:v>
      </x:c>
      <x:c r="W81" s="28" t="str">
        <x:v>ваниль, апельсин или мёд</x:v>
      </x:c>
      <x:c r="X81" s="28" t="str">
        <x:v>пралине, паста, выпечка, гарнир, соус, молочный или коктейльный компонент с ваниль</x:v>
      </x:c>
      <x:c r="Y81" s="28" t="str">
        <x:v>десерты</x:v>
      </x:c>
      <x:c r="Z81" s="28" t="str">
        <x:v>Высокая</x:v>
      </x:c>
      <x:c r="AA81" s="28" t="str">
        <x:v>Таблица сочетания(1).pdf | Тезариус вкусов (Ники Сегнит)(1).pdf</x:v>
      </x:c>
      <x:c r="AB81" s="28" t="str">
        <x:v>Таблица сочетания(1).pdf: 21; Тезариус вкусов (Ники Сегнит)(1).pdf: 624, 916</x:v>
      </x:c>
      <x:c r="AC81" s="28" t="str">
        <x:v>Пара встречается как table, thesaurus; научное объяснение сформировано по ароматическому профилю и пищевой матрице.</x:v>
      </x:c>
      <x:c r="AD81" s="28" t="n">
        <x:v>2</x:v>
      </x:c>
      <x:c r="AE81" s="28" t="n">
        <x:v>4</x:v>
      </x:c>
      <x:c r="AF81" s="28" t="n">
        <x:f>IF(Z81="Высокая",3,IF(Z81="Средняя",2,1))+AD81*2+MIN(AE81,3)</x:f>
        <x:v>10</x:v>
      </x:c>
    </x:row>
    <x:row r="82" ht="62" customHeight="1">
      <x:c r="A82" s="28" t="str">
        <x:v>NCT-0081</x:v>
      </x:c>
      <x:c r="B82" s="28" t="str">
        <x:v>грецкий орех</x:v>
      </x:c>
      <x:c r="C82" s="28" t="str">
        <x:v>Напитки</x:v>
      </x:c>
      <x:c r="D82" s="28" t="str">
        <x:v>грецкий орех</x:v>
      </x:c>
      <x:c r="E82" s="28" t="str">
        <x:v>Грецкий орех | грецкий орех</x:v>
      </x:c>
      <x:c r="F82" s="28" t="str">
        <x:v>Орехи и семена</x:v>
      </x:c>
      <x:c r="G82" s="28" t="str">
        <x:v>виноград</x:v>
      </x:c>
      <x:c r="H82" s="28" t="str">
        <x:v>Виноград | виноград</x:v>
      </x:c>
      <x:c r="I82" s="28" t="str">
        <x:v>Алкогольные напитки</x:v>
      </x:c>
      <x:c r="J82" s="28" t="str">
        <x:v>ореховый, древесный, землистый, слегка горький и маслянистый</x:v>
      </x:c>
      <x:c r="K82" s="28" t="str">
        <x:v>спиртовой, фруктовый или древесный</x:v>
      </x:c>
      <x:c r="L82" s="28" t="str">
        <x:v>гексаналь, пентаналь, пиразины, лактоны</x:v>
      </x:c>
      <x:c r="M82" s="28" t="str">
        <x:v>альдегиды, эфиры</x:v>
      </x:c>
      <x:c r="N82" s="28" t="str">
        <x:v>древесный</x:v>
      </x:c>
      <x:c r="O82" s="28" t="str">
        <x:v>надежная общая ключевая молекула не подтверждена</x:v>
      </x:c>
      <x:c r="P82" s="28" t="str">
        <x:v>пересечение ароматических семейств</x:v>
      </x:c>
      <x:c r="Q8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82" s="28" t="str">
        <x:v>минимальный</x:v>
      </x:c>
      <x:c r="S82" s="28" t="str">
        <x:v>богатая полиненасыщенными жирами матрица, особенно склонная к окислению Этанол эффективно извлекает терпены, фенолы и жареные молекулы; время контакта нужно ограничивать.</x:v>
      </x:c>
      <x:c r="T82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82" s="28" t="str">
        <x:v>Грецкий орех имеет профиль «ореховый, древесный, землистый, слегка горький и маслянистый». Партнёр «виноград» относится к группе «Алкогольные напитки» и даёт спиртовой, фруктовый или древесный. Профили пересекаются в семействах: древесный Ореховый жир служит носителем ароматов и создаёт текстурный контраст, но окисление быстро превращает профиль в прогорклый. Итог: древесный; механизм не следует сводить к одной общей молекуле.</x:v>
      </x:c>
      <x:c r="V82" s="28" t="str">
        <x:v>аллерген; быстро окисляется; горькая кожица способна доминировать</x:v>
      </x:c>
      <x:c r="W82" s="28" t="str">
        <x:v>соль, ваниль или карамель</x:v>
      </x:c>
      <x:c r="X82" s="28" t="str">
        <x:v>пралине, паста, выпечка, гарнир, соус, молочный или коктейльный компонент с виноград</x:v>
      </x:c>
      <x:c r="Y82" s="28" t="str">
        <x:v>напитки, десерты</x:v>
      </x:c>
      <x:c r="Z82" s="28" t="str">
        <x:v>Средняя</x:v>
      </x:c>
      <x:c r="AA82" s="28" t="str">
        <x:v>Тезариус вкусов (Ники Сегнит)(1).pdf</x:v>
      </x:c>
      <x:c r="AB82" s="28" t="str">
        <x:v>Тезариус вкусов (Ники Сегнит)(1).pdf: 625, 666</x:v>
      </x:c>
      <x:c r="AC82" s="28" t="str">
        <x:v>Пара встречается как thesaurus; научное объяснение сформировано по ароматическому профилю и пищевой матрице.</x:v>
      </x:c>
      <x:c r="AD82" s="28" t="n">
        <x:v>1</x:v>
      </x:c>
      <x:c r="AE82" s="28" t="n">
        <x:v>2</x:v>
      </x:c>
      <x:c r="AF82" s="28" t="n">
        <x:f>IF(Z82="Высокая",3,IF(Z82="Средняя",2,1))+AD82*2+MIN(AE82,3)</x:f>
        <x:v>6</x:v>
      </x:c>
    </x:row>
    <x:row r="83" ht="62" customHeight="1">
      <x:c r="A83" s="28" t="str">
        <x:v>NCT-0082</x:v>
      </x:c>
      <x:c r="B83" s="28" t="str">
        <x:v>грецкий орех</x:v>
      </x:c>
      <x:c r="C83" s="28" t="str">
        <x:v>Десерты и выпечка</x:v>
      </x:c>
      <x:c r="D83" s="28" t="str">
        <x:v>грецкий орех</x:v>
      </x:c>
      <x:c r="E83" s="28" t="str">
        <x:v>Грецкий орех | грецкий орех</x:v>
      </x:c>
      <x:c r="F83" s="28" t="str">
        <x:v>Орехи и семена</x:v>
      </x:c>
      <x:c r="G83" s="28" t="str">
        <x:v>вишня</x:v>
      </x:c>
      <x:c r="H83" s="28" t="str">
        <x:v>Вишня | вишня</x:v>
      </x:c>
      <x:c r="I83" s="28" t="str">
        <x:v>Фрукты и ягоды</x:v>
      </x:c>
      <x:c r="J83" s="28" t="str">
        <x:v>ореховый, древесный, землистый, слегка горький и маслянистый</x:v>
      </x:c>
      <x:c r="K83" s="28" t="str">
        <x:v>миндальный, фруктовый</x:v>
      </x:c>
      <x:c r="L83" s="28" t="str">
        <x:v>гексаналь, пентаналь, пиразины, лактоны</x:v>
      </x:c>
      <x:c r="M83" s="28" t="str">
        <x:v>бензальдегид, эфиры</x:v>
      </x:c>
      <x:c r="N83" s="28" t="str">
        <x:v>прямое пересечение семейств не является единственным объяснением</x:v>
      </x:c>
      <x:c r="O83" s="28" t="str">
        <x:v>надежная общая ключевая молекула не подтверждена</x:v>
      </x:c>
      <x:c r="P83" s="28" t="str">
        <x:v>контраст кислоты и жирной/горькой матрицы</x:v>
      </x:c>
      <x:c r="Q8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83" s="28" t="str">
        <x:v>минимальный</x:v>
      </x:c>
      <x:c r="S83" s="28" t="str">
        <x:v>богатая полиненасыщенными жирами матрица, особенно склонная к окислению Водная фруктовая фаза требует эмульсии или мелкого измельчения, если орех или шоколад вводится как паста.</x:v>
      </x:c>
      <x:c r="T83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83" s="28" t="str">
        <x:v>Грецкий орех имеет профиль «ореховый, древесный, землистый, слегка горький и маслянистый». Партнёр «вишня» относится к группе «Фрукты и ягоды» и даёт миндальный,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83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W83" s="28" t="str">
        <x:v>ваниль, цитрус или молочный жир</x:v>
      </x:c>
      <x:c r="X83" s="28" t="str">
        <x:v>пралине, паста, выпечка, гарнир, соус, молочный или коктейльный компонент с вишня</x:v>
      </x:c>
      <x:c r="Y83" s="28" t="str">
        <x:v>десерты</x:v>
      </x:c>
      <x:c r="Z83" s="28" t="str">
        <x:v>Высокая</x:v>
      </x:c>
      <x:c r="AA83" s="28" t="str">
        <x:v>Таблица сочетания(1).pdf | Тезариус вкусов (Ники Сегнит)(1).pdf</x:v>
      </x:c>
      <x:c r="AB83" s="28" t="str">
        <x:v>Таблица сочетания(1).pdf: 22; Тезариус вкусов (Ники Сегнит)(1).pdf: 625, 654</x:v>
      </x:c>
      <x:c r="AC83" s="28" t="str">
        <x:v>Пара встречается как table, thesaurus; научное объяснение сформировано по ароматическому профилю и пищевой матрице.</x:v>
      </x:c>
      <x:c r="AD83" s="28" t="n">
        <x:v>2</x:v>
      </x:c>
      <x:c r="AE83" s="28" t="n">
        <x:v>3</x:v>
      </x:c>
      <x:c r="AF83" s="28" t="n">
        <x:f>IF(Z83="Высокая",3,IF(Z83="Средняя",2,1))+AD83*2+MIN(AE83,3)</x:f>
        <x:v>10</x:v>
      </x:c>
    </x:row>
    <x:row r="84" ht="62" customHeight="1">
      <x:c r="A84" s="28" t="str">
        <x:v>NCT-0083</x:v>
      </x:c>
      <x:c r="B84" s="28" t="str">
        <x:v>грецкий орех</x:v>
      </x:c>
      <x:c r="C84" s="28" t="str">
        <x:v>Универсальные</x:v>
      </x:c>
      <x:c r="D84" s="28" t="str">
        <x:v>грецкий орех</x:v>
      </x:c>
      <x:c r="E84" s="28" t="str">
        <x:v>walnut</x:v>
      </x:c>
      <x:c r="F84" s="28" t="str">
        <x:v>Орехи и семена</x:v>
      </x:c>
      <x:c r="G84" s="28" t="str">
        <x:v>водоросли</x:v>
      </x:c>
      <x:c r="H84" s="28" t="str">
        <x:v>seaweed</x:v>
      </x:c>
      <x:c r="I84" s="28" t="str">
        <x:v>Прочее</x:v>
      </x:c>
      <x:c r="J84" s="28" t="str">
        <x:v>ореховый, древесный, землистый, слегка горький и маслянистый</x:v>
      </x:c>
      <x:c r="K84" s="28" t="str">
        <x:v>профиль зависит от конкретного продукта</x:v>
      </x:c>
      <x:c r="L84" s="28" t="str">
        <x:v>гексаналь, пентаналь, пиразины, лактоны</x:v>
      </x:c>
      <x:c r="M84" s="28" t="str">
        <x:v>характерный профиль зависит от конкретного продукта</x:v>
      </x:c>
      <x:c r="N84" s="28" t="str">
        <x:v>прямое пересечение семейств не является единственным объяснением</x:v>
      </x:c>
      <x:c r="O84" s="28" t="str">
        <x:v>надежная общая ключевая молекула не подтверждена</x:v>
      </x:c>
      <x:c r="P84" s="28" t="str">
        <x:v>сенсорная комплементарность</x:v>
      </x:c>
      <x:c r="Q8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84" s="28" t="str">
        <x:v>минимальный</x:v>
      </x:c>
      <x:c r="S84" s="28" t="str">
        <x:v>богатая полиненасыщенными жирами матрица, особенно склонная к окислению</x:v>
      </x:c>
      <x:c r="T8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84" s="28" t="str">
        <x:v>Грецкий орех имеет профиль «ореховый, древесный, землистый, слегка горький и маслянистый». Партнёр «водоросли»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84" s="28" t="str">
        <x:v>аллерген; быстро окисляется; горькая кожица способна доминировать</x:v>
      </x:c>
      <x:c r="W84" s="28" t="str">
        <x:v>соль, ваниль или карамель</x:v>
      </x:c>
      <x:c r="X84" s="28" t="str">
        <x:v>пралине, паста, выпечка, гарнир, соус, молочный или коктейльный компонент с водоросли</x:v>
      </x:c>
      <x:c r="Y84" s="28" t="str">
        <x:v>десерты</x:v>
      </x:c>
      <x:c r="Z84" s="28" t="str">
        <x:v>Средняя</x:v>
      </x:c>
      <x:c r="AA84" s="28" t="str">
        <x:v>The Art &amp; Science of Foodpairing.pdf</x:v>
      </x:c>
      <x:c r="AB84" s="28" t="str">
        <x:v>The Art &amp; Science of Foodpairing.pdf: 267</x:v>
      </x:c>
      <x:c r="AC84" s="28" t="str">
        <x:v>Пара встречается как grid; научное объяснение сформировано по ароматическому профилю и пищевой матрице.</x:v>
      </x:c>
      <x:c r="AD84" s="28" t="n">
        <x:v>1</x:v>
      </x:c>
      <x:c r="AE84" s="28" t="n">
        <x:v>1</x:v>
      </x:c>
      <x:c r="AF84" s="28" t="n">
        <x:f>IF(Z84="Высокая",3,IF(Z84="Средняя",2,1))+AD84*2+MIN(AE84,3)</x:f>
        <x:v>5</x:v>
      </x:c>
    </x:row>
    <x:row r="85" ht="62" customHeight="1">
      <x:c r="A85" s="28" t="str">
        <x:v>NCT-0084</x:v>
      </x:c>
      <x:c r="B85" s="28" t="str">
        <x:v>грецкий орех</x:v>
      </x:c>
      <x:c r="C85" s="28" t="str">
        <x:v>Универсальные</x:v>
      </x:c>
      <x:c r="D85" s="28" t="str">
        <x:v>грецкий орех</x:v>
      </x:c>
      <x:c r="E85" s="28" t="str">
        <x:v>Грецкий орех | грецкий орех</x:v>
      </x:c>
      <x:c r="F85" s="28" t="str">
        <x:v>Орехи и семена</x:v>
      </x:c>
      <x:c r="G85" s="28" t="str">
        <x:v>водяной кресс</x:v>
      </x:c>
      <x:c r="H85" s="28" t="str">
        <x:v>Водяной кресс | водяной кресс</x:v>
      </x:c>
      <x:c r="I85" s="28" t="str">
        <x:v>Прочее</x:v>
      </x:c>
      <x:c r="J85" s="28" t="str">
        <x:v>ореховый, древесный, землистый, слегка горький и маслянистый</x:v>
      </x:c>
      <x:c r="K85" s="28" t="str">
        <x:v>профиль зависит от конкретного продукта</x:v>
      </x:c>
      <x:c r="L85" s="28" t="str">
        <x:v>гексаналь, пентаналь, пиразины, лактоны</x:v>
      </x:c>
      <x:c r="M85" s="28" t="str">
        <x:v>характерный профиль зависит от конкретного продукта</x:v>
      </x:c>
      <x:c r="N85" s="28" t="str">
        <x:v>прямое пересечение семейств не является единственным объяснением</x:v>
      </x:c>
      <x:c r="O85" s="28" t="str">
        <x:v>надежная общая ключевая молекула не подтверждена</x:v>
      </x:c>
      <x:c r="P85" s="28" t="str">
        <x:v>сенсорная комплементарность</x:v>
      </x:c>
      <x:c r="Q8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85" s="28" t="str">
        <x:v>минимальный</x:v>
      </x:c>
      <x:c r="S85" s="28" t="str">
        <x:v>богатая полиненасыщенными жирами матрица, особенно склонная к окислению</x:v>
      </x:c>
      <x:c r="T85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85" s="28" t="str">
        <x:v>Грецкий орех имеет профиль «ореховый, древесный, землистый, слегка горький и маслянистый». Партнёр «водяной кресс»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85" s="28" t="str">
        <x:v>аллерген; быстро окисляется; горькая кожица способна доминировать</x:v>
      </x:c>
      <x:c r="W85" s="28" t="str">
        <x:v>соль, ваниль или карамель</x:v>
      </x:c>
      <x:c r="X85" s="28" t="str">
        <x:v>пралине, паста, выпечка, гарнир, соус, молочный или коктейльный компонент с водяной кресс</x:v>
      </x:c>
      <x:c r="Y85" s="28" t="str">
        <x:v>десерты</x:v>
      </x:c>
      <x:c r="Z85" s="28" t="str">
        <x:v>Средняя</x:v>
      </x:c>
      <x:c r="AA85" s="28" t="str">
        <x:v>Тезариус вкусов (Ники Сегнит)(1).pdf</x:v>
      </x:c>
      <x:c r="AB85" s="28" t="str">
        <x:v>Тезариус вкусов (Ники Сегнит)(1).pdf: 259, 625</x:v>
      </x:c>
      <x:c r="AC85" s="28" t="str">
        <x:v>Пара встречается как thesaurus; научное объяснение сформировано по ароматическому профилю и пищевой матрице.</x:v>
      </x:c>
      <x:c r="AD85" s="28" t="n">
        <x:v>1</x:v>
      </x:c>
      <x:c r="AE85" s="28" t="n">
        <x:v>2</x:v>
      </x:c>
      <x:c r="AF85" s="28" t="n">
        <x:f>IF(Z85="Высокая",3,IF(Z85="Средняя",2,1))+AD85*2+MIN(AE85,3)</x:f>
        <x:v>6</x:v>
      </x:c>
    </x:row>
    <x:row r="86" ht="62" customHeight="1">
      <x:c r="A86" s="28" t="str">
        <x:v>NCT-0085</x:v>
      </x:c>
      <x:c r="B86" s="28" t="str">
        <x:v>грецкий орех</x:v>
      </x:c>
      <x:c r="C86" s="28" t="str">
        <x:v>Универсальные</x:v>
      </x:c>
      <x:c r="D86" s="28" t="str">
        <x:v>грецкий орех</x:v>
      </x:c>
      <x:c r="E86" s="28" t="str">
        <x:v>грецкий орех</x:v>
      </x:c>
      <x:c r="F86" s="28" t="str">
        <x:v>Орехи и семена</x:v>
      </x:c>
      <x:c r="G86" s="28" t="str">
        <x:v>гвоздика</x:v>
      </x:c>
      <x:c r="H86" s="28" t="str">
        <x:v>Гвоздика</x:v>
      </x:c>
      <x:c r="I86" s="28" t="str">
        <x:v>Специи</x:v>
      </x:c>
      <x:c r="J86" s="28" t="str">
        <x:v>ореховый, древесный, землистый, слегка горький и маслянистый</x:v>
      </x:c>
      <x:c r="K86" s="28" t="str">
        <x:v>древесный, пряный, фенольный</x:v>
      </x:c>
      <x:c r="L86" s="28" t="str">
        <x:v>гексаналь, пентаналь, пиразины, лактоны</x:v>
      </x:c>
      <x:c r="M86" s="28" t="str">
        <x:v>эвгенол</x:v>
      </x:c>
      <x:c r="N86" s="28" t="str">
        <x:v>древесный</x:v>
      </x:c>
      <x:c r="O86" s="28" t="str">
        <x:v>надежная общая ключевая молекула не подтверждена</x:v>
      </x:c>
      <x:c r="P86" s="28" t="str">
        <x:v>пересечение ароматических семейств</x:v>
      </x:c>
      <x:c r="Q8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86" s="28" t="str">
        <x:v>минимальный</x:v>
      </x:c>
      <x:c r="S86" s="28" t="str">
        <x:v>богатая полиненасыщенными жирами матрица, особенно склонная к окислению</x:v>
      </x:c>
      <x:c r="T86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86" s="28" t="str">
        <x:v>Грецкий орех имеет профиль «ореховый, древесный, землистый, слегка горький и маслянистый». Партнёр «гвоздика» относится к группе «Специи» и даёт древесный, пряный, фенольный. Профили пересекаются в семействах: древесный Ореховый жир служит носителем ароматов и создаёт текстурный контраст, но окисление быстро превращает профиль в прогорклый. Итог: древесный; механизм не следует сводить к одной общей молекуле.</x:v>
      </x:c>
      <x:c r="V86" s="28" t="str">
        <x:v>аллерген; быстро окисляется; горькая кожица способна доминировать</x:v>
      </x:c>
      <x:c r="W86" s="28" t="str">
        <x:v>ваниль, апельсин или мёд</x:v>
      </x:c>
      <x:c r="X86" s="28" t="str">
        <x:v>пралине, паста, выпечка, гарнир, соус, молочный или коктейльный компонент с гвоздика</x:v>
      </x:c>
      <x:c r="Y86" s="28" t="str">
        <x:v>десерты</x:v>
      </x:c>
      <x:c r="Z86" s="28" t="str">
        <x:v>Гипотеза / практическая</x:v>
      </x:c>
      <x:c r="AA86" s="28" t="str">
        <x:v>Таблица сочетания(1).pdf</x:v>
      </x:c>
      <x:c r="AB86" s="28" t="str">
        <x:v>Таблица сочетания(1).pdf: 5</x:v>
      </x:c>
      <x:c r="AC86" s="28" t="str">
        <x:v>Пара встречается как table; научное объяснение сформировано по ароматическому профилю и пищевой матрице.</x:v>
      </x:c>
      <x:c r="AD86" s="28" t="n">
        <x:v>1</x:v>
      </x:c>
      <x:c r="AE86" s="28" t="n">
        <x:v>1</x:v>
      </x:c>
      <x:c r="AF86" s="28" t="n">
        <x:f>IF(Z86="Высокая",3,IF(Z86="Средняя",2,1))+AD86*2+MIN(AE86,3)</x:f>
        <x:v>4</x:v>
      </x:c>
    </x:row>
    <x:row r="87" ht="62" customHeight="1">
      <x:c r="A87" s="28" t="str">
        <x:v>NCT-0086</x:v>
      </x:c>
      <x:c r="B87" s="28" t="str">
        <x:v>грецкий орех</x:v>
      </x:c>
      <x:c r="C87" s="28" t="str">
        <x:v>Еда и соусы</x:v>
      </x:c>
      <x:c r="D87" s="28" t="str">
        <x:v>грецкий орех</x:v>
      </x:c>
      <x:c r="E87" s="28" t="str">
        <x:v>Грецкий орех | грецкий орех</x:v>
      </x:c>
      <x:c r="F87" s="28" t="str">
        <x:v>Орехи и семена</x:v>
      </x:c>
      <x:c r="G87" s="28" t="str">
        <x:v>говядина</x:v>
      </x:c>
      <x:c r="H87" s="28" t="str">
        <x:v>Говядина | говядина</x:v>
      </x:c>
      <x:c r="I87" s="28" t="str">
        <x:v>Мясо и птица</x:v>
      </x:c>
      <x:c r="J87" s="28" t="str">
        <x:v>ореховый, древесный, землистый, слегка горький и маслянистый</x:v>
      </x:c>
      <x:c r="K87" s="28" t="str">
        <x:v>жареный, мясной и умами</x:v>
      </x:c>
      <x:c r="L87" s="28" t="str">
        <x:v>гексаналь, пентаналь, пиразины, лактоны</x:v>
      </x:c>
      <x:c r="M87" s="28" t="str">
        <x:v>пиразины, сернистые соединения</x:v>
      </x:c>
      <x:c r="N87" s="28" t="str">
        <x:v>прямое пересечение семейств не является единственным объяснением</x:v>
      </x:c>
      <x:c r="O87" s="28" t="str">
        <x:v>пиразины</x:v>
      </x:c>
      <x:c r="P87" s="28" t="str">
        <x:v>общие ароматические соединения, жареная химия и реакции Майяра, солёно-умами контраст</x:v>
      </x:c>
      <x:c r="Q8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87" s="28" t="str">
        <x:v>минимальный</x:v>
      </x:c>
      <x:c r="S87" s="28" t="str">
        <x:v>богатая полиненасыщенными жирами матрица, особенно склонная к окислению</x:v>
      </x:c>
      <x:c r="T87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87" s="28" t="str">
        <x:v>Грецкий орех имеет профиль «ореховый, древесный, землистый, слегка горький и маслянистый». Партнёр «говядина»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V87" s="28" t="str">
        <x:v>аллерген; быстро окисляется; горькая кожица способна доминировать</x:v>
      </x:c>
      <x:c r="W87" s="28" t="str">
        <x:v>соль, соевый соус, коричневое масло или специя</x:v>
      </x:c>
      <x:c r="X87" s="28" t="str">
        <x:v>пралине, паста, выпечка, гарнир, соус, молочный или коктейльный компонент с говядина</x:v>
      </x:c>
      <x:c r="Y87" s="28" t="str">
        <x:v>еда, десерты, соусы/маринады</x:v>
      </x:c>
      <x:c r="Z87" s="28" t="str">
        <x:v>Средняя</x:v>
      </x:c>
      <x:c r="AA87" s="28" t="str">
        <x:v>Тезариус вкусов (Ники Сегнит)(1).pdf</x:v>
      </x:c>
      <x:c r="AB87" s="28" t="str">
        <x:v>Тезариус вкусов (Ники Сегнит)(1).pdf: 108, 625</x:v>
      </x:c>
      <x:c r="AC87" s="28" t="str">
        <x:v>Пара встречается как thesaurus; научное объяснение сформировано по ароматическому профилю и пищевой матрице.</x:v>
      </x:c>
      <x:c r="AD87" s="28" t="n">
        <x:v>1</x:v>
      </x:c>
      <x:c r="AE87" s="28" t="n">
        <x:v>2</x:v>
      </x:c>
      <x:c r="AF87" s="28" t="n">
        <x:f>IF(Z87="Высокая",3,IF(Z87="Средняя",2,1))+AD87*2+MIN(AE87,3)</x:f>
        <x:v>6</x:v>
      </x:c>
    </x:row>
    <x:row r="88" ht="62" customHeight="1">
      <x:c r="A88" s="28" t="str">
        <x:v>NCT-0087</x:v>
      </x:c>
      <x:c r="B88" s="28" t="str">
        <x:v>грецкий орех</x:v>
      </x:c>
      <x:c r="C88" s="28" t="str">
        <x:v>Универсальные</x:v>
      </x:c>
      <x:c r="D88" s="28" t="str">
        <x:v>грецкий орех</x:v>
      </x:c>
      <x:c r="E88" s="28" t="str">
        <x:v>Грецкий орех | грецкий орех</x:v>
      </x:c>
      <x:c r="F88" s="28" t="str">
        <x:v>Орехи и семена</x:v>
      </x:c>
      <x:c r="G88" s="28" t="str">
        <x:v>голубой сыр</x:v>
      </x:c>
      <x:c r="H88" s="28" t="str">
        <x:v>Голубой сыр | голубой сыр</x:v>
      </x:c>
      <x:c r="I88" s="28" t="str">
        <x:v>Молочные продукты и сыры</x:v>
      </x:c>
      <x:c r="J88" s="28" t="str">
        <x:v>ореховый, древесный, землистый, слегка горький и маслянистый</x:v>
      </x:c>
      <x:c r="K88" s="28" t="str">
        <x:v>молочный, умами, ферментированный</x:v>
      </x:c>
      <x:c r="L88" s="28" t="str">
        <x:v>гексаналь, пентаналь, пиразины, лактоны</x:v>
      </x:c>
      <x:c r="M88" s="28" t="str">
        <x:v>диацетил, жирные кислоты</x:v>
      </x:c>
      <x:c r="N88" s="28" t="str">
        <x:v>прямое пересечение семейств не является единственным объяснением</x:v>
      </x:c>
      <x:c r="O88" s="28" t="str">
        <x:v>надежная общая ключевая молекула не подтверждена</x:v>
      </x:c>
      <x:c r="P88" s="28" t="str">
        <x:v>жировая экстракция и связывание полифенолов белком</x:v>
      </x:c>
      <x:c r="Q8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88" s="28" t="str">
        <x:v>минимальный</x:v>
      </x:c>
      <x:c r="S88" s="28" t="str">
        <x:v>богатая полиненасыщенными жирами матрица, особенно склонная к окислению Совпадающие жирные фазы облегчают перенос аромата, но могут сделать продукт тяжёлым.</x:v>
      </x:c>
      <x:c r="T88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88" s="28" t="str">
        <x:v>Грецкий орех имеет профиль «ореховый, древесный, землистый, слегка горький и маслянистый». Партнёр «голубой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88" s="28" t="str">
        <x:v>аллерген; быстро окисляется; горькая кожица способна доминировать; жир способен приглушить тонкую ароматику; белок связывает полифенолы</x:v>
      </x:c>
      <x:c r="W88" s="28" t="str">
        <x:v>мёд, карамель или фруктовая кислота</x:v>
      </x:c>
      <x:c r="X88" s="28" t="str">
        <x:v>пралине, паста, выпечка, гарнир, соус, молочный или коктейльный компонент с голубой сыр</x:v>
      </x:c>
      <x:c r="Y88" s="28" t="str">
        <x:v>десерты</x:v>
      </x:c>
      <x:c r="Z88" s="28" t="str">
        <x:v>Средняя</x:v>
      </x:c>
      <x:c r="AA88" s="28" t="str">
        <x:v>Тезариус вкусов (Ники Сегнит)(1).pdf</x:v>
      </x:c>
      <x:c r="AB88" s="28" t="str">
        <x:v>Тезариус вкусов (Ники Сегнит)(1).pdf: 156, 625</x:v>
      </x:c>
      <x:c r="AC88" s="28" t="str">
        <x:v>Пара встречается как thesaurus; научное объяснение сформировано по ароматическому профилю и пищевой матрице.</x:v>
      </x:c>
      <x:c r="AD88" s="28" t="n">
        <x:v>1</x:v>
      </x:c>
      <x:c r="AE88" s="28" t="n">
        <x:v>2</x:v>
      </x:c>
      <x:c r="AF88" s="28" t="n">
        <x:f>IF(Z88="Высокая",3,IF(Z88="Средняя",2,1))+AD88*2+MIN(AE88,3)</x:f>
        <x:v>6</x:v>
      </x:c>
    </x:row>
    <x:row r="89" ht="62" customHeight="1">
      <x:c r="A89" s="28" t="str">
        <x:v>NCT-0088</x:v>
      </x:c>
      <x:c r="B89" s="28" t="str">
        <x:v>грецкий орех</x:v>
      </x:c>
      <x:c r="C89" s="28" t="str">
        <x:v>Еда и соусы</x:v>
      </x:c>
      <x:c r="D89" s="28" t="str">
        <x:v>грецкий орех</x:v>
      </x:c>
      <x:c r="E89" s="28" t="str">
        <x:v>Грецкий орех | грецкий орех</x:v>
      </x:c>
      <x:c r="F89" s="28" t="str">
        <x:v>Орехи и семена</x:v>
      </x:c>
      <x:c r="G89" s="28" t="str">
        <x:v>грибы</x:v>
      </x:c>
      <x:c r="H89" s="28" t="str">
        <x:v>Грибы | грибы</x:v>
      </x:c>
      <x:c r="I89" s="28" t="str">
        <x:v>Овощи, бобовые и грибы</x:v>
      </x:c>
      <x:c r="J89" s="28" t="str">
        <x:v>ореховый, древесный, землистый, слегка горький и маслянистый</x:v>
      </x:c>
      <x:c r="K89" s="28" t="str">
        <x:v>зелёный, землистый или умами</x:v>
      </x:c>
      <x:c r="L89" s="28" t="str">
        <x:v>гексаналь, пентаналь, пиразины, лактоны</x:v>
      </x:c>
      <x:c r="M89" s="28" t="str">
        <x:v>альдегиды, сернистые соединения</x:v>
      </x:c>
      <x:c r="N89" s="28" t="str">
        <x:v>землистый</x:v>
      </x:c>
      <x:c r="O89" s="28" t="str">
        <x:v>надежная общая ключевая молекула не подтверждена</x:v>
      </x:c>
      <x:c r="P89" s="28" t="str">
        <x:v>пересечение ароматических семейств</x:v>
      </x:c>
      <x:c r="Q8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89" s="28" t="str">
        <x:v>минимальный</x:v>
      </x:c>
      <x:c r="S89" s="28" t="str">
        <x:v>богатая полиненасыщенными жирами матрица, особенно склонная к окислению</x:v>
      </x:c>
      <x:c r="T89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89" s="28" t="str">
        <x:v>Грецкий орех имеет профиль «ореховый, древесный, землистый, слегка горький и маслянистый». Партнёр «грибы»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V89" s="28" t="str">
        <x:v>аллерген; быстро окисляется; горькая кожица способна доминировать</x:v>
      </x:c>
      <x:c r="W89" s="28" t="str">
        <x:v>соль, ваниль или карамель</x:v>
      </x:c>
      <x:c r="X89" s="28" t="str">
        <x:v>пралине, паста, выпечка, гарнир, соус, молочный или коктейльный компонент с грибы</x:v>
      </x:c>
      <x:c r="Y89" s="28" t="str">
        <x:v>еда, десерты, соусы/маринады</x:v>
      </x:c>
      <x:c r="Z89" s="28" t="str">
        <x:v>Средняя</x:v>
      </x:c>
      <x:c r="AA89" s="28" t="str">
        <x:v>Тезариус вкусов (Ники Сегнит)(1).pdf</x:v>
      </x:c>
      <x:c r="AB89" s="28" t="str">
        <x:v>Тезариус вкусов (Ники Сегнит)(1).pdf: 195, 625</x:v>
      </x:c>
      <x:c r="AC89" s="28" t="str">
        <x:v>Пара встречается как thesaurus; научное объяснение сформировано по ароматическому профилю и пищевой матрице.</x:v>
      </x:c>
      <x:c r="AD89" s="28" t="n">
        <x:v>1</x:v>
      </x:c>
      <x:c r="AE89" s="28" t="n">
        <x:v>2</x:v>
      </x:c>
      <x:c r="AF89" s="28" t="n">
        <x:f>IF(Z89="Высокая",3,IF(Z89="Средняя",2,1))+AD89*2+MIN(AE89,3)</x:f>
        <x:v>6</x:v>
      </x:c>
    </x:row>
    <x:row r="90" ht="62" customHeight="1">
      <x:c r="A90" s="28" t="str">
        <x:v>NCT-0089</x:v>
      </x:c>
      <x:c r="B90" s="28" t="str">
        <x:v>грецкий орех</x:v>
      </x:c>
      <x:c r="C90" s="28" t="str">
        <x:v>Десерты и выпечка</x:v>
      </x:c>
      <x:c r="D90" s="28" t="str">
        <x:v>грецкий орех</x:v>
      </x:c>
      <x:c r="E90" s="28" t="str">
        <x:v>Грецкий орех | грецкий орех</x:v>
      </x:c>
      <x:c r="F90" s="28" t="str">
        <x:v>Орехи и семена</x:v>
      </x:c>
      <x:c r="G90" s="28" t="str">
        <x:v>груша</x:v>
      </x:c>
      <x:c r="H90" s="28" t="str">
        <x:v>Груша | груша</x:v>
      </x:c>
      <x:c r="I90" s="28" t="str">
        <x:v>Фрукты и ягоды</x:v>
      </x:c>
      <x:c r="J90" s="28" t="str">
        <x:v>ореховый, древесный, землистый, слегка горький и маслянистый</x:v>
      </x:c>
      <x:c r="K90" s="28" t="str">
        <x:v>фруктовый, цветочный и свежий</x:v>
      </x:c>
      <x:c r="L90" s="28" t="str">
        <x:v>гексаналь, пентаналь, пиразины, лактоны</x:v>
      </x:c>
      <x:c r="M90" s="28" t="str">
        <x:v>альдегиды, эфиры</x:v>
      </x:c>
      <x:c r="N90" s="28" t="str">
        <x:v>прямое пересечение семейств не является единственным объяснением</x:v>
      </x:c>
      <x:c r="O90" s="28" t="str">
        <x:v>надежная общая ключевая молекула не подтверждена</x:v>
      </x:c>
      <x:c r="P90" s="28" t="str">
        <x:v>контраст кислоты и жирной/горькой матрицы</x:v>
      </x:c>
      <x:c r="Q9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90" s="28" t="str">
        <x:v>минимальный</x:v>
      </x:c>
      <x:c r="S90" s="28" t="str">
        <x:v>богатая полиненасыщенными жирами матрица, особенно склонная к окислению Водная фруктовая фаза требует эмульсии или мелкого измельчения, если орех или шоколад вводится как паста.</x:v>
      </x:c>
      <x:c r="T90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90" s="28" t="str">
        <x:v>Грецкий орех имеет профиль «ореховый, древесный, землистый, слегка горький и маслянистый». Партнёр «груша»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90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W90" s="28" t="str">
        <x:v>ваниль, цитрус или молочный жир</x:v>
      </x:c>
      <x:c r="X90" s="28" t="str">
        <x:v>пралине, паста, выпечка, гарнир, соус, молочный или коктейльный компонент с груша</x:v>
      </x:c>
      <x:c r="Y90" s="28" t="str">
        <x:v>десерты</x:v>
      </x:c>
      <x:c r="Z90" s="28" t="str">
        <x:v>Высокая</x:v>
      </x:c>
      <x:c r="AA90" s="28" t="str">
        <x:v>Таблица сочетания(1).pdf | Тезариус вкусов (Ники Сегнит)(1).pdf</x:v>
      </x:c>
      <x:c r="AB90" s="28" t="str">
        <x:v>Таблица сочетания(1).pdf: 16; Тезариус вкусов (Ники Сегнит)(1).pdf: 625, 722</x:v>
      </x:c>
      <x:c r="AC90" s="28" t="str">
        <x:v>Пара встречается как table, thesaurus; научное объяснение сформировано по ароматическому профилю и пищевой матрице.</x:v>
      </x:c>
      <x:c r="AD90" s="28" t="n">
        <x:v>2</x:v>
      </x:c>
      <x:c r="AE90" s="28" t="n">
        <x:v>3</x:v>
      </x:c>
      <x:c r="AF90" s="28" t="n">
        <x:f>IF(Z90="Высокая",3,IF(Z90="Средняя",2,1))+AD90*2+MIN(AE90,3)</x:f>
        <x:v>10</x:v>
      </x:c>
    </x:row>
    <x:row r="91" ht="62" customHeight="1">
      <x:c r="A91" s="28" t="str">
        <x:v>NCT-0090</x:v>
      </x:c>
      <x:c r="B91" s="28" t="str">
        <x:v>грецкий орех</x:v>
      </x:c>
      <x:c r="C91" s="28" t="str">
        <x:v>Десерты и выпечка</x:v>
      </x:c>
      <x:c r="D91" s="28" t="str">
        <x:v>грецкий орех</x:v>
      </x:c>
      <x:c r="E91" s="28" t="str">
        <x:v>Грецкий орех | грецкий орех</x:v>
      </x:c>
      <x:c r="F91" s="28" t="str">
        <x:v>Орехи и семена</x:v>
      </x:c>
      <x:c r="G91" s="28" t="str">
        <x:v>инжир</x:v>
      </x:c>
      <x:c r="H91" s="28" t="str">
        <x:v>Инжир | инжир</x:v>
      </x:c>
      <x:c r="I91" s="28" t="str">
        <x:v>Фрукты и ягоды</x:v>
      </x:c>
      <x:c r="J91" s="28" t="str">
        <x:v>ореховый, древесный, землистый, слегка горький и маслянистый</x:v>
      </x:c>
      <x:c r="K91" s="28" t="str">
        <x:v>фруктовый, цветочный и свежий</x:v>
      </x:c>
      <x:c r="L91" s="28" t="str">
        <x:v>гексаналь, пентаналь, пиразины, лактоны</x:v>
      </x:c>
      <x:c r="M91" s="28" t="str">
        <x:v>альдегиды, эфиры</x:v>
      </x:c>
      <x:c r="N91" s="28" t="str">
        <x:v>прямое пересечение семейств не является единственным объяснением</x:v>
      </x:c>
      <x:c r="O91" s="28" t="str">
        <x:v>надежная общая ключевая молекула не подтверждена</x:v>
      </x:c>
      <x:c r="P91" s="28" t="str">
        <x:v>контраст кислоты и жирной/горькой матрицы</x:v>
      </x:c>
      <x:c r="Q9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91" s="28" t="str">
        <x:v>минимальный</x:v>
      </x:c>
      <x:c r="S91" s="28" t="str">
        <x:v>богатая полиненасыщенными жирами матрица, особенно склонная к окислению Водная фруктовая фаза требует эмульсии или мелкого измельчения, если орех или шоколад вводится как паста.</x:v>
      </x:c>
      <x:c r="T91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91" s="28" t="str">
        <x:v>Грецкий орех имеет профиль «ореховый, древесный, землистый, слегка горький и маслянистый». Партнёр «инжир»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91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W91" s="28" t="str">
        <x:v>ваниль, цитрус или молочный жир</x:v>
      </x:c>
      <x:c r="X91" s="28" t="str">
        <x:v>пралине, паста, выпечка, гарнир, соус, молочный или коктейльный компонент с инжир</x:v>
      </x:c>
      <x:c r="Y91" s="28" t="str">
        <x:v>десерты</x:v>
      </x:c>
      <x:c r="Z91" s="28" t="str">
        <x:v>Высокая</x:v>
      </x:c>
      <x:c r="AA91" s="28" t="str">
        <x:v>Таблица сочетания(1).pdf | Тезариус вкусов (Ники Сегнит)(1).pdf</x:v>
      </x:c>
      <x:c r="AB91" s="28" t="str">
        <x:v>Таблица сочетания(1).pdf: 8; Тезариус вкусов (Ники Сегнит)(1).pdf: 626, 893</x:v>
      </x:c>
      <x:c r="AC91" s="28" t="str">
        <x:v>Пара встречается как table, thesaurus; научное объяснение сформировано по ароматическому профилю и пищевой матрице.</x:v>
      </x:c>
      <x:c r="AD91" s="28" t="n">
        <x:v>2</x:v>
      </x:c>
      <x:c r="AE91" s="28" t="n">
        <x:v>3</x:v>
      </x:c>
      <x:c r="AF91" s="28" t="n">
        <x:f>IF(Z91="Высокая",3,IF(Z91="Средняя",2,1))+AD91*2+MIN(AE91,3)</x:f>
        <x:v>10</x:v>
      </x:c>
    </x:row>
    <x:row r="92" ht="62" customHeight="1">
      <x:c r="A92" s="28" t="str">
        <x:v>NCT-0091</x:v>
      </x:c>
      <x:c r="B92" s="28" t="str">
        <x:v>грецкий орех</x:v>
      </x:c>
      <x:c r="C92" s="28" t="str">
        <x:v>Десерты и выпечка</x:v>
      </x:c>
      <x:c r="D92" s="28" t="str">
        <x:v>грецкий орех</x:v>
      </x:c>
      <x:c r="E92" s="28" t="str">
        <x:v>Грецкий орех | грецкий орех</x:v>
      </x:c>
      <x:c r="F92" s="28" t="str">
        <x:v>Орехи и семена</x:v>
      </x:c>
      <x:c r="G92" s="28" t="str">
        <x:v>карамель</x:v>
      </x:c>
      <x:c r="H92" s="28" t="str">
        <x:v>Карамель | карамель</x:v>
      </x:c>
      <x:c r="I92" s="28" t="str">
        <x:v>Выпечка, сахара и десерты</x:v>
      </x:c>
      <x:c r="J92" s="28" t="str">
        <x:v>ореховый, древесный, землистый, слегка горький и маслянистый</x:v>
      </x:c>
      <x:c r="K92" s="28" t="str">
        <x:v>жареный, карамельный</x:v>
      </x:c>
      <x:c r="L92" s="28" t="str">
        <x:v>гексаналь, пентаналь, пиразины, лактоны</x:v>
      </x:c>
      <x:c r="M92" s="28" t="str">
        <x:v>мальтол, фураны</x:v>
      </x:c>
      <x:c r="N92" s="28" t="str">
        <x:v>прямое пересечение семейств не является единственным объяснением</x:v>
      </x:c>
      <x:c r="O92" s="28" t="str">
        <x:v>надежная общая ключевая молекула не подтверждена</x:v>
      </x:c>
      <x:c r="P92" s="28" t="str">
        <x:v>жареная химия и реакции Майяра</x:v>
      </x:c>
      <x:c r="Q9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92" s="28" t="str">
        <x:v>минимальный</x:v>
      </x:c>
      <x:c r="S92" s="28" t="str">
        <x:v>богатая полиненасыщенными жирами матрица, особенно склонная к окислению</x:v>
      </x:c>
      <x:c r="T92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92" s="28" t="str">
        <x:v>Грецкий орех имеет профиль «ореховый, древесный, землистый, слегка горький и маслянистый». Партнёр «карамель» относится к группе «Выпечка, сахара и десерты» и даёт жареный, карамельный.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92" s="28" t="str">
        <x:v>аллерген; быстро окисляется; горькая кожица способна доминировать</x:v>
      </x:c>
      <x:c r="W92" s="28" t="str">
        <x:v>соль, ваниль или карамель</x:v>
      </x:c>
      <x:c r="X92" s="28" t="str">
        <x:v>пралине, паста, выпечка, гарнир, соус, молочный или коктейльный компонент с карамель</x:v>
      </x:c>
      <x:c r="Y92" s="28" t="str">
        <x:v>десерты</x:v>
      </x:c>
      <x:c r="Z92" s="28" t="str">
        <x:v>Гипотеза / практическая</x:v>
      </x:c>
      <x:c r="AA92" s="28" t="str">
        <x:v>Таблица сочетания(1).pdf</x:v>
      </x:c>
      <x:c r="AB92" s="28" t="str">
        <x:v>Таблица сочетания(1).pdf: 3, 22</x:v>
      </x:c>
      <x:c r="AC92" s="28" t="str">
        <x:v>Пара встречается как table; научное объяснение сформировано по ароматическому профилю и пищевой матрице.</x:v>
      </x:c>
      <x:c r="AD92" s="28" t="n">
        <x:v>1</x:v>
      </x:c>
      <x:c r="AE92" s="28" t="n">
        <x:v>2</x:v>
      </x:c>
      <x:c r="AF92" s="28" t="n">
        <x:f>IF(Z92="Высокая",3,IF(Z92="Средняя",2,1))+AD92*2+MIN(AE92,3)</x:f>
        <x:v>5</x:v>
      </x:c>
    </x:row>
    <x:row r="93" ht="62" customHeight="1">
      <x:c r="A93" s="28" t="str">
        <x:v>NCT-0092</x:v>
      </x:c>
      <x:c r="B93" s="28" t="str">
        <x:v>грецкий орех</x:v>
      </x:c>
      <x:c r="C93" s="28" t="str">
        <x:v>Десерты и выпечка</x:v>
      </x:c>
      <x:c r="D93" s="28" t="str">
        <x:v>грецкий орех</x:v>
      </x:c>
      <x:c r="E93" s="28" t="str">
        <x:v>грецкий орех</x:v>
      </x:c>
      <x:c r="F93" s="28" t="str">
        <x:v>Орехи и семена</x:v>
      </x:c>
      <x:c r="G93" s="28" t="str">
        <x:v>кленовый сироп</x:v>
      </x:c>
      <x:c r="H93" s="28" t="str">
        <x:v>Кленовый сироп</x:v>
      </x:c>
      <x:c r="I93" s="28" t="str">
        <x:v>Выпечка, сахара и десерты</x:v>
      </x:c>
      <x:c r="J93" s="28" t="str">
        <x:v>ореховый, древесный, землистый, слегка горький и маслянистый</x:v>
      </x:c>
      <x:c r="K93" s="28" t="str">
        <x:v>сладкий, карамельный и жареный</x:v>
      </x:c>
      <x:c r="L93" s="28" t="str">
        <x:v>гексаналь, пентаналь, пиразины, лактоны</x:v>
      </x:c>
      <x:c r="M93" s="28" t="str">
        <x:v>мальтол, пиразины, фураны</x:v>
      </x:c>
      <x:c r="N93" s="28" t="str">
        <x:v>прямое пересечение семейств не является единственным объяснением</x:v>
      </x:c>
      <x:c r="O93" s="28" t="str">
        <x:v>пиразины</x:v>
      </x:c>
      <x:c r="P93" s="28" t="str">
        <x:v>общие ароматические соединения, жареная химия и реакции Майяра</x:v>
      </x:c>
      <x:c r="Q9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93" s="28" t="str">
        <x:v>минимальный</x:v>
      </x:c>
      <x:c r="S93" s="28" t="str">
        <x:v>богатая полиненасыщенными жирами матрица, особенно склонная к окислению</x:v>
      </x:c>
      <x:c r="T93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93" s="28" t="str">
        <x:v>Грецкий орех имеет профиль «ореховый, древесный, землистый, слегка горький и маслянистый». Партнёр «кленовый сироп» относится к группе «Выпечка, сахара и десерты» и даёт сладкий, карамельный и жареный.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V93" s="28" t="str">
        <x:v>аллерген; быстро окисляется; горькая кожица способна доминировать</x:v>
      </x:c>
      <x:c r="W93" s="28" t="str">
        <x:v>соль, ваниль или карамель</x:v>
      </x:c>
      <x:c r="X93" s="28" t="str">
        <x:v>пралине, паста, выпечка, гарнир, соус, молочный или коктейльный компонент с кленовый сироп</x:v>
      </x:c>
      <x:c r="Y93" s="28" t="str">
        <x:v>напитки, десерты</x:v>
      </x:c>
      <x:c r="Z93" s="28" t="str">
        <x:v>Гипотеза / практическая</x:v>
      </x:c>
      <x:c r="AA93" s="28" t="str">
        <x:v>Таблица сочетания(1).pdf</x:v>
      </x:c>
      <x:c r="AB93" s="28" t="str">
        <x:v>Таблица сочетания(1).pdf: 13</x:v>
      </x:c>
      <x:c r="AC93" s="28" t="str">
        <x:v>Пара встречается как table; научное объяснение сформировано по ароматическому профилю и пищевой матрице.</x:v>
      </x:c>
      <x:c r="AD93" s="28" t="n">
        <x:v>1</x:v>
      </x:c>
      <x:c r="AE93" s="28" t="n">
        <x:v>1</x:v>
      </x:c>
      <x:c r="AF93" s="28" t="n">
        <x:f>IF(Z93="Высокая",3,IF(Z93="Средняя",2,1))+AD93*2+MIN(AE93,3)</x:f>
        <x:v>4</x:v>
      </x:c>
    </x:row>
    <x:row r="94" ht="62" customHeight="1">
      <x:c r="A94" s="28" t="str">
        <x:v>NCT-0093</x:v>
      </x:c>
      <x:c r="B94" s="28" t="str">
        <x:v>грецкий орех</x:v>
      </x:c>
      <x:c r="C94" s="28" t="str">
        <x:v>Универсальные</x:v>
      </x:c>
      <x:c r="D94" s="28" t="str">
        <x:v>грецкий орех</x:v>
      </x:c>
      <x:c r="E94" s="28" t="str">
        <x:v>Грецкий орех | грецкий орех</x:v>
      </x:c>
      <x:c r="F94" s="28" t="str">
        <x:v>Орехи и семена</x:v>
      </x:c>
      <x:c r="G94" s="28" t="str">
        <x:v>клюква</x:v>
      </x:c>
      <x:c r="H94" s="28" t="str">
        <x:v>Клюква | клюква</x:v>
      </x:c>
      <x:c r="I94" s="28" t="str">
        <x:v>Прочее</x:v>
      </x:c>
      <x:c r="J94" s="28" t="str">
        <x:v>ореховый, древесный, землистый, слегка горький и маслянистый</x:v>
      </x:c>
      <x:c r="K94" s="28" t="str">
        <x:v>профиль зависит от конкретного продукта</x:v>
      </x:c>
      <x:c r="L94" s="28" t="str">
        <x:v>гексаналь, пентаналь, пиразины, лактоны</x:v>
      </x:c>
      <x:c r="M94" s="28" t="str">
        <x:v>характерный профиль зависит от конкретного продукта</x:v>
      </x:c>
      <x:c r="N94" s="28" t="str">
        <x:v>прямое пересечение семейств не является единственным объяснением</x:v>
      </x:c>
      <x:c r="O94" s="28" t="str">
        <x:v>надежная общая ключевая молекула не подтверждена</x:v>
      </x:c>
      <x:c r="P94" s="28" t="str">
        <x:v>сенсорная комплементарность</x:v>
      </x:c>
      <x:c r="Q9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94" s="28" t="str">
        <x:v>минимальный</x:v>
      </x:c>
      <x:c r="S94" s="28" t="str">
        <x:v>богатая полиненасыщенными жирами матрица, особенно склонная к окислению</x:v>
      </x:c>
      <x:c r="T9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94" s="28" t="str">
        <x:v>Грецкий орех имеет профиль «ореховый, древесный, землистый, слегка горький и маслянистый». Партнёр «клюква»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94" s="28" t="str">
        <x:v>аллерген; быстро окисляется; горькая кожица способна доминировать</x:v>
      </x:c>
      <x:c r="W94" s="28" t="str">
        <x:v>соль, ваниль или карамель</x:v>
      </x:c>
      <x:c r="X94" s="28" t="str">
        <x:v>пралине, паста, выпечка, гарнир, соус, молочный или коктейльный компонент с клюква</x:v>
      </x:c>
      <x:c r="Y94" s="28" t="str">
        <x:v>десерты</x:v>
      </x:c>
      <x:c r="Z94" s="28" t="str">
        <x:v>Гипотеза / практическая</x:v>
      </x:c>
      <x:c r="AA94" s="28" t="str">
        <x:v>Таблица сочетания(1).pdf</x:v>
      </x:c>
      <x:c r="AB94" s="28" t="str">
        <x:v>Таблица сочетания(1).pdf: 6, 22</x:v>
      </x:c>
      <x:c r="AC94" s="28" t="str">
        <x:v>Пара встречается как table; научное объяснение сформировано по ароматическому профилю и пищевой матрице.</x:v>
      </x:c>
      <x:c r="AD94" s="28" t="n">
        <x:v>1</x:v>
      </x:c>
      <x:c r="AE94" s="28" t="n">
        <x:v>2</x:v>
      </x:c>
      <x:c r="AF94" s="28" t="n">
        <x:f>IF(Z94="Высокая",3,IF(Z94="Средняя",2,1))+AD94*2+MIN(AE94,3)</x:f>
        <x:v>5</x:v>
      </x:c>
    </x:row>
    <x:row r="95" ht="62" customHeight="1">
      <x:c r="A95" s="28" t="str">
        <x:v>NCT-0094</x:v>
      </x:c>
      <x:c r="B95" s="28" t="str">
        <x:v>грецкий орех</x:v>
      </x:c>
      <x:c r="C95" s="28" t="str">
        <x:v>Универсальные</x:v>
      </x:c>
      <x:c r="D95" s="28" t="str">
        <x:v>грецкий орех</x:v>
      </x:c>
      <x:c r="E95" s="28" t="str">
        <x:v>Грецкий орех | грецкий орех</x:v>
      </x:c>
      <x:c r="F95" s="28" t="str">
        <x:v>Орехи и семена</x:v>
      </x:c>
      <x:c r="G95" s="28" t="str">
        <x:v>козий сыр</x:v>
      </x:c>
      <x:c r="H95" s="28" t="str">
        <x:v>Козий сыр | козий сыр</x:v>
      </x:c>
      <x:c r="I95" s="28" t="str">
        <x:v>Молочные продукты и сыры</x:v>
      </x:c>
      <x:c r="J95" s="28" t="str">
        <x:v>ореховый, древесный, землистый, слегка горький и маслянистый</x:v>
      </x:c>
      <x:c r="K95" s="28" t="str">
        <x:v>молочный, умами, ферментированный</x:v>
      </x:c>
      <x:c r="L95" s="28" t="str">
        <x:v>гексаналь, пентаналь, пиразины, лактоны</x:v>
      </x:c>
      <x:c r="M95" s="28" t="str">
        <x:v>диацетил, жирные кислоты</x:v>
      </x:c>
      <x:c r="N95" s="28" t="str">
        <x:v>прямое пересечение семейств не является единственным объяснением</x:v>
      </x:c>
      <x:c r="O95" s="28" t="str">
        <x:v>надежная общая ключевая молекула не подтверждена</x:v>
      </x:c>
      <x:c r="P95" s="28" t="str">
        <x:v>жировая экстракция и связывание полифенолов белком</x:v>
      </x:c>
      <x:c r="Q9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95" s="28" t="str">
        <x:v>минимальный</x:v>
      </x:c>
      <x:c r="S95" s="28" t="str">
        <x:v>богатая полиненасыщенными жирами матрица, особенно склонная к окислению Совпадающие жирные фазы облегчают перенос аромата, но могут сделать продукт тяжёлым.</x:v>
      </x:c>
      <x:c r="T95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95" s="28" t="str">
        <x:v>Грецкий орех имеет профиль «ореховый, древесный, землистый, слегка горький и маслянистый». Партнёр «козий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95" s="28" t="str">
        <x:v>аллерген; быстро окисляется; горькая кожица способна доминировать; жир способен приглушить тонкую ароматику; белок связывает полифенолы</x:v>
      </x:c>
      <x:c r="W95" s="28" t="str">
        <x:v>мёд, карамель или фруктовая кислота</x:v>
      </x:c>
      <x:c r="X95" s="28" t="str">
        <x:v>пралине, паста, выпечка, гарнир, соус, молочный или коктейльный компонент с козий сыр</x:v>
      </x:c>
      <x:c r="Y95" s="28" t="str">
        <x:v>десерты</x:v>
      </x:c>
      <x:c r="Z95" s="28" t="str">
        <x:v>Средняя</x:v>
      </x:c>
      <x:c r="AA95" s="28" t="str">
        <x:v>Тезариус вкусов (Ники Сегнит)(1).pdf</x:v>
      </x:c>
      <x:c r="AB95" s="28" t="str">
        <x:v>Тезариус вкусов (Ники Сегнит)(1).pdf: 137, 626</x:v>
      </x:c>
      <x:c r="AC95" s="28" t="str">
        <x:v>Пара встречается как thesaurus; научное объяснение сформировано по ароматическому профилю и пищевой матрице.</x:v>
      </x:c>
      <x:c r="AD95" s="28" t="n">
        <x:v>1</x:v>
      </x:c>
      <x:c r="AE95" s="28" t="n">
        <x:v>2</x:v>
      </x:c>
      <x:c r="AF95" s="28" t="n">
        <x:f>IF(Z95="Высокая",3,IF(Z95="Средняя",2,1))+AD95*2+MIN(AE95,3)</x:f>
        <x:v>6</x:v>
      </x:c>
    </x:row>
    <x:row r="96" ht="62" customHeight="1">
      <x:c r="A96" s="28" t="str">
        <x:v>NCT-0095</x:v>
      </x:c>
      <x:c r="B96" s="28" t="str">
        <x:v>грецкий орех</x:v>
      </x:c>
      <x:c r="C96" s="28" t="str">
        <x:v>Универсальные</x:v>
      </x:c>
      <x:c r="D96" s="28" t="str">
        <x:v>грецкий орех</x:v>
      </x:c>
      <x:c r="E96" s="28" t="str">
        <x:v>Грецкий орех | грецкий орех</x:v>
      </x:c>
      <x:c r="F96" s="28" t="str">
        <x:v>Орехи и семена</x:v>
      </x:c>
      <x:c r="G96" s="28" t="str">
        <x:v>корица</x:v>
      </x:c>
      <x:c r="H96" s="28" t="str">
        <x:v>Корица | корица</x:v>
      </x:c>
      <x:c r="I96" s="28" t="str">
        <x:v>Специи</x:v>
      </x:c>
      <x:c r="J96" s="28" t="str">
        <x:v>ореховый, древесный, землистый, слегка горький и маслянистый</x:v>
      </x:c>
      <x:c r="K96" s="28" t="str">
        <x:v>древесный, пряный</x:v>
      </x:c>
      <x:c r="L96" s="28" t="str">
        <x:v>гексаналь, пентаналь, пиразины, лактоны</x:v>
      </x:c>
      <x:c r="M96" s="28" t="str">
        <x:v>циннамальдегид, эвгенол</x:v>
      </x:c>
      <x:c r="N96" s="28" t="str">
        <x:v>древесный</x:v>
      </x:c>
      <x:c r="O96" s="28" t="str">
        <x:v>надежная общая ключевая молекула не подтверждена</x:v>
      </x:c>
      <x:c r="P96" s="28" t="str">
        <x:v>пересечение ароматических семейств</x:v>
      </x:c>
      <x:c r="Q9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96" s="28" t="str">
        <x:v>минимальный</x:v>
      </x:c>
      <x:c r="S96" s="28" t="str">
        <x:v>богатая полиненасыщенными жирами матрица, особенно склонная к окислению</x:v>
      </x:c>
      <x:c r="T96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96" s="28" t="str">
        <x:v>Грецкий орех имеет профиль «ореховый, древесный, землистый, слегка горький и маслянистый». Партнёр «корица» относится к группе «Специи» и даёт древесный, пряный. Профили пересекаются в семействах: древесный Ореховый жир служит носителем ароматов и создаёт текстурный контраст, но окисление быстро превращает профиль в прогорклый. Итог: древесный; механизм не следует сводить к одной общей молекуле.</x:v>
      </x:c>
      <x:c r="V96" s="28" t="str">
        <x:v>аллерген; быстро окисляется; горькая кожица способна доминировать</x:v>
      </x:c>
      <x:c r="W96" s="28" t="str">
        <x:v>ваниль, апельсин или мёд</x:v>
      </x:c>
      <x:c r="X96" s="28" t="str">
        <x:v>пралине, паста, выпечка, гарнир, соус, молочный или коктейльный компонент с корица</x:v>
      </x:c>
      <x:c r="Y96" s="28" t="str">
        <x:v>десерты</x:v>
      </x:c>
      <x:c r="Z96" s="28" t="str">
        <x:v>Средняя</x:v>
      </x:c>
      <x:c r="AA96" s="28" t="str">
        <x:v>Тезариус вкусов (Ники Сегнит)(1).pdf</x:v>
      </x:c>
      <x:c r="AB96" s="28" t="str">
        <x:v>Тезариус вкусов (Ники Сегнит)(1).pdf: 576, 626</x:v>
      </x:c>
      <x:c r="AC96" s="28" t="str">
        <x:v>Пара встречается как thesaurus; научное объяснение сформировано по ароматическому профилю и пищевой матрице.</x:v>
      </x:c>
      <x:c r="AD96" s="28" t="n">
        <x:v>1</x:v>
      </x:c>
      <x:c r="AE96" s="28" t="n">
        <x:v>2</x:v>
      </x:c>
      <x:c r="AF96" s="28" t="n">
        <x:f>IF(Z96="Высокая",3,IF(Z96="Средняя",2,1))+AD96*2+MIN(AE96,3)</x:f>
        <x:v>6</x:v>
      </x:c>
    </x:row>
    <x:row r="97" ht="62" customHeight="1">
      <x:c r="A97" s="28" t="str">
        <x:v>NCT-0096</x:v>
      </x:c>
      <x:c r="B97" s="28" t="str">
        <x:v>грецкий орех</x:v>
      </x:c>
      <x:c r="C97" s="28" t="str">
        <x:v>Универсальные</x:v>
      </x:c>
      <x:c r="D97" s="28" t="str">
        <x:v>грецкий орех</x:v>
      </x:c>
      <x:c r="E97" s="28" t="str">
        <x:v>walnut</x:v>
      </x:c>
      <x:c r="F97" s="28" t="str">
        <x:v>Орехи и семена</x:v>
      </x:c>
      <x:c r="G97" s="28" t="str">
        <x:v>корица и кассия</x:v>
      </x:c>
      <x:c r="H97" s="28" t="str">
        <x:v>cinnaman and cassia bark</x:v>
      </x:c>
      <x:c r="I97" s="28" t="str">
        <x:v>Специи</x:v>
      </x:c>
      <x:c r="J97" s="28" t="str">
        <x:v>ореховый, древесный, землистый, слегка горький и маслянистый</x:v>
      </x:c>
      <x:c r="K97" s="28" t="str">
        <x:v>древесный, пряный</x:v>
      </x:c>
      <x:c r="L97" s="28" t="str">
        <x:v>гексаналь, пентаналь, пиразины, лактоны</x:v>
      </x:c>
      <x:c r="M97" s="28" t="str">
        <x:v>циннамальдегид, эвгенол</x:v>
      </x:c>
      <x:c r="N97" s="28" t="str">
        <x:v>древесный</x:v>
      </x:c>
      <x:c r="O97" s="28" t="str">
        <x:v>надежная общая ключевая молекула не подтверждена</x:v>
      </x:c>
      <x:c r="P97" s="28" t="str">
        <x:v>пересечение ароматических семейств</x:v>
      </x:c>
      <x:c r="Q9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97" s="28" t="str">
        <x:v>минимальный</x:v>
      </x:c>
      <x:c r="S97" s="28" t="str">
        <x:v>богатая полиненасыщенными жирами матрица, особенно склонная к окислению</x:v>
      </x:c>
      <x:c r="T97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97" s="28" t="str">
        <x:v>Грецкий орех имеет профиль «ореховый, древесный, землистый, слегка горький и маслянистый». Партнёр «корица и кассия» относится к группе «Специи» и даёт древесный, пряный. Профили пересекаются в семействах: древесный Ореховый жир служит носителем ароматов и создаёт текстурный контраст, но окисление быстро превращает профиль в прогорклый. Итог: древесный; механизм не следует сводить к одной общей молекуле.</x:v>
      </x:c>
      <x:c r="V97" s="28" t="str">
        <x:v>аллерген; быстро окисляется; горькая кожица способна доминировать</x:v>
      </x:c>
      <x:c r="W97" s="28" t="str">
        <x:v>ваниль, апельсин или мёд</x:v>
      </x:c>
      <x:c r="X97" s="28" t="str">
        <x:v>пралине, паста, выпечка, гарнир, соус, молочный или коктейльный компонент с корица и кассия</x:v>
      </x:c>
      <x:c r="Y97" s="28" t="str">
        <x:v>десерты</x:v>
      </x:c>
      <x:c r="Z97" s="28" t="str">
        <x:v>Средняя</x:v>
      </x:c>
      <x:c r="AA97" s="28" t="str">
        <x:v>The Art &amp; Science of Foodpairing.pdf</x:v>
      </x:c>
      <x:c r="AB97" s="28" t="str">
        <x:v>The Art &amp; Science of Foodpairing.pdf: 130</x:v>
      </x:c>
      <x:c r="AC97" s="28" t="str">
        <x:v>Пара встречается как grid; научное объяснение сформировано по ароматическому профилю и пищевой матрице.</x:v>
      </x:c>
      <x:c r="AD97" s="28" t="n">
        <x:v>1</x:v>
      </x:c>
      <x:c r="AE97" s="28" t="n">
        <x:v>1</x:v>
      </x:c>
      <x:c r="AF97" s="28" t="n">
        <x:f>IF(Z97="Высокая",3,IF(Z97="Средняя",2,1))+AD97*2+MIN(AE97,3)</x:f>
        <x:v>5</x:v>
      </x:c>
    </x:row>
    <x:row r="98" ht="62" customHeight="1">
      <x:c r="A98" s="28" t="str">
        <x:v>NCT-0097</x:v>
      </x:c>
      <x:c r="B98" s="28" t="str">
        <x:v>грецкий орех</x:v>
      </x:c>
      <x:c r="C98" s="28" t="str">
        <x:v>Напитки</x:v>
      </x:c>
      <x:c r="D98" s="28" t="str">
        <x:v>грецкий орех</x:v>
      </x:c>
      <x:c r="E98" s="28" t="str">
        <x:v>Грецкий орех | грецкий орех</x:v>
      </x:c>
      <x:c r="F98" s="28" t="str">
        <x:v>Орехи и семена</x:v>
      </x:c>
      <x:c r="G98" s="28" t="str">
        <x:v>кофе</x:v>
      </x:c>
      <x:c r="H98" s="28" t="str">
        <x:v>Кофе | кофе</x:v>
      </x:c>
      <x:c r="I98" s="28" t="str">
        <x:v>Кофе</x:v>
      </x:c>
      <x:c r="J98" s="28" t="str">
        <x:v>ореховый, древесный, землистый, слегка горький и маслянистый</x:v>
      </x:c>
      <x:c r="K98" s="28" t="str">
        <x:v>жареный, ореховый, карамельный, цветочный, фруктовый, фенольный и древесный</x:v>
      </x:c>
      <x:c r="L98" s="28" t="str">
        <x:v>гексаналь, пентаналь, пиразины, лактоны</x:v>
      </x:c>
      <x:c r="M98" s="28" t="str">
        <x:v>2-фурфурилтиол, гваякол, диацетил, пиразины, фураны</x:v>
      </x:c>
      <x:c r="N98" s="28" t="str">
        <x:v>ореховый</x:v>
      </x:c>
      <x:c r="O98" s="28" t="str">
        <x:v>пиразины</x:v>
      </x:c>
      <x:c r="P98" s="28" t="str">
        <x:v>общие ароматические соединения, пересечение ароматических семейств, жареная химия и реакции Майяра</x:v>
      </x:c>
      <x:c r="Q9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98" s="28" t="str">
        <x:v>минимальный</x:v>
      </x:c>
      <x:c r="S98" s="28" t="str">
        <x:v>богатая полиненасыщенными жирами матрица, особенно склонная к окислению</x:v>
      </x:c>
      <x:c r="T98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98" s="28" t="str">
        <x:v>Грецкий орех имеет профиль «ореховый, древесный, землистый, слегка горький и маслянистый».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пиразины.</x:v>
      </x:c>
      <x:c r="V98" s="28" t="str">
        <x:v>аллерген; быстро окисляется; горькая кожица способна доминировать</x:v>
      </x:c>
      <x:c r="W98" s="28" t="str">
        <x:v>соль, ваниль или карамель</x:v>
      </x:c>
      <x:c r="X98" s="28" t="str">
        <x:v>пралине, паста, выпечка, гарнир, соус, молочный или коктейльный компонент с кофе</x:v>
      </x:c>
      <x:c r="Y98" s="28" t="str">
        <x:v>напитки, десерты</x:v>
      </x:c>
      <x:c r="Z98" s="28" t="str">
        <x:v>Высокая</x:v>
      </x:c>
      <x:c r="AA98" s="28" t="str">
        <x:v>Таблица сочетания(1).pdf | Тезариус вкусов (Ники Сегнит)(1).pdf</x:v>
      </x:c>
      <x:c r="AB98" s="28" t="str">
        <x:v>Таблица сочетания(1).pdf: 6, 21; Тезариус вкусов (Ники Сегнит)(1).pdf: 44, 626</x:v>
      </x:c>
      <x:c r="AC98" s="28" t="str">
        <x:v>Пара встречается как table, thesaurus; научное объяснение сформировано по ароматическому профилю и пищевой матрице.</x:v>
      </x:c>
      <x:c r="AD98" s="28" t="n">
        <x:v>2</x:v>
      </x:c>
      <x:c r="AE98" s="28" t="n">
        <x:v>4</x:v>
      </x:c>
      <x:c r="AF98" s="28" t="n">
        <x:f>IF(Z98="Высокая",3,IF(Z98="Средняя",2,1))+AD98*2+MIN(AE98,3)</x:f>
        <x:v>10</x:v>
      </x:c>
    </x:row>
    <x:row r="99" ht="62" customHeight="1">
      <x:c r="A99" s="28" t="str">
        <x:v>NCT-0098</x:v>
      </x:c>
      <x:c r="B99" s="28" t="str">
        <x:v>грецкий орех</x:v>
      </x:c>
      <x:c r="C99" s="28" t="str">
        <x:v>Универсальные</x:v>
      </x:c>
      <x:c r="D99" s="28" t="str">
        <x:v>грецкий орех</x:v>
      </x:c>
      <x:c r="E99" s="28" t="str">
        <x:v>грецкий орех</x:v>
      </x:c>
      <x:c r="F99" s="28" t="str">
        <x:v>Орехи и семена</x:v>
      </x:c>
      <x:c r="G99" s="28" t="str">
        <x:v>кумкват</x:v>
      </x:c>
      <x:c r="H99" s="28" t="str">
        <x:v>Кумкват</x:v>
      </x:c>
      <x:c r="I99" s="28" t="str">
        <x:v>Прочее</x:v>
      </x:c>
      <x:c r="J99" s="28" t="str">
        <x:v>ореховый, древесный, землистый, слегка горький и маслянистый</x:v>
      </x:c>
      <x:c r="K99" s="28" t="str">
        <x:v>профиль зависит от конкретного продукта</x:v>
      </x:c>
      <x:c r="L99" s="28" t="str">
        <x:v>гексаналь, пентаналь, пиразины, лактоны</x:v>
      </x:c>
      <x:c r="M99" s="28" t="str">
        <x:v>характерный профиль зависит от конкретного продукта</x:v>
      </x:c>
      <x:c r="N99" s="28" t="str">
        <x:v>прямое пересечение семейств не является единственным объяснением</x:v>
      </x:c>
      <x:c r="O99" s="28" t="str">
        <x:v>надежная общая ключевая молекула не подтверждена</x:v>
      </x:c>
      <x:c r="P99" s="28" t="str">
        <x:v>сенсорная комплементарность</x:v>
      </x:c>
      <x:c r="Q9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99" s="28" t="str">
        <x:v>минимальный</x:v>
      </x:c>
      <x:c r="S99" s="28" t="str">
        <x:v>богатая полиненасыщенными жирами матрица, особенно склонная к окислению</x:v>
      </x:c>
      <x:c r="T99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99" s="28" t="str">
        <x:v>Грецкий орех имеет профиль «ореховый, древесный, землистый, слегка горький и маслянистый». Партнёр «кумкват»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99" s="28" t="str">
        <x:v>аллерген; быстро окисляется; горькая кожица способна доминировать</x:v>
      </x:c>
      <x:c r="W99" s="28" t="str">
        <x:v>соль, ваниль или карамель</x:v>
      </x:c>
      <x:c r="X99" s="28" t="str">
        <x:v>пралине, паста, выпечка, гарнир, соус, молочный или коктейльный компонент с кумкват</x:v>
      </x:c>
      <x:c r="Y99" s="28" t="str">
        <x:v>десерты</x:v>
      </x:c>
      <x:c r="Z99" s="28" t="str">
        <x:v>Гипотеза / практическая</x:v>
      </x:c>
      <x:c r="AA99" s="28" t="str">
        <x:v>Таблица сочетания(1).pdf</x:v>
      </x:c>
      <x:c r="AB99" s="28" t="str">
        <x:v>Таблица сочетания(1).pdf: 10</x:v>
      </x:c>
      <x:c r="AC99" s="28" t="str">
        <x:v>Пара встречается как table; научное объяснение сформировано по ароматическому профилю и пищевой матрице.</x:v>
      </x:c>
      <x:c r="AD99" s="28" t="n">
        <x:v>1</x:v>
      </x:c>
      <x:c r="AE99" s="28" t="n">
        <x:v>1</x:v>
      </x:c>
      <x:c r="AF99" s="28" t="n">
        <x:f>IF(Z99="Высокая",3,IF(Z99="Средняя",2,1))+AD99*2+MIN(AE99,3)</x:f>
        <x:v>4</x:v>
      </x:c>
    </x:row>
    <x:row r="100" ht="62" customHeight="1">
      <x:c r="A100" s="28" t="str">
        <x:v>NCT-0099</x:v>
      </x:c>
      <x:c r="B100" s="28" t="str">
        <x:v>грецкий орех</x:v>
      </x:c>
      <x:c r="C100" s="28" t="str">
        <x:v>Универсальные</x:v>
      </x:c>
      <x:c r="D100" s="28" t="str">
        <x:v>грецкий орех</x:v>
      </x:c>
      <x:c r="E100" s="28" t="str">
        <x:v>Грецкий орех | грецкий орех</x:v>
      </x:c>
      <x:c r="F100" s="28" t="str">
        <x:v>Орехи и семена</x:v>
      </x:c>
      <x:c r="G100" s="28" t="str">
        <x:v>моллюски</x:v>
      </x:c>
      <x:c r="H100" s="28" t="str">
        <x:v>Моллюски | моллюски</x:v>
      </x:c>
      <x:c r="I100" s="28" t="str">
        <x:v>Прочее</x:v>
      </x:c>
      <x:c r="J100" s="28" t="str">
        <x:v>ореховый, древесный, землистый, слегка горький и маслянистый</x:v>
      </x:c>
      <x:c r="K100" s="28" t="str">
        <x:v>профиль зависит от конкретного продукта</x:v>
      </x:c>
      <x:c r="L100" s="28" t="str">
        <x:v>гексаналь, пентаналь, пиразины, лактоны</x:v>
      </x:c>
      <x:c r="M100" s="28" t="str">
        <x:v>характерный профиль зависит от конкретного продукта</x:v>
      </x:c>
      <x:c r="N100" s="28" t="str">
        <x:v>прямое пересечение семейств не является единственным объяснением</x:v>
      </x:c>
      <x:c r="O100" s="28" t="str">
        <x:v>надежная общая ключевая молекула не подтверждена</x:v>
      </x:c>
      <x:c r="P100" s="28" t="str">
        <x:v>сенсорная комплементарность</x:v>
      </x:c>
      <x:c r="Q10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00" s="28" t="str">
        <x:v>минимальный</x:v>
      </x:c>
      <x:c r="S100" s="28" t="str">
        <x:v>богатая полиненасыщенными жирами матрица, особенно склонная к окислению</x:v>
      </x:c>
      <x:c r="T100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00" s="28" t="str">
        <x:v>Грецкий орех имеет профиль «ореховый, древесный, землистый, слегка горький и маслянистый». Партнёр «моллюски»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00" s="28" t="str">
        <x:v>аллерген; быстро окисляется; горькая кожица способна доминировать</x:v>
      </x:c>
      <x:c r="W100" s="28" t="str">
        <x:v>соль, ваниль или карамель</x:v>
      </x:c>
      <x:c r="X100" s="28" t="str">
        <x:v>пралине, паста, выпечка, гарнир, соус, молочный или коктейльный компонент с моллюски</x:v>
      </x:c>
      <x:c r="Y100" s="28" t="str">
        <x:v>десерты</x:v>
      </x:c>
      <x:c r="Z100" s="28" t="str">
        <x:v>Средняя</x:v>
      </x:c>
      <x:c r="AA100" s="28" t="str">
        <x:v>Тезариус вкусов (Ники Сегнит)(1).pdf</x:v>
      </x:c>
      <x:c r="AB100" s="28" t="str">
        <x:v>Тезариус вкусов (Ники Сегнит)(1).pdf: 369, 626</x:v>
      </x:c>
      <x:c r="AC100" s="28" t="str">
        <x:v>Пара встречается как thesaurus; научное объяснение сформировано по ароматическому профилю и пищевой матрице.</x:v>
      </x:c>
      <x:c r="AD100" s="28" t="n">
        <x:v>1</x:v>
      </x:c>
      <x:c r="AE100" s="28" t="n">
        <x:v>2</x:v>
      </x:c>
      <x:c r="AF100" s="28" t="n">
        <x:f>IF(Z100="Высокая",3,IF(Z100="Средняя",2,1))+AD100*2+MIN(AE100,3)</x:f>
        <x:v>6</x:v>
      </x:c>
    </x:row>
    <x:row r="101" ht="62" customHeight="1">
      <x:c r="A101" s="28" t="str">
        <x:v>NCT-0100</x:v>
      </x:c>
      <x:c r="B101" s="28" t="str">
        <x:v>грецкий орех</x:v>
      </x:c>
      <x:c r="C101" s="28" t="str">
        <x:v>Еда и соусы</x:v>
      </x:c>
      <x:c r="D101" s="28" t="str">
        <x:v>грецкий орех</x:v>
      </x:c>
      <x:c r="E101" s="28" t="str">
        <x:v>Грецкий орех | грецкий орех</x:v>
      </x:c>
      <x:c r="F101" s="28" t="str">
        <x:v>Орехи и семена</x:v>
      </x:c>
      <x:c r="G101" s="28" t="str">
        <x:v>морковь</x:v>
      </x:c>
      <x:c r="H101" s="28" t="str">
        <x:v>Морковь | морковь</x:v>
      </x:c>
      <x:c r="I101" s="28" t="str">
        <x:v>Овощи, бобовые и грибы</x:v>
      </x:c>
      <x:c r="J101" s="28" t="str">
        <x:v>ореховый, древесный, землистый, слегка горький и маслянистый</x:v>
      </x:c>
      <x:c r="K101" s="28" t="str">
        <x:v>зелёный, землистый или умами</x:v>
      </x:c>
      <x:c r="L101" s="28" t="str">
        <x:v>гексаналь, пентаналь, пиразины, лактоны</x:v>
      </x:c>
      <x:c r="M101" s="28" t="str">
        <x:v>альдегиды, сернистые соединения</x:v>
      </x:c>
      <x:c r="N101" s="28" t="str">
        <x:v>землистый</x:v>
      </x:c>
      <x:c r="O101" s="28" t="str">
        <x:v>надежная общая ключевая молекула не подтверждена</x:v>
      </x:c>
      <x:c r="P101" s="28" t="str">
        <x:v>пересечение ароматических семейств</x:v>
      </x:c>
      <x:c r="Q10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01" s="28" t="str">
        <x:v>минимальный</x:v>
      </x:c>
      <x:c r="S101" s="28" t="str">
        <x:v>богатая полиненасыщенными жирами матрица, особенно склонная к окислению</x:v>
      </x:c>
      <x:c r="T101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01" s="28" t="str">
        <x:v>Грецкий орех имеет профиль «ореховый, древесный, землистый, слегка горький и маслянистый». Партнёр «морковь»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V101" s="28" t="str">
        <x:v>аллерген; быстро окисляется; горькая кожица способна доминировать</x:v>
      </x:c>
      <x:c r="W101" s="28" t="str">
        <x:v>соль, ваниль или карамель</x:v>
      </x:c>
      <x:c r="X101" s="28" t="str">
        <x:v>пралине, паста, выпечка, гарнир, соус, молочный или коктейльный компонент с морковь</x:v>
      </x:c>
      <x:c r="Y101" s="28" t="str">
        <x:v>еда, десерты, соусы/маринады</x:v>
      </x:c>
      <x:c r="Z101" s="28" t="str">
        <x:v>Средняя</x:v>
      </x:c>
      <x:c r="AA101" s="28" t="str">
        <x:v>Тезариус вкусов (Ники Сегнит)(1).pdf</x:v>
      </x:c>
      <x:c r="AB101" s="28" t="str">
        <x:v>Тезариус вкусов (Ники Сегнит)(1).pdf: 602, 627</x:v>
      </x:c>
      <x:c r="AC101" s="28" t="str">
        <x:v>Пара встречается как thesaurus; научное объяснение сформировано по ароматическому профилю и пищевой матрице.</x:v>
      </x:c>
      <x:c r="AD101" s="28" t="n">
        <x:v>1</x:v>
      </x:c>
      <x:c r="AE101" s="28" t="n">
        <x:v>2</x:v>
      </x:c>
      <x:c r="AF101" s="28" t="n">
        <x:f>IF(Z101="Высокая",3,IF(Z101="Средняя",2,1))+AD101*2+MIN(AE101,3)</x:f>
        <x:v>6</x:v>
      </x:c>
    </x:row>
    <x:row r="102" ht="62" customHeight="1">
      <x:c r="A102" s="28" t="str">
        <x:v>NCT-0101</x:v>
      </x:c>
      <x:c r="B102" s="28" t="str">
        <x:v>грецкий орех</x:v>
      </x:c>
      <x:c r="C102" s="28" t="str">
        <x:v>Десерты и выпечка</x:v>
      </x:c>
      <x:c r="D102" s="28" t="str">
        <x:v>грецкий орех</x:v>
      </x:c>
      <x:c r="E102" s="28" t="str">
        <x:v>Грецкий орех | грецкий орех</x:v>
      </x:c>
      <x:c r="F102" s="28" t="str">
        <x:v>Орехи и семена</x:v>
      </x:c>
      <x:c r="G102" s="28" t="str">
        <x:v>мускатный орех</x:v>
      </x:c>
      <x:c r="H102" s="28" t="str">
        <x:v>Мускатный орех | мускатный орех</x:v>
      </x:c>
      <x:c r="I102" s="28" t="str">
        <x:v>Орехи и семена</x:v>
      </x:c>
      <x:c r="J102" s="28" t="str">
        <x:v>ореховый, древесный, землистый, слегка горький и маслянистый</x:v>
      </x:c>
      <x:c r="K102" s="28" t="str">
        <x:v>камфорный, ореховый, пряный</x:v>
      </x:c>
      <x:c r="L102" s="28" t="str">
        <x:v>гексаналь, пентаналь, пиразины, лактоны</x:v>
      </x:c>
      <x:c r="M102" s="28" t="str">
        <x:v>пинены, сабинен</x:v>
      </x:c>
      <x:c r="N102" s="28" t="str">
        <x:v>ореховый</x:v>
      </x:c>
      <x:c r="O102" s="28" t="str">
        <x:v>надежная общая ключевая молекула не подтверждена</x:v>
      </x:c>
      <x:c r="P102" s="28" t="str">
        <x:v>пересечение ароматических семейств, жареная химия и реакции Майяра</x:v>
      </x:c>
      <x:c r="Q10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02" s="28" t="str">
        <x:v>минимальный</x:v>
      </x:c>
      <x:c r="S102" s="28" t="str">
        <x:v>богатая полиненасыщенными жирами матрица, особенно склонная к окислению</x:v>
      </x:c>
      <x:c r="T102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02" s="28" t="str">
        <x:v>Грецкий орех имеет профиль «ореховый, древесный, землистый, слегка горький и маслянистый».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механизм не следует сводить к одной общей молекуле.</x:v>
      </x:c>
      <x:c r="V102" s="28" t="str">
        <x:v>аллерген; быстро окисляется; горькая кожица способна доминировать</x:v>
      </x:c>
      <x:c r="W102" s="28" t="str">
        <x:v>соль, ваниль или карамель</x:v>
      </x:c>
      <x:c r="X102" s="28" t="str">
        <x:v>пралине, паста, выпечка, гарнир, соус, молочный или коктейльный компонент с мускатный орех</x:v>
      </x:c>
      <x:c r="Y102" s="28" t="str">
        <x:v>десерты</x:v>
      </x:c>
      <x:c r="Z102" s="28" t="str">
        <x:v>Высокая</x:v>
      </x:c>
      <x:c r="AA102" s="28" t="str">
        <x:v>Таблица сочетания(1).pdf | Тезариус вкусов (Ники Сегнит)(1).pdf</x:v>
      </x:c>
      <x:c r="AB102" s="28" t="str">
        <x:v>Таблица сочетания(1).pdf: 21; Тезариус вкусов (Ники Сегнит)(1).pdf: 588, 627</x:v>
      </x:c>
      <x:c r="AC102" s="28" t="str">
        <x:v>Пара встречается как table, thesaurus; научное объяснение сформировано по ароматическому профилю и пищевой матрице.</x:v>
      </x:c>
      <x:c r="AD102" s="28" t="n">
        <x:v>2</x:v>
      </x:c>
      <x:c r="AE102" s="28" t="n">
        <x:v>3</x:v>
      </x:c>
      <x:c r="AF102" s="28" t="n">
        <x:f>IF(Z102="Высокая",3,IF(Z102="Средняя",2,1))+AD102*2+MIN(AE102,3)</x:f>
        <x:v>10</x:v>
      </x:c>
    </x:row>
    <x:row r="103" ht="62" customHeight="1">
      <x:c r="A103" s="28" t="str">
        <x:v>NCT-0102</x:v>
      </x:c>
      <x:c r="B103" s="28" t="str">
        <x:v>грецкий орех</x:v>
      </x:c>
      <x:c r="C103" s="28" t="str">
        <x:v>Универсальные</x:v>
      </x:c>
      <x:c r="D103" s="28" t="str">
        <x:v>грецкий орех</x:v>
      </x:c>
      <x:c r="E103" s="28" t="str">
        <x:v>Грецкий орех | грецкий орех</x:v>
      </x:c>
      <x:c r="F103" s="28" t="str">
        <x:v>Орехи и семена</x:v>
      </x:c>
      <x:c r="G103" s="28" t="str">
        <x:v>мягкий сыр</x:v>
      </x:c>
      <x:c r="H103" s="28" t="str">
        <x:v>Мягкий сыр | мягкий сыр</x:v>
      </x:c>
      <x:c r="I103" s="28" t="str">
        <x:v>Молочные продукты и сыры</x:v>
      </x:c>
      <x:c r="J103" s="28" t="str">
        <x:v>ореховый, древесный, землистый, слегка горький и маслянистый</x:v>
      </x:c>
      <x:c r="K103" s="28" t="str">
        <x:v>молочный, умами, ферментированный</x:v>
      </x:c>
      <x:c r="L103" s="28" t="str">
        <x:v>гексаналь, пентаналь, пиразины, лактоны</x:v>
      </x:c>
      <x:c r="M103" s="28" t="str">
        <x:v>диацетил, жирные кислоты</x:v>
      </x:c>
      <x:c r="N103" s="28" t="str">
        <x:v>прямое пересечение семейств не является единственным объяснением</x:v>
      </x:c>
      <x:c r="O103" s="28" t="str">
        <x:v>надежная общая ключевая молекула не подтверждена</x:v>
      </x:c>
      <x:c r="P103" s="28" t="str">
        <x:v>жировая экстракция и связывание полифенолов белком</x:v>
      </x:c>
      <x:c r="Q10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03" s="28" t="str">
        <x:v>минимальный</x:v>
      </x:c>
      <x:c r="S103" s="28" t="str">
        <x:v>богатая полиненасыщенными жирами матрица, особенно склонная к окислению Совпадающие жирные фазы облегчают перенос аромата, но могут сделать продукт тяжёлым.</x:v>
      </x:c>
      <x:c r="T103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03" s="28" t="str">
        <x:v>Грецкий орех имеет профиль «ореховый, древесный, землистый, слегка горький и маслянистый». Партнёр «мягкий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03" s="28" t="str">
        <x:v>аллерген; быстро окисляется; горькая кожица способна доминировать; жир способен приглушить тонкую ароматику; белок связывает полифенолы</x:v>
      </x:c>
      <x:c r="W103" s="28" t="str">
        <x:v>мёд, карамель или фруктовая кислота</x:v>
      </x:c>
      <x:c r="X103" s="28" t="str">
        <x:v>пралине, паста, выпечка, гарнир, соус, молочный или коктейльный компонент с мягкий сыр</x:v>
      </x:c>
      <x:c r="Y103" s="28" t="str">
        <x:v>десерты</x:v>
      </x:c>
      <x:c r="Z103" s="28" t="str">
        <x:v>Средняя</x:v>
      </x:c>
      <x:c r="AA103" s="28" t="str">
        <x:v>Тезариус вкусов (Ники Сегнит)(1).pdf</x:v>
      </x:c>
      <x:c r="AB103" s="28" t="str">
        <x:v>Тезариус вкусов (Ники Сегнит)(1).pdf: 183, 627</x:v>
      </x:c>
      <x:c r="AC103" s="28" t="str">
        <x:v>Пара встречается как thesaurus; научное объяснение сформировано по ароматическому профилю и пищевой матрице.</x:v>
      </x:c>
      <x:c r="AD103" s="28" t="n">
        <x:v>1</x:v>
      </x:c>
      <x:c r="AE103" s="28" t="n">
        <x:v>2</x:v>
      </x:c>
      <x:c r="AF103" s="28" t="n">
        <x:f>IF(Z103="Высокая",3,IF(Z103="Средняя",2,1))+AD103*2+MIN(AE103,3)</x:f>
        <x:v>6</x:v>
      </x:c>
    </x:row>
    <x:row r="104" ht="62" customHeight="1">
      <x:c r="A104" s="28" t="str">
        <x:v>NCT-0103</x:v>
      </x:c>
      <x:c r="B104" s="28" t="str">
        <x:v>грецкий орех</x:v>
      </x:c>
      <x:c r="C104" s="28" t="str">
        <x:v>Десерты и выпечка</x:v>
      </x:c>
      <x:c r="D104" s="28" t="str">
        <x:v>грецкий орех</x:v>
      </x:c>
      <x:c r="E104" s="28" t="str">
        <x:v>Грецкий орех</x:v>
      </x:c>
      <x:c r="F104" s="28" t="str">
        <x:v>Орехи и семена</x:v>
      </x:c>
      <x:c r="G104" s="28" t="str">
        <x:v>мёд</x:v>
      </x:c>
      <x:c r="H104" s="28" t="str">
        <x:v>мёд</x:v>
      </x:c>
      <x:c r="I104" s="28" t="str">
        <x:v>Выпечка, сахара и десерты</x:v>
      </x:c>
      <x:c r="J104" s="28" t="str">
        <x:v>ореховый, древесный, землистый, слегка горький и маслянистый</x:v>
      </x:c>
      <x:c r="K104" s="28" t="str">
        <x:v>медовый, цветочный</x:v>
      </x:c>
      <x:c r="L104" s="28" t="str">
        <x:v>гексаналь, пентаналь, пиразины, лактоны</x:v>
      </x:c>
      <x:c r="M104" s="28" t="str">
        <x:v>норизопреноиды, фенилуксусная кислота</x:v>
      </x:c>
      <x:c r="N104" s="28" t="str">
        <x:v>прямое пересечение семейств не является единственным объяснением</x:v>
      </x:c>
      <x:c r="O104" s="28" t="str">
        <x:v>надежная общая ключевая молекула не подтверждена</x:v>
      </x:c>
      <x:c r="P104" s="28" t="str">
        <x:v>жареная химия и реакции Майяра</x:v>
      </x:c>
      <x:c r="Q10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04" s="28" t="str">
        <x:v>минимальный</x:v>
      </x:c>
      <x:c r="S104" s="28" t="str">
        <x:v>богатая полиненасыщенными жирами матрица, особенно склонная к окислению</x:v>
      </x:c>
      <x:c r="T10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04" s="28" t="str">
        <x:v>Грецкий орех имеет профиль «ореховый, древесный, землистый, слегка горький и маслянистый». Партнёр «мёд» относится к группе «Выпечка, сахара и десерты» и даёт медовый, цветочный.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04" s="28" t="str">
        <x:v>аллерген; быстро окисляется; горькая кожица способна доминировать</x:v>
      </x:c>
      <x:c r="W104" s="28" t="str">
        <x:v>соль, ваниль или карамель</x:v>
      </x:c>
      <x:c r="X104" s="28" t="str">
        <x:v>пралине, паста, выпечка, гарнир, соус, молочный или коктейльный компонент с мёд</x:v>
      </x:c>
      <x:c r="Y104" s="28" t="str">
        <x:v>десерты</x:v>
      </x:c>
      <x:c r="Z104" s="28" t="str">
        <x:v>Гипотеза / практическая</x:v>
      </x:c>
      <x:c r="AA104" s="28" t="str">
        <x:v>Таблица сочетания(1).pdf</x:v>
      </x:c>
      <x:c r="AB104" s="28" t="str">
        <x:v>Таблица сочетания(1).pdf: 22</x:v>
      </x:c>
      <x:c r="AC104" s="28" t="str">
        <x:v>Пара встречается как table; научное объяснение сформировано по ароматическому профилю и пищевой матрице.</x:v>
      </x:c>
      <x:c r="AD104" s="28" t="n">
        <x:v>1</x:v>
      </x:c>
      <x:c r="AE104" s="28" t="n">
        <x:v>1</x:v>
      </x:c>
      <x:c r="AF104" s="28" t="n">
        <x:f>IF(Z104="Высокая",3,IF(Z104="Средняя",2,1))+AD104*2+MIN(AE104,3)</x:f>
        <x:v>4</x:v>
      </x:c>
    </x:row>
    <x:row r="105" ht="62" customHeight="1">
      <x:c r="A105" s="28" t="str">
        <x:v>NCT-0104</x:v>
      </x:c>
      <x:c r="B105" s="28" t="str">
        <x:v>грецкий орех</x:v>
      </x:c>
      <x:c r="C105" s="28" t="str">
        <x:v>Универсальные</x:v>
      </x:c>
      <x:c r="D105" s="28" t="str">
        <x:v>грецкий орех</x:v>
      </x:c>
      <x:c r="E105" s="28" t="str">
        <x:v>walnuts</x:v>
      </x:c>
      <x:c r="F105" s="28" t="str">
        <x:v>Орехи и семена</x:v>
      </x:c>
      <x:c r="G105" s="28" t="str">
        <x:v>пармезан</x:v>
      </x:c>
      <x:c r="H105" s="28" t="str">
        <x:v>Parmigiano-Reggiano</x:v>
      </x:c>
      <x:c r="I105" s="28" t="str">
        <x:v>Прочее</x:v>
      </x:c>
      <x:c r="J105" s="28" t="str">
        <x:v>ореховый, древесный, землистый, слегка горький и маслянистый</x:v>
      </x:c>
      <x:c r="K105" s="28" t="str">
        <x:v>профиль зависит от конкретного продукта</x:v>
      </x:c>
      <x:c r="L105" s="28" t="str">
        <x:v>гексаналь, пентаналь, пиразины, лактоны</x:v>
      </x:c>
      <x:c r="M105" s="28" t="str">
        <x:v>характерный профиль зависит от конкретного продукта</x:v>
      </x:c>
      <x:c r="N105" s="28" t="str">
        <x:v>прямое пересечение семейств не является единственным объяснением</x:v>
      </x:c>
      <x:c r="O105" s="28" t="str">
        <x:v>надежная общая ключевая молекула не подтверждена</x:v>
      </x:c>
      <x:c r="P105" s="28" t="str">
        <x:v>сенсорная комплементарность</x:v>
      </x:c>
      <x:c r="Q10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05" s="28" t="str">
        <x:v>минимальный</x:v>
      </x:c>
      <x:c r="S105" s="28" t="str">
        <x:v>богатая полиненасыщенными жирами матрица, особенно склонная к окислению</x:v>
      </x:c>
      <x:c r="T105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05" s="28" t="str">
        <x:v>Грецкий орех имеет профиль «ореховый, древесный, землистый, слегка горький и маслянистый». Партнёр «пармезан»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05" s="28" t="str">
        <x:v>аллерген; быстро окисляется; горькая кожица способна доминировать</x:v>
      </x:c>
      <x:c r="W105" s="28" t="str">
        <x:v>соль, ваниль или карамель</x:v>
      </x:c>
      <x:c r="X105" s="28" t="str">
        <x:v>пралине, паста, выпечка, гарнир, соус, молочный или коктейльный компонент с пармезан</x:v>
      </x:c>
      <x:c r="Y105" s="28" t="str">
        <x:v>десерты</x:v>
      </x:c>
      <x:c r="Z105" s="28" t="str">
        <x:v>Средняя</x:v>
      </x:c>
      <x:c r="AA105" s="28" t="str">
        <x:v>The Art &amp; Science of Foodpairing.pdf</x:v>
      </x:c>
      <x:c r="AB105" s="28" t="str">
        <x:v>The Art &amp; Science of Foodpairing.pdf: 282</x:v>
      </x:c>
      <x:c r="AC105" s="28" t="str">
        <x:v>Пара встречается как grid; научное объяснение сформировано по ароматическому профилю и пищевой матрице.</x:v>
      </x:c>
      <x:c r="AD105" s="28" t="n">
        <x:v>1</x:v>
      </x:c>
      <x:c r="AE105" s="28" t="n">
        <x:v>1</x:v>
      </x:c>
      <x:c r="AF105" s="28" t="n">
        <x:f>IF(Z105="Высокая",3,IF(Z105="Средняя",2,1))+AD105*2+MIN(AE105,3)</x:f>
        <x:v>5</x:v>
      </x:c>
    </x:row>
    <x:row r="106" ht="62" customHeight="1">
      <x:c r="A106" s="28" t="str">
        <x:v>NCT-0105</x:v>
      </x:c>
      <x:c r="B106" s="28" t="str">
        <x:v>грецкий орех</x:v>
      </x:c>
      <x:c r="C106" s="28" t="str">
        <x:v>Универсальные</x:v>
      </x:c>
      <x:c r="D106" s="28" t="str">
        <x:v>грецкий орех</x:v>
      </x:c>
      <x:c r="E106" s="28" t="str">
        <x:v>Грецкий орех | грецкий орех</x:v>
      </x:c>
      <x:c r="F106" s="28" t="str">
        <x:v>Орехи и семена</x:v>
      </x:c>
      <x:c r="G106" s="28" t="str">
        <x:v>пастернак</x:v>
      </x:c>
      <x:c r="H106" s="28" t="str">
        <x:v>Пастернак | пастернак</x:v>
      </x:c>
      <x:c r="I106" s="28" t="str">
        <x:v>Прочее</x:v>
      </x:c>
      <x:c r="J106" s="28" t="str">
        <x:v>ореховый, древесный, землистый, слегка горький и маслянистый</x:v>
      </x:c>
      <x:c r="K106" s="28" t="str">
        <x:v>профиль зависит от конкретного продукта</x:v>
      </x:c>
      <x:c r="L106" s="28" t="str">
        <x:v>гексаналь, пентаналь, пиразины, лактоны</x:v>
      </x:c>
      <x:c r="M106" s="28" t="str">
        <x:v>характерный профиль зависит от конкретного продукта</x:v>
      </x:c>
      <x:c r="N106" s="28" t="str">
        <x:v>прямое пересечение семейств не является единственным объяснением</x:v>
      </x:c>
      <x:c r="O106" s="28" t="str">
        <x:v>надежная общая ключевая молекула не подтверждена</x:v>
      </x:c>
      <x:c r="P106" s="28" t="str">
        <x:v>сенсорная комплементарность</x:v>
      </x:c>
      <x:c r="Q10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06" s="28" t="str">
        <x:v>минимальный</x:v>
      </x:c>
      <x:c r="S106" s="28" t="str">
        <x:v>богатая полиненасыщенными жирами матрица, особенно склонная к окислению</x:v>
      </x:c>
      <x:c r="T106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06" s="28" t="str">
        <x:v>Грецкий орех имеет профиль «ореховый, древесный, землистый, слегка горький и маслянистый». Партнёр «пастернак»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06" s="28" t="str">
        <x:v>аллерген; быстро окисляется; горькая кожица способна доминировать</x:v>
      </x:c>
      <x:c r="W106" s="28" t="str">
        <x:v>соль, ваниль или карамель</x:v>
      </x:c>
      <x:c r="X106" s="28" t="str">
        <x:v>пралине, паста, выпечка, гарнир, соус, молочный или коктейльный компонент с пастернак</x:v>
      </x:c>
      <x:c r="Y106" s="28" t="str">
        <x:v>десерты</x:v>
      </x:c>
      <x:c r="Z106" s="28" t="str">
        <x:v>Средняя</x:v>
      </x:c>
      <x:c r="AA106" s="28" t="str">
        <x:v>Тезариус вкусов (Ники Сегнит)(1).pdf</x:v>
      </x:c>
      <x:c r="AB106" s="28" t="str">
        <x:v>Тезариус вкусов (Ники Сегнит)(1).pdf: 597, 627</x:v>
      </x:c>
      <x:c r="AC106" s="28" t="str">
        <x:v>Пара встречается как thesaurus; научное объяснение сформировано по ароматическому профилю и пищевой матрице.</x:v>
      </x:c>
      <x:c r="AD106" s="28" t="n">
        <x:v>1</x:v>
      </x:c>
      <x:c r="AE106" s="28" t="n">
        <x:v>2</x:v>
      </x:c>
      <x:c r="AF106" s="28" t="n">
        <x:f>IF(Z106="Высокая",3,IF(Z106="Средняя",2,1))+AD106*2+MIN(AE106,3)</x:f>
        <x:v>6</x:v>
      </x:c>
    </x:row>
    <x:row r="107" ht="62" customHeight="1">
      <x:c r="A107" s="28" t="str">
        <x:v>NCT-0106</x:v>
      </x:c>
      <x:c r="B107" s="28" t="str">
        <x:v>грецкий орех</x:v>
      </x:c>
      <x:c r="C107" s="28" t="str">
        <x:v>Десерты и выпечка</x:v>
      </x:c>
      <x:c r="D107" s="28" t="str">
        <x:v>грецкий орех</x:v>
      </x:c>
      <x:c r="E107" s="28" t="str">
        <x:v>грецкий орех</x:v>
      </x:c>
      <x:c r="F107" s="28" t="str">
        <x:v>Орехи и семена</x:v>
      </x:c>
      <x:c r="G107" s="28" t="str">
        <x:v>персик</x:v>
      </x:c>
      <x:c r="H107" s="28" t="str">
        <x:v>Персик</x:v>
      </x:c>
      <x:c r="I107" s="28" t="str">
        <x:v>Фрукты и ягоды</x:v>
      </x:c>
      <x:c r="J107" s="28" t="str">
        <x:v>ореховый, древесный, землистый, слегка горький и маслянистый</x:v>
      </x:c>
      <x:c r="K107" s="28" t="str">
        <x:v>лактонный, фруктовый, цветочный</x:v>
      </x:c>
      <x:c r="L107" s="28" t="str">
        <x:v>гексаналь, пентаналь, пиразины, лактоны</x:v>
      </x:c>
      <x:c r="M107" s="28" t="str">
        <x:v>лактоны, линалоол</x:v>
      </x:c>
      <x:c r="N107" s="28" t="str">
        <x:v>прямое пересечение семейств не является единственным объяснением</x:v>
      </x:c>
      <x:c r="O107" s="28" t="str">
        <x:v>лактоны</x:v>
      </x:c>
      <x:c r="P107" s="28" t="str">
        <x:v>общие ароматические соединения, контраст кислоты и жирной/горькой матрицы</x:v>
      </x:c>
      <x:c r="Q10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07" s="28" t="str">
        <x:v>минимальный</x:v>
      </x:c>
      <x:c r="S107" s="28" t="str">
        <x:v>богатая полиненасыщенными жирами матрица, особенно склонная к окислению Водная фруктовая фаза требует эмульсии или мелкого измельчения, если орех или шоколад вводится как паста.</x:v>
      </x:c>
      <x:c r="T107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07" s="28" t="str">
        <x:v>Грецкий орех имеет профиль «ореховый, древесный, землистый, слегка горький и маслянистый». Партнёр «персик» относится к группе «Фрукты и ягоды» и даёт лактонный, фруктовый, цветочный. Молекулярный мост создают лактоны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лактоны.</x:v>
      </x:c>
      <x:c r="V107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W107" s="28" t="str">
        <x:v>ваниль, цитрус или молочный жир</x:v>
      </x:c>
      <x:c r="X107" s="28" t="str">
        <x:v>пралине, паста, выпечка, гарнир, соус, молочный или коктейльный компонент с персик</x:v>
      </x:c>
      <x:c r="Y107" s="28" t="str">
        <x:v>десерты</x:v>
      </x:c>
      <x:c r="Z107" s="28" t="str">
        <x:v>Гипотеза / практическая</x:v>
      </x:c>
      <x:c r="AA107" s="28" t="str">
        <x:v>Таблица сочетания(1).pdf</x:v>
      </x:c>
      <x:c r="AB107" s="28" t="str">
        <x:v>Таблица сочетания(1).pdf: 15</x:v>
      </x:c>
      <x:c r="AC107" s="28" t="str">
        <x:v>Пара встречается как table; научное объяснение сформировано по ароматическому профилю и пищевой матрице.</x:v>
      </x:c>
      <x:c r="AD107" s="28" t="n">
        <x:v>1</x:v>
      </x:c>
      <x:c r="AE107" s="28" t="n">
        <x:v>1</x:v>
      </x:c>
      <x:c r="AF107" s="28" t="n">
        <x:f>IF(Z107="Высокая",3,IF(Z107="Средняя",2,1))+AD107*2+MIN(AE107,3)</x:f>
        <x:v>4</x:v>
      </x:c>
    </x:row>
    <x:row r="108" ht="62" customHeight="1">
      <x:c r="A108" s="28" t="str">
        <x:v>NCT-0107</x:v>
      </x:c>
      <x:c r="B108" s="28" t="str">
        <x:v>грецкий орех</x:v>
      </x:c>
      <x:c r="C108" s="28" t="str">
        <x:v>Универсальные</x:v>
      </x:c>
      <x:c r="D108" s="28" t="str">
        <x:v>грецкий орех</x:v>
      </x:c>
      <x:c r="E108" s="28" t="str">
        <x:v>Грецкий орех | грецкий орех</x:v>
      </x:c>
      <x:c r="F108" s="28" t="str">
        <x:v>Орехи и семена</x:v>
      </x:c>
      <x:c r="G108" s="28" t="str">
        <x:v>петрушка</x:v>
      </x:c>
      <x:c r="H108" s="28" t="str">
        <x:v>Петрушка | петрушка</x:v>
      </x:c>
      <x:c r="I108" s="28" t="str">
        <x:v>Травы, цветы и листья</x:v>
      </x:c>
      <x:c r="J108" s="28" t="str">
        <x:v>ореховый, древесный, землистый, слегка горький и маслянистый</x:v>
      </x:c>
      <x:c r="K108" s="28" t="str">
        <x:v>зелёный, цветочный и терпеновый</x:v>
      </x:c>
      <x:c r="L108" s="28" t="str">
        <x:v>гексаналь, пентаналь, пиразины, лактоны</x:v>
      </x:c>
      <x:c r="M108" s="28" t="str">
        <x:v>линалоол, терпены</x:v>
      </x:c>
      <x:c r="N108" s="28" t="str">
        <x:v>прямое пересечение семейств не является единственным объяснением</x:v>
      </x:c>
      <x:c r="O108" s="28" t="str">
        <x:v>надежная общая ключевая молекула не подтверждена</x:v>
      </x:c>
      <x:c r="P108" s="28" t="str">
        <x:v>сенсорная комплементарность</x:v>
      </x:c>
      <x:c r="Q10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08" s="28" t="str">
        <x:v>минимальный</x:v>
      </x:c>
      <x:c r="S108" s="28" t="str">
        <x:v>богатая полиненасыщенными жирами матрица, особенно склонная к окислению</x:v>
      </x:c>
      <x:c r="T108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08" s="28" t="str">
        <x:v>Грецкий орех имеет профиль «ореховый, древесный, землистый, слегка горький и маслянистый». Партнёр «петрушка»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08" s="28" t="str">
        <x:v>аллерген; быстро окисляется; горькая кожица способна доминировать</x:v>
      </x:c>
      <x:c r="W108" s="28" t="str">
        <x:v>цитрус, мёд или сливки</x:v>
      </x:c>
      <x:c r="X108" s="28" t="str">
        <x:v>пралине, паста, выпечка, гарнир, соус, молочный или коктейльный компонент с петрушка</x:v>
      </x:c>
      <x:c r="Y108" s="28" t="str">
        <x:v>десерты</x:v>
      </x:c>
      <x:c r="Z108" s="28" t="str">
        <x:v>Средняя</x:v>
      </x:c>
      <x:c r="AA108" s="28" t="str">
        <x:v>Тезариус вкусов (Ники Сегнит)(1).pdf</x:v>
      </x:c>
      <x:c r="AB108" s="28" t="str">
        <x:v>Тезариус вкусов (Ники Сегнит)(1).pdf: 508, 627</x:v>
      </x:c>
      <x:c r="AC108" s="28" t="str">
        <x:v>Пара встречается как thesaurus; научное объяснение сформировано по ароматическому профилю и пищевой матрице.</x:v>
      </x:c>
      <x:c r="AD108" s="28" t="n">
        <x:v>1</x:v>
      </x:c>
      <x:c r="AE108" s="28" t="n">
        <x:v>2</x:v>
      </x:c>
      <x:c r="AF108" s="28" t="n">
        <x:f>IF(Z108="Высокая",3,IF(Z108="Средняя",2,1))+AD108*2+MIN(AE108,3)</x:f>
        <x:v>6</x:v>
      </x:c>
    </x:row>
    <x:row r="109" ht="62" customHeight="1">
      <x:c r="A109" s="28" t="str">
        <x:v>NCT-0108</x:v>
      </x:c>
      <x:c r="B109" s="28" t="str">
        <x:v>грецкий орех</x:v>
      </x:c>
      <x:c r="C109" s="28" t="str">
        <x:v>Универсальные</x:v>
      </x:c>
      <x:c r="D109" s="28" t="str">
        <x:v>грецкий орех</x:v>
      </x:c>
      <x:c r="E109" s="28" t="str">
        <x:v>Грецкий орех | грецкий орех</x:v>
      </x:c>
      <x:c r="F109" s="28" t="str">
        <x:v>Орехи и семена</x:v>
      </x:c>
      <x:c r="G109" s="28" t="str">
        <x:v>рассольный сыр</x:v>
      </x:c>
      <x:c r="H109" s="28" t="str">
        <x:v>Рассольный сыр | рассольный сыр</x:v>
      </x:c>
      <x:c r="I109" s="28" t="str">
        <x:v>Молочные продукты и сыры</x:v>
      </x:c>
      <x:c r="J109" s="28" t="str">
        <x:v>ореховый, древесный, землистый, слегка горький и маслянистый</x:v>
      </x:c>
      <x:c r="K109" s="28" t="str">
        <x:v>молочный, умами, ферментированный</x:v>
      </x:c>
      <x:c r="L109" s="28" t="str">
        <x:v>гексаналь, пентаналь, пиразины, лактоны</x:v>
      </x:c>
      <x:c r="M109" s="28" t="str">
        <x:v>диацетил, жирные кислоты</x:v>
      </x:c>
      <x:c r="N109" s="28" t="str">
        <x:v>прямое пересечение семейств не является единственным объяснением</x:v>
      </x:c>
      <x:c r="O109" s="28" t="str">
        <x:v>надежная общая ключевая молекула не подтверждена</x:v>
      </x:c>
      <x:c r="P109" s="28" t="str">
        <x:v>жировая экстракция и связывание полифенолов белком</x:v>
      </x:c>
      <x:c r="Q10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09" s="28" t="str">
        <x:v>минимальный</x:v>
      </x:c>
      <x:c r="S109" s="28" t="str">
        <x:v>богатая полиненасыщенными жирами матрица, особенно склонная к окислению Совпадающие жирные фазы облегчают перенос аромата, но могут сделать продукт тяжёлым.</x:v>
      </x:c>
      <x:c r="T109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09" s="28" t="str">
        <x:v>Грецкий орех имеет профиль «ореховый, древесный, землистый, слегка горький и маслянистый». Партнёр «рассольный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09" s="28" t="str">
        <x:v>аллерген; быстро окисляется; горькая кожица способна доминировать; жир способен приглушить тонкую ароматику; белок связывает полифенолы</x:v>
      </x:c>
      <x:c r="W109" s="28" t="str">
        <x:v>мёд, карамель или фруктовая кислота</x:v>
      </x:c>
      <x:c r="X109" s="28" t="str">
        <x:v>пралине, паста, выпечка, гарнир, соус, молочный или коктейльный компонент с рассольный сыр</x:v>
      </x:c>
      <x:c r="Y109" s="28" t="str">
        <x:v>десерты</x:v>
      </x:c>
      <x:c r="Z109" s="28" t="str">
        <x:v>Средняя</x:v>
      </x:c>
      <x:c r="AA109" s="28" t="str">
        <x:v>Тезариус вкусов (Ники Сегнит)(1).pdf</x:v>
      </x:c>
      <x:c r="AB109" s="28" t="str">
        <x:v>Тезариус вкусов (Ники Сегнит)(1).pdf: 149, 628</x:v>
      </x:c>
      <x:c r="AC109" s="28" t="str">
        <x:v>Пара встречается как thesaurus; научное объяснение сформировано по ароматическому профилю и пищевой матрице.</x:v>
      </x:c>
      <x:c r="AD109" s="28" t="n">
        <x:v>1</x:v>
      </x:c>
      <x:c r="AE109" s="28" t="n">
        <x:v>2</x:v>
      </x:c>
      <x:c r="AF109" s="28" t="n">
        <x:f>IF(Z109="Высокая",3,IF(Z109="Средняя",2,1))+AD109*2+MIN(AE109,3)</x:f>
        <x:v>6</x:v>
      </x:c>
    </x:row>
    <x:row r="110" ht="62" customHeight="1">
      <x:c r="A110" s="28" t="str">
        <x:v>NCT-0109</x:v>
      </x:c>
      <x:c r="B110" s="28" t="str">
        <x:v>грецкий орех</x:v>
      </x:c>
      <x:c r="C110" s="28" t="str">
        <x:v>Универсальные</x:v>
      </x:c>
      <x:c r="D110" s="28" t="str">
        <x:v>грецкий орех</x:v>
      </x:c>
      <x:c r="E110" s="28" t="str">
        <x:v>Грецкий орех</x:v>
      </x:c>
      <x:c r="F110" s="28" t="str">
        <x:v>Орехи и семена</x:v>
      </x:c>
      <x:c r="G110" s="28" t="str">
        <x:v>розмарин</x:v>
      </x:c>
      <x:c r="H110" s="28" t="str">
        <x:v>розмарин</x:v>
      </x:c>
      <x:c r="I110" s="28" t="str">
        <x:v>Травы, цветы и листья</x:v>
      </x:c>
      <x:c r="J110" s="28" t="str">
        <x:v>ореховый, древесный, землистый, слегка горький и маслянистый</x:v>
      </x:c>
      <x:c r="K110" s="28" t="str">
        <x:v>зелёный, цветочный и терпеновый</x:v>
      </x:c>
      <x:c r="L110" s="28" t="str">
        <x:v>гексаналь, пентаналь, пиразины, лактоны</x:v>
      </x:c>
      <x:c r="M110" s="28" t="str">
        <x:v>линалоол, терпены</x:v>
      </x:c>
      <x:c r="N110" s="28" t="str">
        <x:v>прямое пересечение семейств не является единственным объяснением</x:v>
      </x:c>
      <x:c r="O110" s="28" t="str">
        <x:v>надежная общая ключевая молекула не подтверждена</x:v>
      </x:c>
      <x:c r="P110" s="28" t="str">
        <x:v>сенсорная комплементарность</x:v>
      </x:c>
      <x:c r="Q11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10" s="28" t="str">
        <x:v>минимальный</x:v>
      </x:c>
      <x:c r="S110" s="28" t="str">
        <x:v>богатая полиненасыщенными жирами матрица, особенно склонная к окислению</x:v>
      </x:c>
      <x:c r="T110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10" s="28" t="str">
        <x:v>Грецкий орех имеет профиль «ореховый, древесный, землистый, слегка горький и маслянистый». Партнёр «розмарин»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10" s="28" t="str">
        <x:v>аллерген; быстро окисляется; горькая кожица способна доминировать</x:v>
      </x:c>
      <x:c r="W110" s="28" t="str">
        <x:v>цитрус, мёд или сливки</x:v>
      </x:c>
      <x:c r="X110" s="28" t="str">
        <x:v>пралине, паста, выпечка, гарнир, соус, молочный или коктейльный компонент с розмарин</x:v>
      </x:c>
      <x:c r="Y110" s="28" t="str">
        <x:v>десерты</x:v>
      </x:c>
      <x:c r="Z110" s="28" t="str">
        <x:v>Гипотеза / практическая</x:v>
      </x:c>
      <x:c r="AA110" s="28" t="str">
        <x:v>Таблица сочетания(1).pdf</x:v>
      </x:c>
      <x:c r="AB110" s="28" t="str">
        <x:v>Таблица сочетания(1).pdf: 21</x:v>
      </x:c>
      <x:c r="AC110" s="28" t="str">
        <x:v>Пара встречается как table; научное объяснение сформировано по ароматическому профилю и пищевой матрице.</x:v>
      </x:c>
      <x:c r="AD110" s="28" t="n">
        <x:v>1</x:v>
      </x:c>
      <x:c r="AE110" s="28" t="n">
        <x:v>1</x:v>
      </x:c>
      <x:c r="AF110" s="28" t="n">
        <x:f>IF(Z110="Высокая",3,IF(Z110="Средняя",2,1))+AD110*2+MIN(AE110,3)</x:f>
        <x:v>4</x:v>
      </x:c>
    </x:row>
    <x:row r="111" ht="62" customHeight="1">
      <x:c r="A111" s="28" t="str">
        <x:v>NCT-0110</x:v>
      </x:c>
      <x:c r="B111" s="28" t="str">
        <x:v>грецкий орех</x:v>
      </x:c>
      <x:c r="C111" s="28" t="str">
        <x:v>Еда и соусы</x:v>
      </x:c>
      <x:c r="D111" s="28" t="str">
        <x:v>грецкий орех</x:v>
      </x:c>
      <x:c r="E111" s="28" t="str">
        <x:v>Грецкий орех | грецкий орех</x:v>
      </x:c>
      <x:c r="F111" s="28" t="str">
        <x:v>Орехи и семена</x:v>
      </x:c>
      <x:c r="G111" s="28" t="str">
        <x:v>свекла</x:v>
      </x:c>
      <x:c r="H111" s="28" t="str">
        <x:v>Свекла | свекла</x:v>
      </x:c>
      <x:c r="I111" s="28" t="str">
        <x:v>Овощи, бобовые и грибы</x:v>
      </x:c>
      <x:c r="J111" s="28" t="str">
        <x:v>ореховый, древесный, землистый, слегка горький и маслянистый</x:v>
      </x:c>
      <x:c r="K111" s="28" t="str">
        <x:v>землистый, сладкий</x:v>
      </x:c>
      <x:c r="L111" s="28" t="str">
        <x:v>гексаналь, пентаналь, пиразины, лактоны</x:v>
      </x:c>
      <x:c r="M111" s="28" t="str">
        <x:v>геосмин</x:v>
      </x:c>
      <x:c r="N111" s="28" t="str">
        <x:v>землистый</x:v>
      </x:c>
      <x:c r="O111" s="28" t="str">
        <x:v>надежная общая ключевая молекула не подтверждена</x:v>
      </x:c>
      <x:c r="P111" s="28" t="str">
        <x:v>пересечение ароматических семейств</x:v>
      </x:c>
      <x:c r="Q11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11" s="28" t="str">
        <x:v>минимальный</x:v>
      </x:c>
      <x:c r="S111" s="28" t="str">
        <x:v>богатая полиненасыщенными жирами матрица, особенно склонная к окислению</x:v>
      </x:c>
      <x:c r="T111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11" s="28" t="str">
        <x:v>Грецкий орех имеет профиль «ореховый, древесный, землистый, слегка горький и маслянистый». Партнёр «свекла» относится к группе «Овощи, бобовые и грибы» и даёт землистый, сладкий.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V111" s="28" t="str">
        <x:v>аллерген; быстро окисляется; горькая кожица способна доминировать</x:v>
      </x:c>
      <x:c r="W111" s="28" t="str">
        <x:v>соль, ваниль или карамель</x:v>
      </x:c>
      <x:c r="X111" s="28" t="str">
        <x:v>пралине, паста, выпечка, гарнир, соус, молочный или коктейльный компонент с свекла</x:v>
      </x:c>
      <x:c r="Y111" s="28" t="str">
        <x:v>еда, десерты, соусы/маринады</x:v>
      </x:c>
      <x:c r="Z111" s="28" t="str">
        <x:v>Средняя</x:v>
      </x:c>
      <x:c r="AA111" s="28" t="str">
        <x:v>Тезариус вкусов (Ники Сегнит)(1).pdf</x:v>
      </x:c>
      <x:c r="AB111" s="28" t="str">
        <x:v>Тезариус вкусов (Ники Сегнит)(1).pdf: 223, 225, 628</x:v>
      </x:c>
      <x:c r="AC111" s="28" t="str">
        <x:v>Пара встречается как thesaurus; научное объяснение сформировано по ароматическому профилю и пищевой матрице.</x:v>
      </x:c>
      <x:c r="AD111" s="28" t="n">
        <x:v>1</x:v>
      </x:c>
      <x:c r="AE111" s="28" t="n">
        <x:v>3</x:v>
      </x:c>
      <x:c r="AF111" s="28" t="n">
        <x:f>IF(Z111="Высокая",3,IF(Z111="Средняя",2,1))+AD111*2+MIN(AE111,3)</x:f>
        <x:v>7</x:v>
      </x:c>
    </x:row>
    <x:row r="112" ht="62" customHeight="1">
      <x:c r="A112" s="28" t="str">
        <x:v>NCT-0111</x:v>
      </x:c>
      <x:c r="B112" s="28" t="str">
        <x:v>грецкий орех</x:v>
      </x:c>
      <x:c r="C112" s="28" t="str">
        <x:v>Универсальные</x:v>
      </x:c>
      <x:c r="D112" s="28" t="str">
        <x:v>грецкий орех</x:v>
      </x:c>
      <x:c r="E112" s="28" t="str">
        <x:v>Грецкий орех | грецкий орех</x:v>
      </x:c>
      <x:c r="F112" s="28" t="str">
        <x:v>Орехи и семена</x:v>
      </x:c>
      <x:c r="G112" s="28" t="str">
        <x:v>сельдерей</x:v>
      </x:c>
      <x:c r="H112" s="28" t="str">
        <x:v>Сельдерей | сельдерей</x:v>
      </x:c>
      <x:c r="I112" s="28" t="str">
        <x:v>Прочее</x:v>
      </x:c>
      <x:c r="J112" s="28" t="str">
        <x:v>ореховый, древесный, землистый, слегка горький и маслянистый</x:v>
      </x:c>
      <x:c r="K112" s="28" t="str">
        <x:v>профиль зависит от конкретного продукта</x:v>
      </x:c>
      <x:c r="L112" s="28" t="str">
        <x:v>гексаналь, пентаналь, пиразины, лактоны</x:v>
      </x:c>
      <x:c r="M112" s="28" t="str">
        <x:v>характерный профиль зависит от конкретного продукта</x:v>
      </x:c>
      <x:c r="N112" s="28" t="str">
        <x:v>прямое пересечение семейств не является единственным объяснением</x:v>
      </x:c>
      <x:c r="O112" s="28" t="str">
        <x:v>надежная общая ключевая молекула не подтверждена</x:v>
      </x:c>
      <x:c r="P112" s="28" t="str">
        <x:v>сенсорная комплементарность</x:v>
      </x:c>
      <x:c r="Q11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12" s="28" t="str">
        <x:v>минимальный</x:v>
      </x:c>
      <x:c r="S112" s="28" t="str">
        <x:v>богатая полиненасыщенными жирами матрица, особенно склонная к окислению</x:v>
      </x:c>
      <x:c r="T112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12" s="28" t="str">
        <x:v>Грецкий орех имеет профиль «ореховый, древесный, землистый, слегка горький и маслянистый». Партнёр «сельдерей»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12" s="28" t="str">
        <x:v>аллерген; быстро окисляется; горькая кожица способна доминировать</x:v>
      </x:c>
      <x:c r="W112" s="28" t="str">
        <x:v>соль, ваниль или карамель</x:v>
      </x:c>
      <x:c r="X112" s="28" t="str">
        <x:v>пралине, паста, выпечка, гарнир, соус, молочный или коктейльный компонент с сельдерей</x:v>
      </x:c>
      <x:c r="Y112" s="28" t="str">
        <x:v>десерты</x:v>
      </x:c>
      <x:c r="Z112" s="28" t="str">
        <x:v>Средняя</x:v>
      </x:c>
      <x:c r="AA112" s="28" t="str">
        <x:v>Тезариус вкусов (Ники Сегнит)(1).pdf</x:v>
      </x:c>
      <x:c r="AB112" s="28" t="str">
        <x:v>Тезариус вкусов (Ники Сегнит)(1).pdf: 251, 628</x:v>
      </x:c>
      <x:c r="AC112" s="28" t="str">
        <x:v>Пара встречается как thesaurus; научное объяснение сформировано по ароматическому профилю и пищевой матрице.</x:v>
      </x:c>
      <x:c r="AD112" s="28" t="n">
        <x:v>1</x:v>
      </x:c>
      <x:c r="AE112" s="28" t="n">
        <x:v>2</x:v>
      </x:c>
      <x:c r="AF112" s="28" t="n">
        <x:f>IF(Z112="Высокая",3,IF(Z112="Средняя",2,1))+AD112*2+MIN(AE112,3)</x:f>
        <x:v>6</x:v>
      </x:c>
    </x:row>
    <x:row r="113" ht="62" customHeight="1">
      <x:c r="A113" s="28" t="str">
        <x:v>NCT-0112</x:v>
      </x:c>
      <x:c r="B113" s="28" t="str">
        <x:v>грецкий орех</x:v>
      </x:c>
      <x:c r="C113" s="28" t="str">
        <x:v>Десерты и выпечка</x:v>
      </x:c>
      <x:c r="D113" s="28" t="str">
        <x:v>грецкий орех</x:v>
      </x:c>
      <x:c r="E113" s="28" t="str">
        <x:v>грецкий орех</x:v>
      </x:c>
      <x:c r="F113" s="28" t="str">
        <x:v>Орехи и семена</x:v>
      </x:c>
      <x:c r="G113" s="28" t="str">
        <x:v>слива</x:v>
      </x:c>
      <x:c r="H113" s="28" t="str">
        <x:v>Слива</x:v>
      </x:c>
      <x:c r="I113" s="28" t="str">
        <x:v>Фрукты и ягоды</x:v>
      </x:c>
      <x:c r="J113" s="28" t="str">
        <x:v>ореховый, древесный, землистый, слегка горький и маслянистый</x:v>
      </x:c>
      <x:c r="K113" s="28" t="str">
        <x:v>фруктовый, цветочный и свежий</x:v>
      </x:c>
      <x:c r="L113" s="28" t="str">
        <x:v>гексаналь, пентаналь, пиразины, лактоны</x:v>
      </x:c>
      <x:c r="M113" s="28" t="str">
        <x:v>альдегиды, эфиры</x:v>
      </x:c>
      <x:c r="N113" s="28" t="str">
        <x:v>прямое пересечение семейств не является единственным объяснением</x:v>
      </x:c>
      <x:c r="O113" s="28" t="str">
        <x:v>надежная общая ключевая молекула не подтверждена</x:v>
      </x:c>
      <x:c r="P113" s="28" t="str">
        <x:v>контраст кислоты и жирной/горькой матрицы</x:v>
      </x:c>
      <x:c r="Q11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13" s="28" t="str">
        <x:v>минимальный</x:v>
      </x:c>
      <x:c r="S113" s="28" t="str">
        <x:v>богатая полиненасыщенными жирами матрица, особенно склонная к окислению Водная фруктовая фаза требует эмульсии или мелкого измельчения, если орех или шоколад вводится как паста.</x:v>
      </x:c>
      <x:c r="T113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13" s="28" t="str">
        <x:v>Грецкий орех имеет профиль «ореховый, древесный, землистый, слегка горький и маслянистый». Партнёр «слива»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13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W113" s="28" t="str">
        <x:v>ваниль, цитрус или молочный жир</x:v>
      </x:c>
      <x:c r="X113" s="28" t="str">
        <x:v>пралине, паста, выпечка, гарнир, соус, молочный или коктейльный компонент с слива</x:v>
      </x:c>
      <x:c r="Y113" s="28" t="str">
        <x:v>десерты</x:v>
      </x:c>
      <x:c r="Z113" s="28" t="str">
        <x:v>Гипотеза / практическая</x:v>
      </x:c>
      <x:c r="AA113" s="28" t="str">
        <x:v>Таблица сочетания(1).pdf</x:v>
      </x:c>
      <x:c r="AB113" s="28" t="str">
        <x:v>Таблица сочетания(1).pdf: 17</x:v>
      </x:c>
      <x:c r="AC113" s="28" t="str">
        <x:v>Пара встречается как table; научное объяснение сформировано по ароматическому профилю и пищевой матрице.</x:v>
      </x:c>
      <x:c r="AD113" s="28" t="n">
        <x:v>1</x:v>
      </x:c>
      <x:c r="AE113" s="28" t="n">
        <x:v>1</x:v>
      </x:c>
      <x:c r="AF113" s="28" t="n">
        <x:f>IF(Z113="Высокая",3,IF(Z113="Средняя",2,1))+AD113*2+MIN(AE113,3)</x:f>
        <x:v>4</x:v>
      </x:c>
    </x:row>
    <x:row r="114" ht="62" customHeight="1">
      <x:c r="A114" s="28" t="str">
        <x:v>NCT-0113</x:v>
      </x:c>
      <x:c r="B114" s="28" t="str">
        <x:v>грецкий орех</x:v>
      </x:c>
      <x:c r="C114" s="28" t="str">
        <x:v>Универсальные</x:v>
      </x:c>
      <x:c r="D114" s="28" t="str">
        <x:v>грецкий орех</x:v>
      </x:c>
      <x:c r="E114" s="28" t="str">
        <x:v>Грецкий орех | грецкий орех</x:v>
      </x:c>
      <x:c r="F114" s="28" t="str">
        <x:v>Орехи и семена</x:v>
      </x:c>
      <x:c r="G114" s="28" t="str">
        <x:v>твердый сыр</x:v>
      </x:c>
      <x:c r="H114" s="28" t="str">
        <x:v>Твердый сыр | твердый сыр</x:v>
      </x:c>
      <x:c r="I114" s="28" t="str">
        <x:v>Молочные продукты и сыры</x:v>
      </x:c>
      <x:c r="J114" s="28" t="str">
        <x:v>ореховый, древесный, землистый, слегка горький и маслянистый</x:v>
      </x:c>
      <x:c r="K114" s="28" t="str">
        <x:v>молочный, умами, ферментированный</x:v>
      </x:c>
      <x:c r="L114" s="28" t="str">
        <x:v>гексаналь, пентаналь, пиразины, лактоны</x:v>
      </x:c>
      <x:c r="M114" s="28" t="str">
        <x:v>диацетил, жирные кислоты</x:v>
      </x:c>
      <x:c r="N114" s="28" t="str">
        <x:v>прямое пересечение семейств не является единственным объяснением</x:v>
      </x:c>
      <x:c r="O114" s="28" t="str">
        <x:v>надежная общая ключевая молекула не подтверждена</x:v>
      </x:c>
      <x:c r="P114" s="28" t="str">
        <x:v>жировая экстракция и связывание полифенолов белком</x:v>
      </x:c>
      <x:c r="Q11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14" s="28" t="str">
        <x:v>минимальный</x:v>
      </x:c>
      <x:c r="S114" s="28" t="str">
        <x:v>богатая полиненасыщенными жирами матрица, особенно склонная к окислению Совпадающие жирные фазы облегчают перенос аромата, но могут сделать продукт тяжёлым.</x:v>
      </x:c>
      <x:c r="T11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14" s="28" t="str">
        <x:v>Грецкий орех имеет профиль «ореховый, древесный, землистый, слегка горький и маслянистый». Партнёр «твердый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14" s="28" t="str">
        <x:v>аллерген; быстро окисляется; горькая кожица способна доминировать; жир способен приглушить тонкую ароматику; белок связывает полифенолы</x:v>
      </x:c>
      <x:c r="W114" s="28" t="str">
        <x:v>мёд, карамель или фруктовая кислота</x:v>
      </x:c>
      <x:c r="X114" s="28" t="str">
        <x:v>пралине, паста, выпечка, гарнир, соус, молочный или коктейльный компонент с твердый сыр</x:v>
      </x:c>
      <x:c r="Y114" s="28" t="str">
        <x:v>десерты</x:v>
      </x:c>
      <x:c r="Z114" s="28" t="str">
        <x:v>Средняя</x:v>
      </x:c>
      <x:c r="AA114" s="28" t="str">
        <x:v>Тезариус вкусов (Ники Сегнит)(1).pdf</x:v>
      </x:c>
      <x:c r="AB114" s="28" t="str">
        <x:v>Тезариус вкусов (Ники Сегнит)(1).pdf: 170, 629</x:v>
      </x:c>
      <x:c r="AC114" s="28" t="str">
        <x:v>Пара встречается как thesaurus; научное объяснение сформировано по ароматическому профилю и пищевой матрице.</x:v>
      </x:c>
      <x:c r="AD114" s="28" t="n">
        <x:v>1</x:v>
      </x:c>
      <x:c r="AE114" s="28" t="n">
        <x:v>2</x:v>
      </x:c>
      <x:c r="AF114" s="28" t="n">
        <x:f>IF(Z114="Высокая",3,IF(Z114="Средняя",2,1))+AD114*2+MIN(AE114,3)</x:f>
        <x:v>6</x:v>
      </x:c>
    </x:row>
    <x:row r="115" ht="62" customHeight="1">
      <x:c r="A115" s="28" t="str">
        <x:v>NCT-0114</x:v>
      </x:c>
      <x:c r="B115" s="28" t="str">
        <x:v>грецкий орех</x:v>
      </x:c>
      <x:c r="C115" s="28" t="str">
        <x:v>Универсальные</x:v>
      </x:c>
      <x:c r="D115" s="28" t="str">
        <x:v>грецкий орех</x:v>
      </x:c>
      <x:c r="E115" s="28" t="str">
        <x:v>грецкий орех</x:v>
      </x:c>
      <x:c r="F115" s="28" t="str">
        <x:v>Орехи и семена</x:v>
      </x:c>
      <x:c r="G115" s="28" t="str">
        <x:v>финик</x:v>
      </x:c>
      <x:c r="H115" s="28" t="str">
        <x:v>Финик</x:v>
      </x:c>
      <x:c r="I115" s="28" t="str">
        <x:v>Прочее</x:v>
      </x:c>
      <x:c r="J115" s="28" t="str">
        <x:v>ореховый, древесный, землистый, слегка горький и маслянистый</x:v>
      </x:c>
      <x:c r="K115" s="28" t="str">
        <x:v>профиль зависит от конкретного продукта</x:v>
      </x:c>
      <x:c r="L115" s="28" t="str">
        <x:v>гексаналь, пентаналь, пиразины, лактоны</x:v>
      </x:c>
      <x:c r="M115" s="28" t="str">
        <x:v>характерный профиль зависит от конкретного продукта</x:v>
      </x:c>
      <x:c r="N115" s="28" t="str">
        <x:v>прямое пересечение семейств не является единственным объяснением</x:v>
      </x:c>
      <x:c r="O115" s="28" t="str">
        <x:v>надежная общая ключевая молекула не подтверждена</x:v>
      </x:c>
      <x:c r="P115" s="28" t="str">
        <x:v>сенсорная комплементарность</x:v>
      </x:c>
      <x:c r="Q11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15" s="28" t="str">
        <x:v>минимальный</x:v>
      </x:c>
      <x:c r="S115" s="28" t="str">
        <x:v>богатая полиненасыщенными жирами матрица, особенно склонная к окислению</x:v>
      </x:c>
      <x:c r="T115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15" s="28" t="str">
        <x:v>Грецкий орех имеет профиль «ореховый, древесный, землистый, слегка горький и маслянистый». Партнёр «финик»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15" s="28" t="str">
        <x:v>аллерген; быстро окисляется; горькая кожица способна доминировать</x:v>
      </x:c>
      <x:c r="W115" s="28" t="str">
        <x:v>соль, ваниль или карамель</x:v>
      </x:c>
      <x:c r="X115" s="28" t="str">
        <x:v>пралине, паста, выпечка, гарнир, соус, молочный или коктейльный компонент с финик</x:v>
      </x:c>
      <x:c r="Y115" s="28" t="str">
        <x:v>десерты</x:v>
      </x:c>
      <x:c r="Z115" s="28" t="str">
        <x:v>Гипотеза / практическая</x:v>
      </x:c>
      <x:c r="AA115" s="28" t="str">
        <x:v>Таблица сочетания(1).pdf</x:v>
      </x:c>
      <x:c r="AB115" s="28" t="str">
        <x:v>Таблица сочетания(1).pdf: 7</x:v>
      </x:c>
      <x:c r="AC115" s="28" t="str">
        <x:v>Пара встречается как table; научное объяснение сформировано по ароматическому профилю и пищевой матрице.</x:v>
      </x:c>
      <x:c r="AD115" s="28" t="n">
        <x:v>1</x:v>
      </x:c>
      <x:c r="AE115" s="28" t="n">
        <x:v>1</x:v>
      </x:c>
      <x:c r="AF115" s="28" t="n">
        <x:f>IF(Z115="Высокая",3,IF(Z115="Средняя",2,1))+AD115*2+MIN(AE115,3)</x:f>
        <x:v>4</x:v>
      </x:c>
    </x:row>
    <x:row r="116" ht="62" customHeight="1">
      <x:c r="A116" s="28" t="str">
        <x:v>NCT-0115</x:v>
      </x:c>
      <x:c r="B116" s="28" t="str">
        <x:v>грецкий орех</x:v>
      </x:c>
      <x:c r="C116" s="28" t="str">
        <x:v>Еда и соусы</x:v>
      </x:c>
      <x:c r="D116" s="28" t="str">
        <x:v>грецкий орех</x:v>
      </x:c>
      <x:c r="E116" s="28" t="str">
        <x:v>Грецкий орех | грецкий орех</x:v>
      </x:c>
      <x:c r="F116" s="28" t="str">
        <x:v>Орехи и семена</x:v>
      </x:c>
      <x:c r="G116" s="28" t="str">
        <x:v>цветная капуста</x:v>
      </x:c>
      <x:c r="H116" s="28" t="str">
        <x:v>Цветная капуста | цветная капуста</x:v>
      </x:c>
      <x:c r="I116" s="28" t="str">
        <x:v>Овощи, бобовые и грибы</x:v>
      </x:c>
      <x:c r="J116" s="28" t="str">
        <x:v>ореховый, древесный, землистый, слегка горький и маслянистый</x:v>
      </x:c>
      <x:c r="K116" s="28" t="str">
        <x:v>зелёный, землистый или умами</x:v>
      </x:c>
      <x:c r="L116" s="28" t="str">
        <x:v>гексаналь, пентаналь, пиразины, лактоны</x:v>
      </x:c>
      <x:c r="M116" s="28" t="str">
        <x:v>альдегиды, сернистые соединения</x:v>
      </x:c>
      <x:c r="N116" s="28" t="str">
        <x:v>землистый</x:v>
      </x:c>
      <x:c r="O116" s="28" t="str">
        <x:v>надежная общая ключевая молекула не подтверждена</x:v>
      </x:c>
      <x:c r="P116" s="28" t="str">
        <x:v>пересечение ароматических семейств</x:v>
      </x:c>
      <x:c r="Q11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16" s="28" t="str">
        <x:v>минимальный</x:v>
      </x:c>
      <x:c r="S116" s="28" t="str">
        <x:v>богатая полиненасыщенными жирами матрица, особенно склонная к окислению</x:v>
      </x:c>
      <x:c r="T116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16" s="28" t="str">
        <x:v>Грецкий орех имеет профиль «ореховый, древесный, землистый, слегка горький и маслянистый». Партнёр «цветная капуста»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V116" s="28" t="str">
        <x:v>аллерген; быстро окисляется; горькая кожица способна доминировать</x:v>
      </x:c>
      <x:c r="W116" s="28" t="str">
        <x:v>соль, ваниль или карамель</x:v>
      </x:c>
      <x:c r="X116" s="28" t="str">
        <x:v>пралине, паста, выпечка, гарнир, соус, молочный или коктейльный компонент с цветная капуста</x:v>
      </x:c>
      <x:c r="Y116" s="28" t="str">
        <x:v>еда, десерты, соусы/маринады</x:v>
      </x:c>
      <x:c r="Z116" s="28" t="str">
        <x:v>Средняя</x:v>
      </x:c>
      <x:c r="AA116" s="28" t="str">
        <x:v>Тезариус вкусов (Ники Сегнит)(1).pdf</x:v>
      </x:c>
      <x:c r="AB116" s="28" t="str">
        <x:v>Тезариус вкусов (Ники Сегнит)(1).pdf: 321, 629</x:v>
      </x:c>
      <x:c r="AC116" s="28" t="str">
        <x:v>Пара встречается как thesaurus; научное объяснение сформировано по ароматическому профилю и пищевой матрице.</x:v>
      </x:c>
      <x:c r="AD116" s="28" t="n">
        <x:v>1</x:v>
      </x:c>
      <x:c r="AE116" s="28" t="n">
        <x:v>2</x:v>
      </x:c>
      <x:c r="AF116" s="28" t="n">
        <x:f>IF(Z116="Высокая",3,IF(Z116="Средняя",2,1))+AD116*2+MIN(AE116,3)</x:f>
        <x:v>6</x:v>
      </x:c>
    </x:row>
    <x:row r="117" ht="62" customHeight="1">
      <x:c r="A117" s="28" t="str">
        <x:v>NCT-0116</x:v>
      </x:c>
      <x:c r="B117" s="28" t="str">
        <x:v>грецкий орех</x:v>
      </x:c>
      <x:c r="C117" s="28" t="str">
        <x:v>Универсальные</x:v>
      </x:c>
      <x:c r="D117" s="28" t="str">
        <x:v>грецкий орех</x:v>
      </x:c>
      <x:c r="E117" s="28" t="str">
        <x:v>Грецкий орех | грецкий орех</x:v>
      </x:c>
      <x:c r="F117" s="28" t="str">
        <x:v>Орехи и семена</x:v>
      </x:c>
      <x:c r="G117" s="28" t="str">
        <x:v>цыпленок</x:v>
      </x:c>
      <x:c r="H117" s="28" t="str">
        <x:v>Цыпленок | цыпленок</x:v>
      </x:c>
      <x:c r="I117" s="28" t="str">
        <x:v>Прочее</x:v>
      </x:c>
      <x:c r="J117" s="28" t="str">
        <x:v>ореховый, древесный, землистый, слегка горький и маслянистый</x:v>
      </x:c>
      <x:c r="K117" s="28" t="str">
        <x:v>профиль зависит от конкретного продукта</x:v>
      </x:c>
      <x:c r="L117" s="28" t="str">
        <x:v>гексаналь, пентаналь, пиразины, лактоны</x:v>
      </x:c>
      <x:c r="M117" s="28" t="str">
        <x:v>характерный профиль зависит от конкретного продукта</x:v>
      </x:c>
      <x:c r="N117" s="28" t="str">
        <x:v>прямое пересечение семейств не является единственным объяснением</x:v>
      </x:c>
      <x:c r="O117" s="28" t="str">
        <x:v>надежная общая ключевая молекула не подтверждена</x:v>
      </x:c>
      <x:c r="P117" s="28" t="str">
        <x:v>сенсорная комплементарность</x:v>
      </x:c>
      <x:c r="Q11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17" s="28" t="str">
        <x:v>минимальный</x:v>
      </x:c>
      <x:c r="S117" s="28" t="str">
        <x:v>богатая полиненасыщенными жирами матрица, особенно склонная к окислению</x:v>
      </x:c>
      <x:c r="T117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17" s="28" t="str">
        <x:v>Грецкий орех имеет профиль «ореховый, древесный, землистый, слегка горький и маслянистый». Партнёр «цыпленок»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17" s="28" t="str">
        <x:v>аллерген; быстро окисляется; горькая кожица способна доминировать</x:v>
      </x:c>
      <x:c r="W117" s="28" t="str">
        <x:v>соль, ваниль или карамель</x:v>
      </x:c>
      <x:c r="X117" s="28" t="str">
        <x:v>пралине, паста, выпечка, гарнир, соус, молочный или коктейльный компонент с цыпленок</x:v>
      </x:c>
      <x:c r="Y117" s="28" t="str">
        <x:v>десерты</x:v>
      </x:c>
      <x:c r="Z117" s="28" t="str">
        <x:v>Средняя</x:v>
      </x:c>
      <x:c r="AA117" s="28" t="str">
        <x:v>Тезариус вкусов (Ники Сегнит)(1).pdf</x:v>
      </x:c>
      <x:c r="AB117" s="28" t="str">
        <x:v>Тезариус вкусов (Ники Сегнит)(1).pdf: 64, 630</x:v>
      </x:c>
      <x:c r="AC117" s="28" t="str">
        <x:v>Пара встречается как thesaurus; научное объяснение сформировано по ароматическому профилю и пищевой матрице.</x:v>
      </x:c>
      <x:c r="AD117" s="28" t="n">
        <x:v>1</x:v>
      </x:c>
      <x:c r="AE117" s="28" t="n">
        <x:v>2</x:v>
      </x:c>
      <x:c r="AF117" s="28" t="n">
        <x:f>IF(Z117="Высокая",3,IF(Z117="Средняя",2,1))+AD117*2+MIN(AE117,3)</x:f>
        <x:v>6</x:v>
      </x:c>
    </x:row>
    <x:row r="118" ht="62" customHeight="1">
      <x:c r="A118" s="28" t="str">
        <x:v>NCT-0117</x:v>
      </x:c>
      <x:c r="B118" s="28" t="str">
        <x:v>грецкий орех</x:v>
      </x:c>
      <x:c r="C118" s="28" t="str">
        <x:v>Десерты и выпечка</x:v>
      </x:c>
      <x:c r="D118" s="28" t="str">
        <x:v>грецкий орех</x:v>
      </x:c>
      <x:c r="E118" s="28" t="str">
        <x:v>грецкий орех</x:v>
      </x:c>
      <x:c r="F118" s="28" t="str">
        <x:v>Орехи и семена</x:v>
      </x:c>
      <x:c r="G118" s="28" t="str">
        <x:v>чернослив</x:v>
      </x:c>
      <x:c r="H118" s="28" t="str">
        <x:v>Чернослив</x:v>
      </x:c>
      <x:c r="I118" s="28" t="str">
        <x:v>Фрукты и ягоды</x:v>
      </x:c>
      <x:c r="J118" s="28" t="str">
        <x:v>ореховый, древесный, землистый, слегка горький и маслянистый</x:v>
      </x:c>
      <x:c r="K118" s="28" t="str">
        <x:v>фруктовый, цветочный и свежий</x:v>
      </x:c>
      <x:c r="L118" s="28" t="str">
        <x:v>гексаналь, пентаналь, пиразины, лактоны</x:v>
      </x:c>
      <x:c r="M118" s="28" t="str">
        <x:v>альдегиды, эфиры</x:v>
      </x:c>
      <x:c r="N118" s="28" t="str">
        <x:v>прямое пересечение семейств не является единственным объяснением</x:v>
      </x:c>
      <x:c r="O118" s="28" t="str">
        <x:v>надежная общая ключевая молекула не подтверждена</x:v>
      </x:c>
      <x:c r="P118" s="28" t="str">
        <x:v>контраст кислоты и жирной/горькой матрицы</x:v>
      </x:c>
      <x:c r="Q11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18" s="28" t="str">
        <x:v>минимальный</x:v>
      </x:c>
      <x:c r="S118" s="28" t="str">
        <x:v>богатая полиненасыщенными жирами матрица, особенно склонная к окислению Водная фруктовая фаза требует эмульсии или мелкого измельчения, если орех или шоколад вводится как паста.</x:v>
      </x:c>
      <x:c r="T118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18" s="28" t="str">
        <x:v>Грецкий орех имеет профиль «ореховый, древесный, землистый, слегка горький и маслянистый». Партнёр «чернослив»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18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W118" s="28" t="str">
        <x:v>ваниль, цитрус или молочный жир</x:v>
      </x:c>
      <x:c r="X118" s="28" t="str">
        <x:v>пралине, паста, выпечка, гарнир, соус, молочный или коктейльный компонент с чернослив</x:v>
      </x:c>
      <x:c r="Y118" s="28" t="str">
        <x:v>десерты</x:v>
      </x:c>
      <x:c r="Z118" s="28" t="str">
        <x:v>Гипотеза / практическая</x:v>
      </x:c>
      <x:c r="AA118" s="28" t="str">
        <x:v>Таблица сочетания(1).pdf</x:v>
      </x:c>
      <x:c r="AB118" s="28" t="str">
        <x:v>Таблица сочетания(1).pdf: 18</x:v>
      </x:c>
      <x:c r="AC118" s="28" t="str">
        <x:v>Пара встречается как table; научное объяснение сформировано по ароматическому профилю и пищевой матрице.</x:v>
      </x:c>
      <x:c r="AD118" s="28" t="n">
        <x:v>1</x:v>
      </x:c>
      <x:c r="AE118" s="28" t="n">
        <x:v>1</x:v>
      </x:c>
      <x:c r="AF118" s="28" t="n">
        <x:f>IF(Z118="Высокая",3,IF(Z118="Средняя",2,1))+AD118*2+MIN(AE118,3)</x:f>
        <x:v>4</x:v>
      </x:c>
    </x:row>
    <x:row r="119" ht="62" customHeight="1">
      <x:c r="A119" s="28" t="str">
        <x:v>NCT-0118</x:v>
      </x:c>
      <x:c r="B119" s="28" t="str">
        <x:v>грецкий орех</x:v>
      </x:c>
      <x:c r="C119" s="28" t="str">
        <x:v>Еда и соусы</x:v>
      </x:c>
      <x:c r="D119" s="28" t="str">
        <x:v>грецкий орех</x:v>
      </x:c>
      <x:c r="E119" s="28" t="str">
        <x:v>Грецкий орех | грецкий орех</x:v>
      </x:c>
      <x:c r="F119" s="28" t="str">
        <x:v>Орехи и семена</x:v>
      </x:c>
      <x:c r="G119" s="28" t="str">
        <x:v>чеснок</x:v>
      </x:c>
      <x:c r="H119" s="28" t="str">
        <x:v>Чеснок | чеснок</x:v>
      </x:c>
      <x:c r="I119" s="28" t="str">
        <x:v>Овощи, бобовые и грибы</x:v>
      </x:c>
      <x:c r="J119" s="28" t="str">
        <x:v>ореховый, древесный, землистый, слегка горький и маслянистый</x:v>
      </x:c>
      <x:c r="K119" s="28" t="str">
        <x:v>зелёный, землистый или умами</x:v>
      </x:c>
      <x:c r="L119" s="28" t="str">
        <x:v>гексаналь, пентаналь, пиразины, лактоны</x:v>
      </x:c>
      <x:c r="M119" s="28" t="str">
        <x:v>альдегиды, сернистые соединения</x:v>
      </x:c>
      <x:c r="N119" s="28" t="str">
        <x:v>землистый</x:v>
      </x:c>
      <x:c r="O119" s="28" t="str">
        <x:v>надежная общая ключевая молекула не подтверждена</x:v>
      </x:c>
      <x:c r="P119" s="28" t="str">
        <x:v>пересечение ароматических семейств</x:v>
      </x:c>
      <x:c r="Q11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19" s="28" t="str">
        <x:v>минимальный</x:v>
      </x:c>
      <x:c r="S119" s="28" t="str">
        <x:v>богатая полиненасыщенными жирами матрица, особенно склонная к окислению</x:v>
      </x:c>
      <x:c r="T119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19" s="28" t="str">
        <x:v>Грецкий орех имеет профиль «ореховый, древесный, землистый, слегка горький и маслянистый». Партнёр «чеснок»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V119" s="28" t="str">
        <x:v>аллерген; быстро окисляется; горькая кожица способна доминировать</x:v>
      </x:c>
      <x:c r="W119" s="28" t="str">
        <x:v>соль, ваниль или карамель</x:v>
      </x:c>
      <x:c r="X119" s="28" t="str">
        <x:v>пралине, паста, выпечка, гарнир, соус, молочный или коктейльный компонент с чеснок</x:v>
      </x:c>
      <x:c r="Y119" s="28" t="str">
        <x:v>еда, десерты, соусы/маринады</x:v>
      </x:c>
      <x:c r="Z119" s="28" t="str">
        <x:v>Средняя</x:v>
      </x:c>
      <x:c r="AA119" s="28" t="str">
        <x:v>Тезариус вкусов (Ники Сегнит)(1).pdf</x:v>
      </x:c>
      <x:c r="AB119" s="28" t="str">
        <x:v>Тезариус вкусов (Ники Сегнит)(1).pdf: 293, 630</x:v>
      </x:c>
      <x:c r="AC119" s="28" t="str">
        <x:v>Пара встречается как thesaurus; научное объяснение сформировано по ароматическому профилю и пищевой матрице.</x:v>
      </x:c>
      <x:c r="AD119" s="28" t="n">
        <x:v>1</x:v>
      </x:c>
      <x:c r="AE119" s="28" t="n">
        <x:v>2</x:v>
      </x:c>
      <x:c r="AF119" s="28" t="n">
        <x:f>IF(Z119="Высокая",3,IF(Z119="Средняя",2,1))+AD119*2+MIN(AE119,3)</x:f>
        <x:v>6</x:v>
      </x:c>
    </x:row>
    <x:row r="120" ht="62" customHeight="1">
      <x:c r="A120" s="28" t="str">
        <x:v>NCT-0119</x:v>
      </x:c>
      <x:c r="B120" s="28" t="str">
        <x:v>грецкий орех</x:v>
      </x:c>
      <x:c r="C120" s="28" t="str">
        <x:v>Универсальные</x:v>
      </x:c>
      <x:c r="D120" s="28" t="str">
        <x:v>грецкий орех</x:v>
      </x:c>
      <x:c r="E120" s="28" t="str">
        <x:v>Грецкий орех | грецкий орех</x:v>
      </x:c>
      <x:c r="F120" s="28" t="str">
        <x:v>Орехи и семена</x:v>
      </x:c>
      <x:c r="G120" s="28" t="str">
        <x:v>чили</x:v>
      </x:c>
      <x:c r="H120" s="28" t="str">
        <x:v>Чили | чили</x:v>
      </x:c>
      <x:c r="I120" s="28" t="str">
        <x:v>Специи</x:v>
      </x:c>
      <x:c r="J120" s="28" t="str">
        <x:v>ореховый, древесный, землистый, слегка горький и маслянистый</x:v>
      </x:c>
      <x:c r="K120" s="28" t="str">
        <x:v>пряный и древесный</x:v>
      </x:c>
      <x:c r="L120" s="28" t="str">
        <x:v>гексаналь, пентаналь, пиразины, лактоны</x:v>
      </x:c>
      <x:c r="M120" s="28" t="str">
        <x:v>терпены, фенилпропаноиды</x:v>
      </x:c>
      <x:c r="N120" s="28" t="str">
        <x:v>древесный</x:v>
      </x:c>
      <x:c r="O120" s="28" t="str">
        <x:v>надежная общая ключевая молекула не подтверждена</x:v>
      </x:c>
      <x:c r="P120" s="28" t="str">
        <x:v>пересечение ароматических семейств</x:v>
      </x:c>
      <x:c r="Q12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20" s="28" t="str">
        <x:v>минимальный; у острого партнёра тройничный эффект может доминировать</x:v>
      </x:c>
      <x:c r="S120" s="28" t="str">
        <x:v>богатая полиненасыщенными жирами матрица, особенно склонная к окислению</x:v>
      </x:c>
      <x:c r="T120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20" s="28" t="str">
        <x:v>Грецкий орех имеет профиль «ореховый, древесный, землистый, слегка горький и маслянистый». Партнёр «чили» относится к группе «Специи» и даёт пряный и древесный. Профили пересекаются в семействах: древесный Ореховый жир служит носителем ароматов и создаёт текстурный контраст, но окисление быстро превращает профиль в прогорклый. Итог: древесный; механизм не следует сводить к одной общей молекуле.</x:v>
      </x:c>
      <x:c r="V120" s="28" t="str">
        <x:v>аллерген; быстро окисляется; горькая кожица способна доминировать</x:v>
      </x:c>
      <x:c r="W120" s="28" t="str">
        <x:v>ваниль, апельсин или мёд</x:v>
      </x:c>
      <x:c r="X120" s="28" t="str">
        <x:v>пралине, паста, выпечка, гарнир, соус, молочный или коктейльный компонент с чили</x:v>
      </x:c>
      <x:c r="Y120" s="28" t="str">
        <x:v>десерты</x:v>
      </x:c>
      <x:c r="Z120" s="28" t="str">
        <x:v>Средняя</x:v>
      </x:c>
      <x:c r="AA120" s="28" t="str">
        <x:v>Тезариус вкусов (Ники Сегнит)(1).pdf</x:v>
      </x:c>
      <x:c r="AB120" s="28" t="str">
        <x:v>Тезариус вкусов (Ники Сегнит)(1).pdf: 554, 631</x:v>
      </x:c>
      <x:c r="AC120" s="28" t="str">
        <x:v>Пара встречается как thesaurus; научное объяснение сформировано по ароматическому профилю и пищевой матрице.</x:v>
      </x:c>
      <x:c r="AD120" s="28" t="n">
        <x:v>1</x:v>
      </x:c>
      <x:c r="AE120" s="28" t="n">
        <x:v>2</x:v>
      </x:c>
      <x:c r="AF120" s="28" t="n">
        <x:f>IF(Z120="Высокая",3,IF(Z120="Средняя",2,1))+AD120*2+MIN(AE120,3)</x:f>
        <x:v>6</x:v>
      </x:c>
    </x:row>
    <x:row r="121" ht="62" customHeight="1">
      <x:c r="A121" s="28" t="str">
        <x:v>NCT-0120</x:v>
      </x:c>
      <x:c r="B121" s="28" t="str">
        <x:v>грецкий орех</x:v>
      </x:c>
      <x:c r="C121" s="28" t="str">
        <x:v>Универсальные</x:v>
      </x:c>
      <x:c r="D121" s="28" t="str">
        <x:v>грецкий орех</x:v>
      </x:c>
      <x:c r="E121" s="28" t="str">
        <x:v>walnut</x:v>
      </x:c>
      <x:c r="F121" s="28" t="str">
        <x:v>Орехи и семена</x:v>
      </x:c>
      <x:c r="G121" s="28" t="str">
        <x:v>чоризо</x:v>
      </x:c>
      <x:c r="H121" s="28" t="str">
        <x:v>chorizo</x:v>
      </x:c>
      <x:c r="I121" s="28" t="str">
        <x:v>Прочее</x:v>
      </x:c>
      <x:c r="J121" s="28" t="str">
        <x:v>ореховый, древесный, землистый, слегка горький и маслянистый</x:v>
      </x:c>
      <x:c r="K121" s="28" t="str">
        <x:v>профиль зависит от конкретного продукта</x:v>
      </x:c>
      <x:c r="L121" s="28" t="str">
        <x:v>гексаналь, пентаналь, пиразины, лактоны</x:v>
      </x:c>
      <x:c r="M121" s="28" t="str">
        <x:v>характерный профиль зависит от конкретного продукта</x:v>
      </x:c>
      <x:c r="N121" s="28" t="str">
        <x:v>прямое пересечение семейств не является единственным объяснением</x:v>
      </x:c>
      <x:c r="O121" s="28" t="str">
        <x:v>надежная общая ключевая молекула не подтверждена</x:v>
      </x:c>
      <x:c r="P121" s="28" t="str">
        <x:v>сенсорная комплементарность</x:v>
      </x:c>
      <x:c r="Q12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21" s="28" t="str">
        <x:v>минимальный</x:v>
      </x:c>
      <x:c r="S121" s="28" t="str">
        <x:v>богатая полиненасыщенными жирами матрица, особенно склонная к окислению</x:v>
      </x:c>
      <x:c r="T121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21" s="28" t="str">
        <x:v>Грецкий орех имеет профиль «ореховый, древесный, землистый, слегка горький и маслянистый». Партнёр «чоризо»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21" s="28" t="str">
        <x:v>аллерген; быстро окисляется; горькая кожица способна доминировать</x:v>
      </x:c>
      <x:c r="W121" s="28" t="str">
        <x:v>соль, ваниль или карамель</x:v>
      </x:c>
      <x:c r="X121" s="28" t="str">
        <x:v>пралине, паста, выпечка, гарнир, соус, молочный или коктейльный компонент с чоризо</x:v>
      </x:c>
      <x:c r="Y121" s="28" t="str">
        <x:v>десерты</x:v>
      </x:c>
      <x:c r="Z121" s="28" t="str">
        <x:v>Средняя</x:v>
      </x:c>
      <x:c r="AA121" s="28" t="str">
        <x:v>The Art &amp; Science of Foodpairing.pdf</x:v>
      </x:c>
      <x:c r="AB121" s="28" t="str">
        <x:v>The Art &amp; Science of Foodpairing.pdf: 288</x:v>
      </x:c>
      <x:c r="AC121" s="28" t="str">
        <x:v>Пара встречается как grid; научное объяснение сформировано по ароматическому профилю и пищевой матрице.</x:v>
      </x:c>
      <x:c r="AD121" s="28" t="n">
        <x:v>1</x:v>
      </x:c>
      <x:c r="AE121" s="28" t="n">
        <x:v>1</x:v>
      </x:c>
      <x:c r="AF121" s="28" t="n">
        <x:f>IF(Z121="Высокая",3,IF(Z121="Средняя",2,1))+AD121*2+MIN(AE121,3)</x:f>
        <x:v>5</x:v>
      </x:c>
    </x:row>
    <x:row r="122" ht="62" customHeight="1">
      <x:c r="A122" s="28" t="str">
        <x:v>NCT-0121</x:v>
      </x:c>
      <x:c r="B122" s="28" t="str">
        <x:v>грецкий орех</x:v>
      </x:c>
      <x:c r="C122" s="28" t="str">
        <x:v>Десерты и выпечка</x:v>
      </x:c>
      <x:c r="D122" s="28" t="str">
        <x:v>грецкий орех</x:v>
      </x:c>
      <x:c r="E122" s="28" t="str">
        <x:v>Грецкий орех | грецкий орех</x:v>
      </x:c>
      <x:c r="F122" s="28" t="str">
        <x:v>Орехи и семена</x:v>
      </x:c>
      <x:c r="G122" s="28" t="str">
        <x:v>шоколад</x:v>
      </x:c>
      <x:c r="H122" s="28" t="str">
        <x:v>Шоколад | тёмный шоколад | шоколад</x:v>
      </x:c>
      <x:c r="I122" s="28" t="str">
        <x:v>Какао и шоколад</x:v>
      </x:c>
      <x:c r="J122" s="28" t="str">
        <x:v>ореховый, древесный, землистый, слегка горький и маслянистый</x:v>
      </x:c>
      <x:c r="K122" s="28" t="str">
        <x:v>жареный, какаовый, фруктовый, цветочный, древесный и пряный; профиль зависит от происхождения и обжарки</x:v>
      </x:c>
      <x:c r="L122" s="28" t="str">
        <x:v>гексаналь, пентаналь, пиразины, лактоны</x:v>
      </x:c>
      <x:c r="M122" s="28" t="str">
        <x:v>альдегиды, пиразины, теобромин, фураны, эфиры</x:v>
      </x:c>
      <x:c r="N122" s="28" t="str">
        <x:v>древесный</x:v>
      </x:c>
      <x:c r="O122" s="28" t="str">
        <x:v>пиразины</x:v>
      </x:c>
      <x:c r="P122" s="28" t="str">
        <x:v>общие ароматические соединения, пересечение ароматических семейств, жареная химия и реакции Майяра</x:v>
      </x:c>
      <x:c r="Q12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22" s="28" t="str">
        <x:v>минимальный</x:v>
      </x:c>
      <x:c r="S122" s="28" t="str">
        <x:v>богатая полиненасыщенными жирами матрица, особенно склонная к окислению</x:v>
      </x:c>
      <x:c r="T122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22" s="28" t="str">
        <x:v>Грецкий орех имеет профиль «ореховый, древесный, землистый, слегка горький и маслянистый».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древесный; пиразины.</x:v>
      </x:c>
      <x:c r="V122" s="28" t="str">
        <x:v>аллерген; быстро окисляется; горькая кожица способна доминировать</x:v>
      </x:c>
      <x:c r="W122" s="28" t="str">
        <x:v>соль, ваниль или карамель</x:v>
      </x:c>
      <x:c r="X122" s="28" t="str">
        <x:v>пралине, паста, выпечка, гарнир, соус, молочный или коктейльный компонент с шоколад</x:v>
      </x:c>
      <x:c r="Y122" s="28" t="str">
        <x:v>десерты</x:v>
      </x:c>
      <x:c r="Z122" s="28" t="str">
        <x:v>Высокая</x:v>
      </x:c>
      <x:c r="AA122" s="28" t="str">
        <x:v>Таблица сочетания(1).pdf | Тезариус вкусов (Ники Сегнит)(1).pdf</x:v>
      </x:c>
      <x:c r="AB122" s="28" t="str">
        <x:v>Таблица сочетания(1).pdf: 21; Тезариус вкусов (Ники Сегнит)(1).pdf: 28, 631</x:v>
      </x:c>
      <x:c r="AC122" s="28" t="str">
        <x:v>Пара встречается как table, thesaurus; научное объяснение сформировано по ароматическому профилю и пищевой матрице.</x:v>
      </x:c>
      <x:c r="AD122" s="28" t="n">
        <x:v>2</x:v>
      </x:c>
      <x:c r="AE122" s="28" t="n">
        <x:v>3</x:v>
      </x:c>
      <x:c r="AF122" s="28" t="n">
        <x:f>IF(Z122="Высокая",3,IF(Z122="Средняя",2,1))+AD122*2+MIN(AE122,3)</x:f>
        <x:v>10</x:v>
      </x:c>
    </x:row>
    <x:row r="123" ht="62" customHeight="1">
      <x:c r="A123" s="28" t="str">
        <x:v>NCT-0122</x:v>
      </x:c>
      <x:c r="B123" s="28" t="str">
        <x:v>грецкий орех</x:v>
      </x:c>
      <x:c r="C123" s="28" t="str">
        <x:v>Десерты и выпечка</x:v>
      </x:c>
      <x:c r="D123" s="28" t="str">
        <x:v>грецкий орех</x:v>
      </x:c>
      <x:c r="E123" s="28" t="str">
        <x:v>Грецкий орех | грецкий орех</x:v>
      </x:c>
      <x:c r="F123" s="28" t="str">
        <x:v>Орехи и семена</x:v>
      </x:c>
      <x:c r="G123" s="28" t="str">
        <x:v>яблоко</x:v>
      </x:c>
      <x:c r="H123" s="28" t="str">
        <x:v>Яблоко | яблоко</x:v>
      </x:c>
      <x:c r="I123" s="28" t="str">
        <x:v>Фрукты и ягоды</x:v>
      </x:c>
      <x:c r="J123" s="28" t="str">
        <x:v>ореховый, древесный, землистый, слегка горький и маслянистый</x:v>
      </x:c>
      <x:c r="K123" s="28" t="str">
        <x:v>фруктовый, цветочный и свежий</x:v>
      </x:c>
      <x:c r="L123" s="28" t="str">
        <x:v>гексаналь, пентаналь, пиразины, лактоны</x:v>
      </x:c>
      <x:c r="M123" s="28" t="str">
        <x:v>альдегиды, эфиры</x:v>
      </x:c>
      <x:c r="N123" s="28" t="str">
        <x:v>прямое пересечение семейств не является единственным объяснением</x:v>
      </x:c>
      <x:c r="O123" s="28" t="str">
        <x:v>надежная общая ключевая молекула не подтверждена</x:v>
      </x:c>
      <x:c r="P123" s="28" t="str">
        <x:v>контраст кислоты и жирной/горькой матрицы</x:v>
      </x:c>
      <x:c r="Q12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23" s="28" t="str">
        <x:v>минимальный</x:v>
      </x:c>
      <x:c r="S123" s="28" t="str">
        <x:v>богатая полиненасыщенными жирами матрица, особенно склонная к окислению Водная фруктовая фаза требует эмульсии или мелкого измельчения, если орех или шоколад вводится как паста.</x:v>
      </x:c>
      <x:c r="T123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23" s="28" t="str">
        <x:v>Грецкий орех имеет профиль «ореховый, древесный, землистый, слегка горький и маслянистый». Партнёр «яблоко»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23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W123" s="28" t="str">
        <x:v>ваниль, цитрус или молочный жир</x:v>
      </x:c>
      <x:c r="X123" s="28" t="str">
        <x:v>пралине, паста, выпечка, гарнир, соус, молочный или коктейльный компонент с яблоко</x:v>
      </x:c>
      <x:c r="Y123" s="28" t="str">
        <x:v>десерты</x:v>
      </x:c>
      <x:c r="Z123" s="28" t="str">
        <x:v>Высокая</x:v>
      </x:c>
      <x:c r="AA123" s="28" t="str">
        <x:v>Таблица сочетания(1).pdf | Тезариус вкусов (Ники Сегнит)(1).pdf</x:v>
      </x:c>
      <x:c r="AB123" s="28" t="str">
        <x:v>Таблица сочетания(1).pdf: 1, 21; Тезариус вкусов (Ники Сегнит)(1).pdf: 631, 711</x:v>
      </x:c>
      <x:c r="AC123" s="28" t="str">
        <x:v>Пара встречается как table, thesaurus; научное объяснение сформировано по ароматическому профилю и пищевой матрице.</x:v>
      </x:c>
      <x:c r="AD123" s="28" t="n">
        <x:v>2</x:v>
      </x:c>
      <x:c r="AE123" s="28" t="n">
        <x:v>5</x:v>
      </x:c>
      <x:c r="AF123" s="28" t="n">
        <x:f>IF(Z123="Высокая",3,IF(Z123="Средняя",2,1))+AD123*2+MIN(AE123,3)</x:f>
        <x:v>10</x:v>
      </x:c>
    </x:row>
    <x:row r="124" ht="62" customHeight="1">
      <x:c r="A124" s="28" t="str">
        <x:v>NCT-0123</x:v>
      </x:c>
      <x:c r="B124" s="28" t="str">
        <x:v>грецкий орех</x:v>
      </x:c>
      <x:c r="C124" s="28" t="str">
        <x:v>Десерты и выпечка</x:v>
      </x:c>
      <x:c r="D124" s="28" t="str">
        <x:v>грецкий орех</x:v>
      </x:c>
      <x:c r="E124" s="28" t="str">
        <x:v>грецкий орех</x:v>
      </x:c>
      <x:c r="F124" s="28" t="str">
        <x:v>Орехи и семена</x:v>
      </x:c>
      <x:c r="G124" s="28" t="str">
        <x:v>ягоды годжи</x:v>
      </x:c>
      <x:c r="H124" s="28" t="str">
        <x:v>Ягоды годжи</x:v>
      </x:c>
      <x:c r="I124" s="28" t="str">
        <x:v>Фрукты и ягоды</x:v>
      </x:c>
      <x:c r="J124" s="28" t="str">
        <x:v>ореховый, древесный, землистый, слегка горький и маслянистый</x:v>
      </x:c>
      <x:c r="K124" s="28" t="str">
        <x:v>фруктовый, цветочный и свежий</x:v>
      </x:c>
      <x:c r="L124" s="28" t="str">
        <x:v>гексаналь, пентаналь, пиразины, лактоны</x:v>
      </x:c>
      <x:c r="M124" s="28" t="str">
        <x:v>альдегиды, эфиры</x:v>
      </x:c>
      <x:c r="N124" s="28" t="str">
        <x:v>прямое пересечение семейств не является единственным объяснением</x:v>
      </x:c>
      <x:c r="O124" s="28" t="str">
        <x:v>надежная общая ключевая молекула не подтверждена</x:v>
      </x:c>
      <x:c r="P124" s="28" t="str">
        <x:v>контраст кислоты и жирной/горькой матрицы</x:v>
      </x:c>
      <x:c r="Q12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24" s="28" t="str">
        <x:v>минимальный</x:v>
      </x:c>
      <x:c r="S124" s="28" t="str">
        <x:v>богатая полиненасыщенными жирами матрица, особенно склонная к окислению Водная фруктовая фаза требует эмульсии или мелкого измельчения, если орех или шоколад вводится как паста.</x:v>
      </x:c>
      <x:c r="T12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U124" s="28" t="str">
        <x:v>Грецкий орех имеет профиль «ореховый, древесный, землистый, слегка горький и маслянистый». Партнёр «ягоды годжи»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24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W124" s="28" t="str">
        <x:v>ваниль, цитрус или молочный жир</x:v>
      </x:c>
      <x:c r="X124" s="28" t="str">
        <x:v>пралине, паста, выпечка, гарнир, соус, молочный или коктейльный компонент с ягоды годжи</x:v>
      </x:c>
      <x:c r="Y124" s="28" t="str">
        <x:v>десерты</x:v>
      </x:c>
      <x:c r="Z124" s="28" t="str">
        <x:v>Гипотеза / практическая</x:v>
      </x:c>
      <x:c r="AA124" s="28" t="str">
        <x:v>Таблица сочетания(1).pdf</x:v>
      </x:c>
      <x:c r="AB124" s="28" t="str">
        <x:v>Таблица сочетания(1).pdf: 8</x:v>
      </x:c>
      <x:c r="AC124" s="28" t="str">
        <x:v>Пара встречается как table; научное объяснение сформировано по ароматическому профилю и пищевой матрице.</x:v>
      </x:c>
      <x:c r="AD124" s="28" t="n">
        <x:v>1</x:v>
      </x:c>
      <x:c r="AE124" s="28" t="n">
        <x:v>1</x:v>
      </x:c>
      <x:c r="AF124" s="28" t="n">
        <x:f>IF(Z124="Высокая",3,IF(Z124="Средняя",2,1))+AD124*2+MIN(AE124,3)</x:f>
        <x:v>4</x:v>
      </x:c>
    </x:row>
    <x:row r="125" ht="62" customHeight="1">
      <x:c r="A125" s="28" t="str">
        <x:v>NCT-0124</x:v>
      </x:c>
      <x:c r="B125" s="28" t="str">
        <x:v>зелёный чай</x:v>
      </x:c>
      <x:c r="C125" s="28" t="str">
        <x:v>Десерты и выпечка</x:v>
      </x:c>
      <x:c r="D125" s="28" t="str">
        <x:v>зелёный чай</x:v>
      </x:c>
      <x:c r="E125" s="28" t="str">
        <x:v>green tea | sencha tea</x:v>
      </x:c>
      <x:c r="F125" s="28" t="str">
        <x:v>Чай</x:v>
      </x:c>
      <x:c r="G125" s="28" t="str">
        <x:v>apple and apple sauce</x:v>
      </x:c>
      <x:c r="H125" s="28" t="str">
        <x:v>apple and apple sauce</x:v>
      </x:c>
      <x:c r="I125" s="28" t="str">
        <x:v>Фрукты и ягоды</x:v>
      </x:c>
      <x:c r="J125" s="28" t="str">
        <x:v>зелёный, морской, травянистый, цветочный и слегка жареный; у матча — умами</x:v>
      </x:c>
      <x:c r="K125" s="28" t="str">
        <x:v>фруктовый, цветочный и свежий</x:v>
      </x:c>
      <x:c r="L125" s="28" t="str">
        <x:v>гексаналь, цис-3-гексенол, линалоол, индол, катехины</x:v>
      </x:c>
      <x:c r="M125" s="28" t="str">
        <x:v>альдегиды, эфиры</x:v>
      </x:c>
      <x:c r="N125" s="28" t="str">
        <x:v>цветочный</x:v>
      </x:c>
      <x:c r="O125" s="28" t="str">
        <x:v>надежная общая ключевая молекула не подтверждена</x:v>
      </x:c>
      <x:c r="P125" s="28" t="str">
        <x:v>пересечение ароматических семейств, контраст кислоты и жирной/горькой матрицы</x:v>
      </x:c>
      <x:c r="Q125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125" s="28" t="str">
        <x:v>сухость и лёгкая горечь</x:v>
      </x:c>
      <x:c r="S125" s="28" t="str">
        <x:v>водный настой или суспензия цельного порошка матча; полифенолы и аминокислоты Водная фруктовая фаза требует эмульсии или мелкого измельчения, если орех или шоколад вводится как паста.</x:v>
      </x:c>
      <x:c r="T125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125" s="28" t="str">
        <x:v>Зелёный чай имеет профиль «зелёный, морской, травянистый, цветочный и слегка жареный; у матча — умами». Партнёр «apple and apple sauce»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V125" s="28" t="str">
        <x:v>переэкстракция; матча легко становится меловой и горькой;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W125" s="28" t="str">
        <x:v>ваниль, цитрус или молочный жир</x:v>
      </x:c>
      <x:c r="X125" s="28" t="str">
        <x:v>чайный настой, холодный чай, кордиал, молочный пунш, десерт или соус с apple and apple sauce</x:v>
      </x:c>
      <x:c r="Y125" s="28" t="str">
        <x:v>напитки, десерты</x:v>
      </x:c>
      <x:c r="Z125" s="28" t="str">
        <x:v>Средняя</x:v>
      </x:c>
      <x:c r="AA125" s="28" t="str">
        <x:v>The Art &amp; Science of Foodpairing.pdf</x:v>
      </x:c>
      <x:c r="AB125" s="28" t="str">
        <x:v>The Art &amp; Science of Foodpairing.pdf: 47</x:v>
      </x:c>
      <x:c r="AC125" s="28" t="str">
        <x:v>Пара встречается как grid; научное объяснение сформировано по ароматическому профилю и пищевой матрице.</x:v>
      </x:c>
      <x:c r="AD125" s="28" t="n">
        <x:v>1</x:v>
      </x:c>
      <x:c r="AE125" s="28" t="n">
        <x:v>2</x:v>
      </x:c>
      <x:c r="AF125" s="28" t="n">
        <x:f>IF(Z125="Высокая",3,IF(Z125="Средняя",2,1))+AD125*2+MIN(AE125,3)</x:f>
        <x:v>6</x:v>
      </x:c>
    </x:row>
    <x:row r="126" ht="62" customHeight="1">
      <x:c r="A126" s="28" t="str">
        <x:v>NCT-0125</x:v>
      </x:c>
      <x:c r="B126" s="28" t="str">
        <x:v>зелёный чай</x:v>
      </x:c>
      <x:c r="C126" s="28" t="str">
        <x:v>Универсальные</x:v>
      </x:c>
      <x:c r="D126" s="28" t="str">
        <x:v>зелёный чай</x:v>
      </x:c>
      <x:c r="E126" s="28" t="str">
        <x:v>matcha</x:v>
      </x:c>
      <x:c r="F126" s="28" t="str">
        <x:v>Чай</x:v>
      </x:c>
      <x:c r="G126" s="28" t="str">
        <x:v>brie and camembert</x:v>
      </x:c>
      <x:c r="H126" s="28" t="str">
        <x:v>Brie and Camembert</x:v>
      </x:c>
      <x:c r="I126" s="28" t="str">
        <x:v>Молочные продукты и сыры</x:v>
      </x:c>
      <x:c r="J126" s="28" t="str">
        <x:v>зелёный, морской, травянистый, цветочный и слегка жареный; у матча — умами</x:v>
      </x:c>
      <x:c r="K126" s="28" t="str">
        <x:v>молочный, сливочный и ферментированный</x:v>
      </x:c>
      <x:c r="L126" s="28" t="str">
        <x:v>гексаналь, цис-3-гексенол, линалоол, индол, катехины</x:v>
      </x:c>
      <x:c r="M126" s="28" t="str">
        <x:v>диацетил, жирные кислоты, лактоны</x:v>
      </x:c>
      <x:c r="N126" s="28" t="str">
        <x:v>прямое пересечение семейств не является единственным объяснением</x:v>
      </x:c>
      <x:c r="O126" s="28" t="str">
        <x:v>надежная общая ключевая молекула не подтверждена</x:v>
      </x:c>
      <x:c r="P126" s="28" t="str">
        <x:v>жировая экстракция и связывание полифенолов белком</x:v>
      </x:c>
      <x:c r="Q126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126" s="28" t="str">
        <x:v>сухость и лёгкая горечь</x:v>
      </x:c>
      <x:c r="S126" s="28" t="str">
        <x:v>водный настой или суспензия цельного порошка матча; полифенолы и аминокислоты Совпадающие жирные фазы облегчают перенос аромата, но могут сделать продукт тяжёлым.</x:v>
      </x:c>
      <x:c r="T126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126" s="28" t="str">
        <x:v>Зелёный чай имеет профиль «зелёный, морской, травянистый, цветочный и слегка жареный; у матча — умами». Партнёр «brie and camembert»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126" s="28" t="str">
        <x:v>переэкстракция; матча легко становится меловой и горькой; кофеин; слишком горячая вода и долгое заваривание усиливают терпкость; жир способен приглушить тонкую ароматику; белок связывает полифенолы</x:v>
      </x:c>
      <x:c r="W126" s="28" t="str">
        <x:v>мёд, карамель или фруктовая кислота</x:v>
      </x:c>
      <x:c r="X126" s="28" t="str">
        <x:v>чайный настой, холодный чай, кордиал, молочный пунш, десерт или соус с brie and camembert</x:v>
      </x:c>
      <x:c r="Y126" s="28" t="str">
        <x:v>напитки, десерты</x:v>
      </x:c>
      <x:c r="Z126" s="28" t="str">
        <x:v>Средняя</x:v>
      </x:c>
      <x:c r="AA126" s="28" t="str">
        <x:v>The Art &amp; Science of Foodpairing.pdf</x:v>
      </x:c>
      <x:c r="AB126" s="28" t="str">
        <x:v>The Art &amp; Science of Foodpairing.pdf: 336</x:v>
      </x:c>
      <x:c r="AC126" s="28" t="str">
        <x:v>Пара встречается как grid; научное объяснение сформировано по ароматическому профилю и пищевой матрице.</x:v>
      </x:c>
      <x:c r="AD126" s="28" t="n">
        <x:v>1</x:v>
      </x:c>
      <x:c r="AE126" s="28" t="n">
        <x:v>1</x:v>
      </x:c>
      <x:c r="AF126" s="28" t="n">
        <x:f>IF(Z126="Высокая",3,IF(Z126="Средняя",2,1))+AD126*2+MIN(AE126,3)</x:f>
        <x:v>5</x:v>
      </x:c>
    </x:row>
    <x:row r="127" ht="62" customHeight="1">
      <x:c r="A127" s="28" t="str">
        <x:v>NCT-0126</x:v>
      </x:c>
      <x:c r="B127" s="28" t="str">
        <x:v>зелёный чай</x:v>
      </x:c>
      <x:c r="C127" s="28" t="str">
        <x:v>Еда и соусы</x:v>
      </x:c>
      <x:c r="D127" s="28" t="str">
        <x:v>зелёный чай</x:v>
      </x:c>
      <x:c r="E127" s="28" t="str">
        <x:v>green tea</x:v>
      </x:c>
      <x:c r="F127" s="28" t="str">
        <x:v>Чай</x:v>
      </x:c>
      <x:c r="G127" s="28" t="str">
        <x:v>fish</x:v>
      </x:c>
      <x:c r="H127" s="28" t="str">
        <x:v>fish</x:v>
      </x:c>
      <x:c r="I127" s="28" t="str">
        <x:v>Рыба и морепродукты</x:v>
      </x:c>
      <x:c r="J127" s="28" t="str">
        <x:v>зелёный, морской, травянистый, цветочный и слегка жареный; у матча — умами</x:v>
      </x:c>
      <x:c r="K127" s="28" t="str">
        <x:v>морской, солоноватый и умами</x:v>
      </x:c>
      <x:c r="L127" s="28" t="str">
        <x:v>гексаналь, цис-3-гексенол, линалоол, индол, катехины</x:v>
      </x:c>
      <x:c r="M127" s="28" t="str">
        <x:v>альдегиды, амины</x:v>
      </x:c>
      <x:c r="N127" s="28" t="str">
        <x:v>морской</x:v>
      </x:c>
      <x:c r="O127" s="28" t="str">
        <x:v>надежная общая ключевая молекула не подтверждена</x:v>
      </x:c>
      <x:c r="P127" s="28" t="str">
        <x:v>пересечение ароматических семейств, солёно-умами контраст</x:v>
      </x:c>
      <x:c r="Q127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127" s="28" t="str">
        <x:v>сухость и лёгкая горечь</x:v>
      </x:c>
      <x:c r="S127" s="28" t="str">
        <x:v>водный настой или суспензия цельного порошка матча; полифенолы и аминокислоты</x:v>
      </x:c>
      <x:c r="T127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127" s="28" t="str">
        <x:v>Зелёный чай имеет профиль «зелёный, морской, травянистый, цветочный и слегка жареный; у матча — умами». Партнёр «fish» относится к группе «Рыба и морепродукты» и даёт морской, солоноватый и умами. Профили пересекаются в семействах: морской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морской; механизм не следует сводить к одной общей молекуле.</x:v>
      </x:c>
      <x:c r="V127" s="28" t="str">
        <x:v>переэкстракция; матча легко становится меловой и горькой; кофеин; слишком горячая вода и долгое заваривание усиливают терпкость; малейшая прогорклость ореха или шоколада усиливает неприятные рыбные оттенки</x:v>
      </x:c>
      <x:c r="W127" s="28" t="str">
        <x:v>соль, соевый соус, коричневое масло или специя</x:v>
      </x:c>
      <x:c r="X127" s="28" t="str">
        <x:v>чайный настой, холодный чай, кордиал, молочный пунш, десерт или соус с fish</x:v>
      </x:c>
      <x:c r="Y127" s="28" t="str">
        <x:v>напитки, еда, соусы/маринады</x:v>
      </x:c>
      <x:c r="Z127" s="28" t="str">
        <x:v>Средняя</x:v>
      </x:c>
      <x:c r="AA127" s="28" t="str">
        <x:v>The Art &amp; Science of Foodpairing.pdf</x:v>
      </x:c>
      <x:c r="AB127" s="28" t="str">
        <x:v>The Art &amp; Science of Foodpairing.pdf: 104</x:v>
      </x:c>
      <x:c r="AC127" s="28" t="str">
        <x:v>Пара встречается как grid; научное объяснение сформировано по ароматическому профилю и пищевой матрице.</x:v>
      </x:c>
      <x:c r="AD127" s="28" t="n">
        <x:v>1</x:v>
      </x:c>
      <x:c r="AE127" s="28" t="n">
        <x:v>1</x:v>
      </x:c>
      <x:c r="AF127" s="28" t="n">
        <x:f>IF(Z127="Высокая",3,IF(Z127="Средняя",2,1))+AD127*2+MIN(AE127,3)</x:f>
        <x:v>5</x:v>
      </x:c>
    </x:row>
    <x:row r="128" ht="62" customHeight="1">
      <x:c r="A128" s="28" t="str">
        <x:v>NCT-0127</x:v>
      </x:c>
      <x:c r="B128" s="28" t="str">
        <x:v>зелёный чай</x:v>
      </x:c>
      <x:c r="C128" s="28" t="str">
        <x:v>Еда и соусы</x:v>
      </x:c>
      <x:c r="D128" s="28" t="str">
        <x:v>зелёный чай</x:v>
      </x:c>
      <x:c r="E128" s="28" t="str">
        <x:v>green tea | jasmine tea | matcha</x:v>
      </x:c>
      <x:c r="F128" s="28" t="str">
        <x:v>Чай</x:v>
      </x:c>
      <x:c r="G128" s="28" t="str">
        <x:v>garlic</x:v>
      </x:c>
      <x:c r="H128" s="28" t="str">
        <x:v>garlic</x:v>
      </x:c>
      <x:c r="I128" s="28" t="str">
        <x:v>Овощи, бобовые и грибы</x:v>
      </x:c>
      <x:c r="J128" s="28" t="str">
        <x:v>зелёный, морской, травянистый, цветочный и слегка жареный; у матча — умами</x:v>
      </x:c>
      <x:c r="K128" s="28" t="str">
        <x:v>зелёный, землистый или умами</x:v>
      </x:c>
      <x:c r="L128" s="28" t="str">
        <x:v>гексаналь, цис-3-гексенол, линалоол, индол, катехины</x:v>
      </x:c>
      <x:c r="M128" s="28" t="str">
        <x:v>альдегиды, сернистые соединения</x:v>
      </x:c>
      <x:c r="N128" s="28" t="str">
        <x:v>зелёный</x:v>
      </x:c>
      <x:c r="O128" s="28" t="str">
        <x:v>надежная общая ключевая молекула не подтверждена</x:v>
      </x:c>
      <x:c r="P128" s="28" t="str">
        <x:v>пересечение ароматических семейств</x:v>
      </x:c>
      <x:c r="Q128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128" s="28" t="str">
        <x:v>сухость и лёгкая горечь</x:v>
      </x:c>
      <x:c r="S128" s="28" t="str">
        <x:v>водный настой или суспензия цельного порошка матча; полифенолы и аминокислоты</x:v>
      </x:c>
      <x:c r="T128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128" s="28" t="str">
        <x:v>Зелёный чай имеет профиль «зелёный, морской, травянистый, цветочный и слегка жареный; у матча — умами». Партнёр «garlic» относится к группе «Овощи, бобовые и грибы» и даёт зелёный, землистый или умами. Профили пересекаются в семействах: зелёный Полифенолы создают терпкость, поэтому сахар, жир, соль или умами могут смягчить сухость; чрезмерно танинный партнёр, наоборот, её усиливает. Итог: зелёный; механизм не следует сводить к одной общей молекуле.</x:v>
      </x:c>
      <x:c r="V128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W128" s="28" t="str">
        <x:v>соль, ваниль или карамель</x:v>
      </x:c>
      <x:c r="X128" s="28" t="str">
        <x:v>чайный настой, холодный чай, кордиал, молочный пунш, десерт или соус с garlic</x:v>
      </x:c>
      <x:c r="Y128" s="28" t="str">
        <x:v>напитки, еда, соусы/маринады</x:v>
      </x:c>
      <x:c r="Z128" s="28" t="str">
        <x:v>Средняя</x:v>
      </x:c>
      <x:c r="AA128" s="28" t="str">
        <x:v>The Art &amp; Science of Foodpairing.pdf</x:v>
      </x:c>
      <x:c r="AB128" s="28" t="str">
        <x:v>The Art &amp; Science of Foodpairing.pdf: 113</x:v>
      </x:c>
      <x:c r="AC128" s="28" t="str">
        <x:v>Пара встречается как grid; научное объяснение сформировано по ароматическому профилю и пищевой матрице.</x:v>
      </x:c>
      <x:c r="AD128" s="28" t="n">
        <x:v>1</x:v>
      </x:c>
      <x:c r="AE128" s="28" t="n">
        <x:v>3</x:v>
      </x:c>
      <x:c r="AF128" s="28" t="n">
        <x:f>IF(Z128="Высокая",3,IF(Z128="Средняя",2,1))+AD128*2+MIN(AE128,3)</x:f>
        <x:v>7</x:v>
      </x:c>
    </x:row>
    <x:row r="129" ht="62" customHeight="1">
      <x:c r="A129" s="28" t="str">
        <x:v>NCT-0128</x:v>
      </x:c>
      <x:c r="B129" s="28" t="str">
        <x:v>зелёный чай</x:v>
      </x:c>
      <x:c r="C129" s="28" t="str">
        <x:v>Еда и соусы</x:v>
      </x:c>
      <x:c r="D129" s="28" t="str">
        <x:v>зелёный чай</x:v>
      </x:c>
      <x:c r="E129" s="28" t="str">
        <x:v>matcha</x:v>
      </x:c>
      <x:c r="F129" s="28" t="str">
        <x:v>Чай</x:v>
      </x:c>
      <x:c r="G129" s="28" t="str">
        <x:v>meat</x:v>
      </x:c>
      <x:c r="H129" s="28" t="str">
        <x:v>meat</x:v>
      </x:c>
      <x:c r="I129" s="28" t="str">
        <x:v>Мясо и птица</x:v>
      </x:c>
      <x:c r="J129" s="28" t="str">
        <x:v>зелёный, морской, травянистый, цветочный и слегка жареный; у матча — умами</x:v>
      </x:c>
      <x:c r="K129" s="28" t="str">
        <x:v>жареный, мясной и умами</x:v>
      </x:c>
      <x:c r="L129" s="28" t="str">
        <x:v>гексаналь, цис-3-гексенол, линалоол, индол, катехины</x:v>
      </x:c>
      <x:c r="M129" s="28" t="str">
        <x:v>пиразины, сернистые соединения</x:v>
      </x:c>
      <x:c r="N129" s="28" t="str">
        <x:v>прямое пересечение семейств не является единственным объяснением</x:v>
      </x:c>
      <x:c r="O129" s="28" t="str">
        <x:v>надежная общая ключевая молекула не подтверждена</x:v>
      </x:c>
      <x:c r="P129" s="28" t="str">
        <x:v>жареная химия и реакции Майяра, солёно-умами контраст</x:v>
      </x:c>
      <x:c r="Q129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129" s="28" t="str">
        <x:v>сухость и лёгкая горечь</x:v>
      </x:c>
      <x:c r="S129" s="28" t="str">
        <x:v>водный настой или суспензия цельного порошка матча; полифенолы и аминокислоты</x:v>
      </x:c>
      <x:c r="T129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129" s="28" t="str">
        <x:v>Зелёный чай имеет профиль «зелёный, морской, травянистый, цветочный и слегка жареный; у матча — умами». Партнёр «meat»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129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W129" s="28" t="str">
        <x:v>соль, соевый соус, коричневое масло или специя</x:v>
      </x:c>
      <x:c r="X129" s="28" t="str">
        <x:v>чайный настой, холодный чай, кордиал, молочный пунш, десерт или соус с meat</x:v>
      </x:c>
      <x:c r="Y129" s="28" t="str">
        <x:v>напитки, еда, соусы/маринады</x:v>
      </x:c>
      <x:c r="Z129" s="28" t="str">
        <x:v>Средняя</x:v>
      </x:c>
      <x:c r="AA129" s="28" t="str">
        <x:v>The Art &amp; Science of Foodpairing.pdf</x:v>
      </x:c>
      <x:c r="AB129" s="28" t="str">
        <x:v>The Art &amp; Science of Foodpairing.pdf: 186</x:v>
      </x:c>
      <x:c r="AC129" s="28" t="str">
        <x:v>Пара встречается как grid; научное объяснение сформировано по ароматическому профилю и пищевой матрице.</x:v>
      </x:c>
      <x:c r="AD129" s="28" t="n">
        <x:v>1</x:v>
      </x:c>
      <x:c r="AE129" s="28" t="n">
        <x:v>1</x:v>
      </x:c>
      <x:c r="AF129" s="28" t="n">
        <x:f>IF(Z129="Высокая",3,IF(Z129="Средняя",2,1))+AD129*2+MIN(AE129,3)</x:f>
        <x:v>5</x:v>
      </x:c>
    </x:row>
    <x:row r="130" ht="62" customHeight="1">
      <x:c r="A130" s="28" t="str">
        <x:v>NCT-0129</x:v>
      </x:c>
      <x:c r="B130" s="28" t="str">
        <x:v>зелёный чай</x:v>
      </x:c>
      <x:c r="C130" s="28" t="str">
        <x:v>Универсальные</x:v>
      </x:c>
      <x:c r="D130" s="28" t="str">
        <x:v>зелёный чай</x:v>
      </x:c>
      <x:c r="E130" s="28" t="str">
        <x:v>jasmine tea</x:v>
      </x:c>
      <x:c r="F130" s="28" t="str">
        <x:v>Чай</x:v>
      </x:c>
      <x:c r="G130" s="28" t="str">
        <x:v>peppercorns</x:v>
      </x:c>
      <x:c r="H130" s="28" t="str">
        <x:v>peppercorns</x:v>
      </x:c>
      <x:c r="I130" s="28" t="str">
        <x:v>Специи</x:v>
      </x:c>
      <x:c r="J130" s="28" t="str">
        <x:v>зелёный, морской, травянистый, цветочный и слегка жареный; у матча — умами</x:v>
      </x:c>
      <x:c r="K130" s="28" t="str">
        <x:v>пряный и древесный</x:v>
      </x:c>
      <x:c r="L130" s="28" t="str">
        <x:v>гексаналь, цис-3-гексенол, линалоол, индол, катехины</x:v>
      </x:c>
      <x:c r="M130" s="28" t="str">
        <x:v>терпены, фенилпропаноиды</x:v>
      </x:c>
      <x:c r="N130" s="28" t="str">
        <x:v>прямое пересечение семейств не является единственным объяснением</x:v>
      </x:c>
      <x:c r="O130" s="28" t="str">
        <x:v>надежная общая ключевая молекула не подтверждена</x:v>
      </x:c>
      <x:c r="P130" s="28" t="str">
        <x:v>сенсорная комплементарность</x:v>
      </x:c>
      <x:c r="Q130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130" s="28" t="str">
        <x:v>сухость и лёгкая горечь</x:v>
      </x:c>
      <x:c r="S130" s="28" t="str">
        <x:v>водный настой или суспензия цельного порошка матча; полифенолы и аминокислоты</x:v>
      </x:c>
      <x:c r="T130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130" s="28" t="str">
        <x:v>Зелёный чай имеет профиль «зелёный, морской, травянистый, цветочный и слегка жареный; у матча — умами». Партнёр «peppercorns» относится к группе «Специи» и даёт пряный и древесный.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130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W130" s="28" t="str">
        <x:v>ваниль, апельсин или мёд</x:v>
      </x:c>
      <x:c r="X130" s="28" t="str">
        <x:v>чайный настой, холодный чай, кордиал, молочный пунш, десерт или соус с peppercorns</x:v>
      </x:c>
      <x:c r="Y130" s="28" t="str">
        <x:v>напитки</x:v>
      </x:c>
      <x:c r="Z130" s="28" t="str">
        <x:v>Средняя</x:v>
      </x:c>
      <x:c r="AA130" s="28" t="str">
        <x:v>The Art &amp; Science of Foodpairing.pdf</x:v>
      </x:c>
      <x:c r="AB130" s="28" t="str">
        <x:v>The Art &amp; Science of Foodpairing.pdf: 274</x:v>
      </x:c>
      <x:c r="AC130" s="28" t="str">
        <x:v>Пара встречается как grid; научное объяснение сформировано по ароматическому профилю и пищевой матрице.</x:v>
      </x:c>
      <x:c r="AD130" s="28" t="n">
        <x:v>1</x:v>
      </x:c>
      <x:c r="AE130" s="28" t="n">
        <x:v>1</x:v>
      </x:c>
      <x:c r="AF130" s="28" t="n">
        <x:f>IF(Z130="Высокая",3,IF(Z130="Средняя",2,1))+AD130*2+MIN(AE130,3)</x:f>
        <x:v>5</x:v>
      </x:c>
    </x:row>
    <x:row r="131" ht="62" customHeight="1">
      <x:c r="A131" s="28" t="str">
        <x:v>NCT-0130</x:v>
      </x:c>
      <x:c r="B131" s="28" t="str">
        <x:v>зелёный чай</x:v>
      </x:c>
      <x:c r="C131" s="28" t="str">
        <x:v>Универсальные</x:v>
      </x:c>
      <x:c r="D131" s="28" t="str">
        <x:v>зелёный чай</x:v>
      </x:c>
      <x:c r="E131" s="28" t="str">
        <x:v>green tea</x:v>
      </x:c>
      <x:c r="F131" s="28" t="str">
        <x:v>Чай</x:v>
      </x:c>
      <x:c r="G131" s="28" t="str">
        <x:v>red bell pepper and paprika</x:v>
      </x:c>
      <x:c r="H131" s="28" t="str">
        <x:v>red bell pepper and paprika</x:v>
      </x:c>
      <x:c r="I131" s="28" t="str">
        <x:v>Специи</x:v>
      </x:c>
      <x:c r="J131" s="28" t="str">
        <x:v>зелёный, морской, травянистый, цветочный и слегка жареный; у матча — умами</x:v>
      </x:c>
      <x:c r="K131" s="28" t="str">
        <x:v>пряный и древесный</x:v>
      </x:c>
      <x:c r="L131" s="28" t="str">
        <x:v>гексаналь, цис-3-гексенол, линалоол, индол, катехины</x:v>
      </x:c>
      <x:c r="M131" s="28" t="str">
        <x:v>терпены, фенилпропаноиды</x:v>
      </x:c>
      <x:c r="N131" s="28" t="str">
        <x:v>прямое пересечение семейств не является единственным объяснением</x:v>
      </x:c>
      <x:c r="O131" s="28" t="str">
        <x:v>надежная общая ключевая молекула не подтверждена</x:v>
      </x:c>
      <x:c r="P131" s="28" t="str">
        <x:v>сенсорная комплементарность</x:v>
      </x:c>
      <x:c r="Q131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131" s="28" t="str">
        <x:v>сухость и лёгкая горечь</x:v>
      </x:c>
      <x:c r="S131" s="28" t="str">
        <x:v>водный настой или суспензия цельного порошка матча; полифенолы и аминокислоты</x:v>
      </x:c>
      <x:c r="T131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131" s="28" t="str">
        <x:v>Зелёный чай имеет профиль «зелёный, морской, травянистый, цветочный и слегка жареный; у матча — умами». Партнёр «red bell pepper and paprika» относится к группе «Специи» и даёт пряный и древесный.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131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W131" s="28" t="str">
        <x:v>ваниль, апельсин или мёд</x:v>
      </x:c>
      <x:c r="X131" s="28" t="str">
        <x:v>чайный настой, холодный чай, кордиал, молочный пунш, десерт или соус с red bell pepper and paprika</x:v>
      </x:c>
      <x:c r="Y131" s="28" t="str">
        <x:v>напитки</x:v>
      </x:c>
      <x:c r="Z131" s="28" t="str">
        <x:v>Средняя</x:v>
      </x:c>
      <x:c r="AA131" s="28" t="str">
        <x:v>The Art &amp; Science of Foodpairing.pdf</x:v>
      </x:c>
      <x:c r="AB131" s="28" t="str">
        <x:v>The Art &amp; Science of Foodpairing.pdf: 108</x:v>
      </x:c>
      <x:c r="AC131" s="28" t="str">
        <x:v>Пара встречается как grid; научное объяснение сформировано по ароматическому профилю и пищевой матрице.</x:v>
      </x:c>
      <x:c r="AD131" s="28" t="n">
        <x:v>1</x:v>
      </x:c>
      <x:c r="AE131" s="28" t="n">
        <x:v>1</x:v>
      </x:c>
      <x:c r="AF131" s="28" t="n">
        <x:f>IF(Z131="Высокая",3,IF(Z131="Средняя",2,1))+AD131*2+MIN(AE131,3)</x:f>
        <x:v>5</x:v>
      </x:c>
    </x:row>
    <x:row r="132" ht="62" customHeight="1">
      <x:c r="A132" s="28" t="str">
        <x:v>NCT-0131</x:v>
      </x:c>
      <x:c r="B132" s="28" t="str">
        <x:v>зелёный чай</x:v>
      </x:c>
      <x:c r="C132" s="28" t="str">
        <x:v>Универсальные</x:v>
      </x:c>
      <x:c r="D132" s="28" t="str">
        <x:v>зелёный чай</x:v>
      </x:c>
      <x:c r="E132" s="28" t="str">
        <x:v>green tea</x:v>
      </x:c>
      <x:c r="F132" s="28" t="str">
        <x:v>Чай</x:v>
      </x:c>
      <x:c r="G132" s="28" t="str">
        <x:v>sesame seeds, halva and tahini</x:v>
      </x:c>
      <x:c r="H132" s="28" t="str">
        <x:v>sesame seeds, halva and tahini</x:v>
      </x:c>
      <x:c r="I132" s="28" t="str">
        <x:v>Прочее</x:v>
      </x:c>
      <x:c r="J132" s="28" t="str">
        <x:v>зелёный, морской, травянистый, цветочный и слегка жареный; у матча — умами</x:v>
      </x:c>
      <x:c r="K132" s="28" t="str">
        <x:v>профиль зависит от конкретного продукта</x:v>
      </x:c>
      <x:c r="L132" s="28" t="str">
        <x:v>гексаналь, цис-3-гексенол, линалоол, индол, катехины</x:v>
      </x:c>
      <x:c r="M132" s="28" t="str">
        <x:v>характерный профиль зависит от конкретного продукта</x:v>
      </x:c>
      <x:c r="N132" s="28" t="str">
        <x:v>прямое пересечение семейств не является единственным объяснением</x:v>
      </x:c>
      <x:c r="O132" s="28" t="str">
        <x:v>надежная общая ключевая молекула не подтверждена</x:v>
      </x:c>
      <x:c r="P132" s="28" t="str">
        <x:v>сенсорная комплементарность</x:v>
      </x:c>
      <x:c r="Q132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132" s="28" t="str">
        <x:v>сухость и лёгкая горечь</x:v>
      </x:c>
      <x:c r="S132" s="28" t="str">
        <x:v>водный настой или суспензия цельного порошка матча; полифенолы и аминокислоты</x:v>
      </x:c>
      <x:c r="T132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132" s="28" t="str">
        <x:v>Зелёный чай имеет профиль «зелёный, морской, травянистый, цветочный и слегка жареный; у матча — умами». Партнёр «sesame seeds, halva and tahini» относится к группе «Прочее» и даёт профиль зависит от конкретного продукта.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132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W132" s="28" t="str">
        <x:v>соль, ваниль или карамель</x:v>
      </x:c>
      <x:c r="X132" s="28" t="str">
        <x:v>чайный настой, холодный чай, кордиал, молочный пунш, десерт или соус с sesame seeds, halva and tahini</x:v>
      </x:c>
      <x:c r="Y132" s="28" t="str">
        <x:v>напитки</x:v>
      </x:c>
      <x:c r="Z132" s="28" t="str">
        <x:v>Средняя</x:v>
      </x:c>
      <x:c r="AA132" s="28" t="str">
        <x:v>The Art &amp; Science of Foodpairing.pdf</x:v>
      </x:c>
      <x:c r="AB132" s="28" t="str">
        <x:v>The Art &amp; Science of Foodpairing.pdf: 308</x:v>
      </x:c>
      <x:c r="AC132" s="28" t="str">
        <x:v>Пара встречается как grid; научное объяснение сформировано по ароматическому профилю и пищевой матрице.</x:v>
      </x:c>
      <x:c r="AD132" s="28" t="n">
        <x:v>1</x:v>
      </x:c>
      <x:c r="AE132" s="28" t="n">
        <x:v>1</x:v>
      </x:c>
      <x:c r="AF132" s="28" t="n">
        <x:f>IF(Z132="Высокая",3,IF(Z132="Средняя",2,1))+AD132*2+MIN(AE132,3)</x:f>
        <x:v>5</x:v>
      </x:c>
    </x:row>
    <x:row r="133" ht="62" customHeight="1">
      <x:c r="A133" s="28" t="str">
        <x:v>NCT-0132</x:v>
      </x:c>
      <x:c r="B133" s="28" t="str">
        <x:v>зелёный чай</x:v>
      </x:c>
      <x:c r="C133" s="28" t="str">
        <x:v>Десерты и выпечка</x:v>
      </x:c>
      <x:c r="D133" s="28" t="str">
        <x:v>зелёный чай</x:v>
      </x:c>
      <x:c r="E133" s="28" t="str">
        <x:v>jasmine tea Pulque</x:v>
      </x:c>
      <x:c r="F133" s="28" t="str">
        <x:v>Чай</x:v>
      </x:c>
      <x:c r="G133" s="28" t="str">
        <x:v>tequila, buckwheat honey</x:v>
      </x:c>
      <x:c r="H133" s="28" t="str">
        <x:v>tequila, buckwheat honey</x:v>
      </x:c>
      <x:c r="I133" s="28" t="str">
        <x:v>Выпечка, сахара и десерты</x:v>
      </x:c>
      <x:c r="J133" s="28" t="str">
        <x:v>зелёный, морской, травянистый, цветочный и слегка жареный; у матча — умами</x:v>
      </x:c>
      <x:c r="K133" s="28" t="str">
        <x:v>сладкий, карамельный и жареный</x:v>
      </x:c>
      <x:c r="L133" s="28" t="str">
        <x:v>гексаналь, цис-3-гексенол, линалоол, индол, катехины</x:v>
      </x:c>
      <x:c r="M133" s="28" t="str">
        <x:v>мальтол, пиразины, фураны</x:v>
      </x:c>
      <x:c r="N133" s="28" t="str">
        <x:v>прямое пересечение семейств не является единственным объяснением</x:v>
      </x:c>
      <x:c r="O133" s="28" t="str">
        <x:v>надежная общая ключевая молекула не подтверждена</x:v>
      </x:c>
      <x:c r="P133" s="28" t="str">
        <x:v>жареная химия и реакции Майяра</x:v>
      </x:c>
      <x:c r="Q133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133" s="28" t="str">
        <x:v>сухость и лёгкая горечь</x:v>
      </x:c>
      <x:c r="S133" s="28" t="str">
        <x:v>водный настой или суспензия цельного порошка матча; полифенолы и аминокислоты</x:v>
      </x:c>
      <x:c r="T133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133" s="28" t="str">
        <x:v>Зелёный чай имеет профиль «зелёный, морской, травянистый, цветочный и слегка жареный; у матча — умами». Партнёр «tequila, buckwheat honey» относится к группе «Выпечка, сахара и десерты» и даёт сладкий, карамельный и жареный.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133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W133" s="28" t="str">
        <x:v>соль, ваниль или карамель</x:v>
      </x:c>
      <x:c r="X133" s="28" t="str">
        <x:v>чайный настой, холодный чай, кордиал, молочный пунш, десерт или соус с tequila, buckwheat honey</x:v>
      </x:c>
      <x:c r="Y133" s="28" t="str">
        <x:v>напитки, десерты</x:v>
      </x:c>
      <x:c r="Z133" s="28" t="str">
        <x:v>Высокая</x:v>
      </x:c>
      <x:c r="AA133" s="28" t="str">
        <x:v>The Art &amp; Science of Foodpairing.pdf</x:v>
      </x:c>
      <x:c r="AB133" s="28" t="str">
        <x:v>The Art &amp; Science of Foodpairing.pdf: 82</x:v>
      </x:c>
      <x:c r="AC133" s="28" t="str">
        <x:v>Пара встречается как chef's; научное объяснение сформировано по ароматическому профилю и пищевой матрице.</x:v>
      </x:c>
      <x:c r="AD133" s="28" t="n">
        <x:v>1</x:v>
      </x:c>
      <x:c r="AE133" s="28" t="n">
        <x:v>1</x:v>
      </x:c>
      <x:c r="AF133" s="28" t="n">
        <x:f>IF(Z133="Высокая",3,IF(Z133="Средняя",2,1))+AD133*2+MIN(AE133,3)</x:f>
        <x:v>6</x:v>
      </x:c>
    </x:row>
    <x:row r="134" ht="62" customHeight="1">
      <x:c r="A134" s="28" t="str">
        <x:v>NCT-0133</x:v>
      </x:c>
      <x:c r="B134" s="28" t="str">
        <x:v>зелёный чай</x:v>
      </x:c>
      <x:c r="C134" s="28" t="str">
        <x:v>Универсальные</x:v>
      </x:c>
      <x:c r="D134" s="28" t="str">
        <x:v>зелёный чай</x:v>
      </x:c>
      <x:c r="E134" s="28" t="str">
        <x:v>матча</x:v>
      </x:c>
      <x:c r="F134" s="28" t="str">
        <x:v>Чай</x:v>
      </x:c>
      <x:c r="G134" s="28" t="str">
        <x:v>авокадо</x:v>
      </x:c>
      <x:c r="H134" s="28" t="str">
        <x:v>Авокадо</x:v>
      </x:c>
      <x:c r="I134" s="28" t="str">
        <x:v>Прочее</x:v>
      </x:c>
      <x:c r="J134" s="28" t="str">
        <x:v>зелёный, морской, травянистый, цветочный и слегка жареный; у матча — умами</x:v>
      </x:c>
      <x:c r="K134" s="28" t="str">
        <x:v>профиль зависит от конкретного продукта</x:v>
      </x:c>
      <x:c r="L134" s="28" t="str">
        <x:v>гексаналь, цис-3-гексенол, линалоол, индол, катехины</x:v>
      </x:c>
      <x:c r="M134" s="28" t="str">
        <x:v>характерный профиль зависит от конкретного продукта</x:v>
      </x:c>
      <x:c r="N134" s="28" t="str">
        <x:v>прямое пересечение семейств не является единственным объяснением</x:v>
      </x:c>
      <x:c r="O134" s="28" t="str">
        <x:v>надежная общая ключевая молекула не подтверждена</x:v>
      </x:c>
      <x:c r="P134" s="28" t="str">
        <x:v>сенсорная комплементарность</x:v>
      </x:c>
      <x:c r="Q134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134" s="28" t="str">
        <x:v>сухость и лёгкая горечь</x:v>
      </x:c>
      <x:c r="S134" s="28" t="str">
        <x:v>водный настой или суспензия цельного порошка матча; полифенолы и аминокислоты</x:v>
      </x:c>
      <x:c r="T134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134" s="28" t="str">
        <x:v>Зелёный чай имеет профиль «зелёный, морской, травянистый, цветочный и слегка жареный; у матча — умами». Партнёр «авокадо» относится к группе «Прочее» и даёт профиль зависит от конкретного продукта.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134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W134" s="28" t="str">
        <x:v>соль, ваниль или карамель</x:v>
      </x:c>
      <x:c r="X134" s="28" t="str">
        <x:v>чайный настой, холодный чай, кордиал, молочный пунш, десерт или соус с авокадо</x:v>
      </x:c>
      <x:c r="Y134" s="28" t="str">
        <x:v>напитки</x:v>
      </x:c>
      <x:c r="Z134" s="28" t="str">
        <x:v>Гипотеза / практическая</x:v>
      </x:c>
      <x:c r="AA134" s="28" t="str">
        <x:v>Таблица сочетания(1).pdf</x:v>
      </x:c>
      <x:c r="AB134" s="28" t="str">
        <x:v>Таблица сочетания(1).pdf: 2</x:v>
      </x:c>
      <x:c r="AC134" s="28" t="str">
        <x:v>Пара встречается как table; научное объяснение сформировано по ароматическому профилю и пищевой матрице.</x:v>
      </x:c>
      <x:c r="AD134" s="28" t="n">
        <x:v>1</x:v>
      </x:c>
      <x:c r="AE134" s="28" t="n">
        <x:v>1</x:v>
      </x:c>
      <x:c r="AF134" s="28" t="n">
        <x:f>IF(Z134="Высокая",3,IF(Z134="Средняя",2,1))+AD134*2+MIN(AE134,3)</x:f>
        <x:v>4</x:v>
      </x:c>
    </x:row>
    <x:row r="135" ht="62" customHeight="1">
      <x:c r="A135" s="28" t="str">
        <x:v>NCT-0134</x:v>
      </x:c>
      <x:c r="B135" s="28" t="str">
        <x:v>зелёный чай</x:v>
      </x:c>
      <x:c r="C135" s="28" t="str">
        <x:v>Десерты и выпечка</x:v>
      </x:c>
      <x:c r="D135" s="28" t="str">
        <x:v>зелёный чай</x:v>
      </x:c>
      <x:c r="E135" s="28" t="str">
        <x:v>green tea</x:v>
      </x:c>
      <x:c r="F135" s="28" t="str">
        <x:v>Чай</x:v>
      </x:c>
      <x:c r="G135" s="28" t="str">
        <x:v>банан</x:v>
      </x:c>
      <x:c r="H135" s="28" t="str">
        <x:v>banana</x:v>
      </x:c>
      <x:c r="I135" s="28" t="str">
        <x:v>Фрукты и ягоды</x:v>
      </x:c>
      <x:c r="J135" s="28" t="str">
        <x:v>зелёный, морской, травянистый, цветочный и слегка жареный; у матча — умами</x:v>
      </x:c>
      <x:c r="K135" s="28" t="str">
        <x:v>сливочный, фруктовый</x:v>
      </x:c>
      <x:c r="L135" s="28" t="str">
        <x:v>гексаналь, цис-3-гексенол, линалоол, индол, катехины</x:v>
      </x:c>
      <x:c r="M135" s="28" t="str">
        <x:v>изоамилацетат</x:v>
      </x:c>
      <x:c r="N135" s="28" t="str">
        <x:v>прямое пересечение семейств не является единственным объяснением</x:v>
      </x:c>
      <x:c r="O135" s="28" t="str">
        <x:v>надежная общая ключевая молекула не подтверждена</x:v>
      </x:c>
      <x:c r="P135" s="28" t="str">
        <x:v>контраст кислоты и жирной/горькой матрицы</x:v>
      </x:c>
      <x:c r="Q135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135" s="28" t="str">
        <x:v>сухость и лёгкая горечь</x:v>
      </x:c>
      <x:c r="S135" s="28" t="str">
        <x:v>водный настой или суспензия цельного порошка матча; полифенолы и аминокислоты Водная фруктовая фаза требует эмульсии или мелкого измельчения, если орех или шоколад вводится как паста.</x:v>
      </x:c>
      <x:c r="T135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135" s="28" t="str">
        <x:v>Зелёный чай имеет профиль «зелёный, морской, травянистый, цветочный и слегка жареный; у матча — умами».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135" s="28" t="str">
        <x:v>переэкстракция; матча легко становится меловой и горькой;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W135" s="28" t="str">
        <x:v>ваниль, цитрус или молочный жир</x:v>
      </x:c>
      <x:c r="X135" s="28" t="str">
        <x:v>чайный настой, холодный чай, кордиал, молочный пунш, десерт или соус с банан</x:v>
      </x:c>
      <x:c r="Y135" s="28" t="str">
        <x:v>напитки, десерты</x:v>
      </x:c>
      <x:c r="Z135" s="28" t="str">
        <x:v>Средняя</x:v>
      </x:c>
      <x:c r="AA135" s="28" t="str">
        <x:v>The Art &amp; Science of Foodpairing.pdf</x:v>
      </x:c>
      <x:c r="AB135" s="28" t="str">
        <x:v>The Art &amp; Science of Foodpairing.pdf: 342</x:v>
      </x:c>
      <x:c r="AC135" s="28" t="str">
        <x:v>Пара встречается как grid; научное объяснение сформировано по ароматическому профилю и пищевой матрице.</x:v>
      </x:c>
      <x:c r="AD135" s="28" t="n">
        <x:v>1</x:v>
      </x:c>
      <x:c r="AE135" s="28" t="n">
        <x:v>1</x:v>
      </x:c>
      <x:c r="AF135" s="28" t="n">
        <x:f>IF(Z135="Высокая",3,IF(Z135="Средняя",2,1))+AD135*2+MIN(AE135,3)</x:f>
        <x:v>5</x:v>
      </x:c>
    </x:row>
    <x:row r="136" ht="62" customHeight="1">
      <x:c r="A136" s="28" t="str">
        <x:v>NCT-0135</x:v>
      </x:c>
      <x:c r="B136" s="28" t="str">
        <x:v>зелёный чай</x:v>
      </x:c>
      <x:c r="C136" s="28" t="str">
        <x:v>Десерты и выпечка</x:v>
      </x:c>
      <x:c r="D136" s="28" t="str">
        <x:v>зелёный чай</x:v>
      </x:c>
      <x:c r="E136" s="28" t="str">
        <x:v>matcha</x:v>
      </x:c>
      <x:c r="F136" s="28" t="str">
        <x:v>Чай</x:v>
      </x:c>
      <x:c r="G136" s="28" t="str">
        <x:v>груша</x:v>
      </x:c>
      <x:c r="H136" s="28" t="str">
        <x:v>pear</x:v>
      </x:c>
      <x:c r="I136" s="28" t="str">
        <x:v>Фрукты и ягоды</x:v>
      </x:c>
      <x:c r="J136" s="28" t="str">
        <x:v>зелёный, морской, травянистый, цветочный и слегка жареный; у матча — умами</x:v>
      </x:c>
      <x:c r="K136" s="28" t="str">
        <x:v>фруктовый, цветочный и свежий</x:v>
      </x:c>
      <x:c r="L136" s="28" t="str">
        <x:v>гексаналь, цис-3-гексенол, линалоол, индол, катехины</x:v>
      </x:c>
      <x:c r="M136" s="28" t="str">
        <x:v>альдегиды, эфиры</x:v>
      </x:c>
      <x:c r="N136" s="28" t="str">
        <x:v>цветочный</x:v>
      </x:c>
      <x:c r="O136" s="28" t="str">
        <x:v>надежная общая ключевая молекула не подтверждена</x:v>
      </x:c>
      <x:c r="P136" s="28" t="str">
        <x:v>пересечение ароматических семейств, контраст кислоты и жирной/горькой матрицы</x:v>
      </x:c>
      <x:c r="Q136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136" s="28" t="str">
        <x:v>сухость и лёгкая горечь</x:v>
      </x:c>
      <x:c r="S136" s="28" t="str">
        <x:v>водный настой или суспензия цельного порошка матча; полифенолы и аминокислоты Водная фруктовая фаза требует эмульсии или мелкого измельчения, если орех или шоколад вводится как паста.</x:v>
      </x:c>
      <x:c r="T136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136" s="28" t="str">
        <x:v>Зелёный чай имеет профиль «зелёный, морской, травянистый, цветочный и слегка жареный; у матча — умами». Партнёр «груша»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V136" s="28" t="str">
        <x:v>переэкстракция; матча легко становится меловой и горькой;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W136" s="28" t="str">
        <x:v>ваниль, цитрус или молочный жир</x:v>
      </x:c>
      <x:c r="X136" s="28" t="str">
        <x:v>чайный настой, холодный чай, кордиал, молочный пунш, десерт или соус с груша</x:v>
      </x:c>
      <x:c r="Y136" s="28" t="str">
        <x:v>напитки, десерты</x:v>
      </x:c>
      <x:c r="Z136" s="28" t="str">
        <x:v>Средняя</x:v>
      </x:c>
      <x:c r="AA136" s="28" t="str">
        <x:v>The Art &amp; Science of Foodpairing.pdf</x:v>
      </x:c>
      <x:c r="AB136" s="28" t="str">
        <x:v>The Art &amp; Science of Foodpairing.pdf: 350</x:v>
      </x:c>
      <x:c r="AC136" s="28" t="str">
        <x:v>Пара встречается как grid; научное объяснение сформировано по ароматическому профилю и пищевой матрице.</x:v>
      </x:c>
      <x:c r="AD136" s="28" t="n">
        <x:v>1</x:v>
      </x:c>
      <x:c r="AE136" s="28" t="n">
        <x:v>1</x:v>
      </x:c>
      <x:c r="AF136" s="28" t="n">
        <x:f>IF(Z136="Высокая",3,IF(Z136="Средняя",2,1))+AD136*2+MIN(AE136,3)</x:f>
        <x:v>5</x:v>
      </x:c>
    </x:row>
    <x:row r="137" ht="62" customHeight="1">
      <x:c r="A137" s="28" t="str">
        <x:v>NCT-0136</x:v>
      </x:c>
      <x:c r="B137" s="28" t="str">
        <x:v>зелёный чай</x:v>
      </x:c>
      <x:c r="C137" s="28" t="str">
        <x:v>Универсальные</x:v>
      </x:c>
      <x:c r="D137" s="28" t="str">
        <x:v>зелёный чай</x:v>
      </x:c>
      <x:c r="E137" s="28" t="str">
        <x:v>sencha tea</x:v>
      </x:c>
      <x:c r="F137" s="28" t="str">
        <x:v>Чай</x:v>
      </x:c>
      <x:c r="G137" s="28" t="str">
        <x:v>имбирь</x:v>
      </x:c>
      <x:c r="H137" s="28" t="str">
        <x:v>ginger</x:v>
      </x:c>
      <x:c r="I137" s="28" t="str">
        <x:v>Специи</x:v>
      </x:c>
      <x:c r="J137" s="28" t="str">
        <x:v>зелёный, морской, травянистый, цветочный и слегка жареный; у матча — умами</x:v>
      </x:c>
      <x:c r="K137" s="28" t="str">
        <x:v>пряный, тёплый, цитрусовый</x:v>
      </x:c>
      <x:c r="L137" s="28" t="str">
        <x:v>гексаналь, цис-3-гексенол, линалоол, индол, катехины</x:v>
      </x:c>
      <x:c r="M137" s="28" t="str">
        <x:v>гингеролы, цитраль</x:v>
      </x:c>
      <x:c r="N137" s="28" t="str">
        <x:v>прямое пересечение семейств не является единственным объяснением</x:v>
      </x:c>
      <x:c r="O137" s="28" t="str">
        <x:v>надежная общая ключевая молекула не подтверждена</x:v>
      </x:c>
      <x:c r="P137" s="28" t="str">
        <x:v>сенсорная комплементарность</x:v>
      </x:c>
      <x:c r="Q137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137" s="28" t="str">
        <x:v>сухость и лёгкая горечь; у острого партнёра тройничный эффект может доминировать</x:v>
      </x:c>
      <x:c r="S137" s="28" t="str">
        <x:v>водный настой или суспензия цельного порошка матча; полифенолы и аминокислоты</x:v>
      </x:c>
      <x:c r="T137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137" s="28" t="str">
        <x:v>Зелёный чай имеет профиль «зелёный, морской, травянистый, цветочный и слегка жареный; у матча — умами». Партнёр «имбирь» относится к группе «Специи» и даёт пряный, тёплый, цитрусовый.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137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W137" s="28" t="str">
        <x:v>ваниль, апельсин или мёд</x:v>
      </x:c>
      <x:c r="X137" s="28" t="str">
        <x:v>чайный настой, холодный чай, кордиал, молочный пунш, десерт или соус с имбирь</x:v>
      </x:c>
      <x:c r="Y137" s="28" t="str">
        <x:v>напитки</x:v>
      </x:c>
      <x:c r="Z137" s="28" t="str">
        <x:v>Средняя</x:v>
      </x:c>
      <x:c r="AA137" s="28" t="str">
        <x:v>The Art &amp; Science of Foodpairing.pdf</x:v>
      </x:c>
      <x:c r="AB137" s="28" t="str">
        <x:v>The Art &amp; Science of Foodpairing.pdf: 142</x:v>
      </x:c>
      <x:c r="AC137" s="28" t="str">
        <x:v>Пара встречается как grid; научное объяснение сформировано по ароматическому профилю и пищевой матрице.</x:v>
      </x:c>
      <x:c r="AD137" s="28" t="n">
        <x:v>1</x:v>
      </x:c>
      <x:c r="AE137" s="28" t="n">
        <x:v>1</x:v>
      </x:c>
      <x:c r="AF137" s="28" t="n">
        <x:f>IF(Z137="Высокая",3,IF(Z137="Средняя",2,1))+AD137*2+MIN(AE137,3)</x:f>
        <x:v>5</x:v>
      </x:c>
    </x:row>
    <x:row r="138" ht="62" customHeight="1">
      <x:c r="A138" s="28" t="str">
        <x:v>NCT-0137</x:v>
      </x:c>
      <x:c r="B138" s="28" t="str">
        <x:v>зелёный чай</x:v>
      </x:c>
      <x:c r="C138" s="28" t="str">
        <x:v>Универсальные</x:v>
      </x:c>
      <x:c r="D138" s="28" t="str">
        <x:v>зелёный чай</x:v>
      </x:c>
      <x:c r="E138" s="28" t="str">
        <x:v>sencha tea</x:v>
      </x:c>
      <x:c r="F138" s="28" t="str">
        <x:v>Чай</x:v>
      </x:c>
      <x:c r="G138" s="28" t="str">
        <x:v>кардамон</x:v>
      </x:c>
      <x:c r="H138" s="28" t="str">
        <x:v>cardamom</x:v>
      </x:c>
      <x:c r="I138" s="28" t="str">
        <x:v>Специи</x:v>
      </x:c>
      <x:c r="J138" s="28" t="str">
        <x:v>зелёный, морской, травянистый, цветочный и слегка жареный; у матча — умами</x:v>
      </x:c>
      <x:c r="K138" s="28" t="str">
        <x:v>камфорный, цветочный, цитрусовый</x:v>
      </x:c>
      <x:c r="L138" s="28" t="str">
        <x:v>гексаналь, цис-3-гексенол, линалоол, индол, катехины</x:v>
      </x:c>
      <x:c r="M138" s="28" t="str">
        <x:v>1,8-цинеол, линалоол</x:v>
      </x:c>
      <x:c r="N138" s="28" t="str">
        <x:v>цветочный</x:v>
      </x:c>
      <x:c r="O138" s="28" t="str">
        <x:v>линалоол</x:v>
      </x:c>
      <x:c r="P138" s="28" t="str">
        <x:v>общие ароматические соединения, пересечение ароматических семейств</x:v>
      </x:c>
      <x:c r="Q138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138" s="28" t="str">
        <x:v>сухость и лёгкая горечь</x:v>
      </x:c>
      <x:c r="S138" s="28" t="str">
        <x:v>водный настой или суспензия цельного порошка матча; полифенолы и аминокислоты</x:v>
      </x:c>
      <x:c r="T138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138" s="28" t="str">
        <x:v>Зелёный чай имеет профиль «зелёный, морской, травянистый, цветочный и слегка жареный; у матча — умами». Партнёр «кардамон» относится к группе «Специи» и даёт камфорный, цветочный, цитрусовый. Молекулярный мост создают линалоол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линалоол.</x:v>
      </x:c>
      <x:c r="V138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W138" s="28" t="str">
        <x:v>ваниль, апельсин или мёд</x:v>
      </x:c>
      <x:c r="X138" s="28" t="str">
        <x:v>чайный настой, холодный чай, кордиал, молочный пунш, десерт или соус с кардамон</x:v>
      </x:c>
      <x:c r="Y138" s="28" t="str">
        <x:v>напитки</x:v>
      </x:c>
      <x:c r="Z138" s="28" t="str">
        <x:v>Средняя</x:v>
      </x:c>
      <x:c r="AA138" s="28" t="str">
        <x:v>The Art &amp; Science of Foodpairing.pdf</x:v>
      </x:c>
      <x:c r="AB138" s="28" t="str">
        <x:v>The Art &amp; Science of Foodpairing.pdf: 256</x:v>
      </x:c>
      <x:c r="AC138" s="28" t="str">
        <x:v>Пара встречается как grid; научное объяснение сформировано по ароматическому профилю и пищевой матрице.</x:v>
      </x:c>
      <x:c r="AD138" s="28" t="n">
        <x:v>1</x:v>
      </x:c>
      <x:c r="AE138" s="28" t="n">
        <x:v>1</x:v>
      </x:c>
      <x:c r="AF138" s="28" t="n">
        <x:f>IF(Z138="Высокая",3,IF(Z138="Средняя",2,1))+AD138*2+MIN(AE138,3)</x:f>
        <x:v>5</x:v>
      </x:c>
    </x:row>
    <x:row r="139" ht="62" customHeight="1">
      <x:c r="A139" s="28" t="str">
        <x:v>NCT-0138</x:v>
      </x:c>
      <x:c r="B139" s="28" t="str">
        <x:v>зелёный чай</x:v>
      </x:c>
      <x:c r="C139" s="28" t="str">
        <x:v>Универсальные</x:v>
      </x:c>
      <x:c r="D139" s="28" t="str">
        <x:v>зелёный чай</x:v>
      </x:c>
      <x:c r="E139" s="28" t="str">
        <x:v>jasmine tea | sencha tea</x:v>
      </x:c>
      <x:c r="F139" s="28" t="str">
        <x:v>Чай</x:v>
      </x:c>
      <x:c r="G139" s="28" t="str">
        <x:v>корица и кассия</x:v>
      </x:c>
      <x:c r="H139" s="28" t="str">
        <x:v>cinnaman and cassia bark</x:v>
      </x:c>
      <x:c r="I139" s="28" t="str">
        <x:v>Специи</x:v>
      </x:c>
      <x:c r="J139" s="28" t="str">
        <x:v>зелёный, морской, травянистый, цветочный и слегка жареный; у матча — умами</x:v>
      </x:c>
      <x:c r="K139" s="28" t="str">
        <x:v>древесный, пряный</x:v>
      </x:c>
      <x:c r="L139" s="28" t="str">
        <x:v>гексаналь, цис-3-гексенол, линалоол, индол, катехины</x:v>
      </x:c>
      <x:c r="M139" s="28" t="str">
        <x:v>циннамальдегид, эвгенол</x:v>
      </x:c>
      <x:c r="N139" s="28" t="str">
        <x:v>прямое пересечение семейств не является единственным объяснением</x:v>
      </x:c>
      <x:c r="O139" s="28" t="str">
        <x:v>надежная общая ключевая молекула не подтверждена</x:v>
      </x:c>
      <x:c r="P139" s="28" t="str">
        <x:v>сенсорная комплементарность</x:v>
      </x:c>
      <x:c r="Q139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139" s="28" t="str">
        <x:v>сухость и лёгкая горечь</x:v>
      </x:c>
      <x:c r="S139" s="28" t="str">
        <x:v>водный настой или суспензия цельного порошка матча; полифенолы и аминокислоты</x:v>
      </x:c>
      <x:c r="T139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139" s="28" t="str">
        <x:v>Зелёный чай имеет профиль «зелёный, морской, травянистый, цветочный и слегка жареный; у матча — умами». Партнёр «корица и кассия» относится к группе «Специи» и даёт древесный, пряный.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139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W139" s="28" t="str">
        <x:v>ваниль, апельсин или мёд</x:v>
      </x:c>
      <x:c r="X139" s="28" t="str">
        <x:v>чайный настой, холодный чай, кордиал, молочный пунш, десерт или соус с корица и кассия</x:v>
      </x:c>
      <x:c r="Y139" s="28" t="str">
        <x:v>напитки</x:v>
      </x:c>
      <x:c r="Z139" s="28" t="str">
        <x:v>Средняя</x:v>
      </x:c>
      <x:c r="AA139" s="28" t="str">
        <x:v>The Art &amp; Science of Foodpairing.pdf</x:v>
      </x:c>
      <x:c r="AB139" s="28" t="str">
        <x:v>The Art &amp; Science of Foodpairing.pdf: 130</x:v>
      </x:c>
      <x:c r="AC139" s="28" t="str">
        <x:v>Пара встречается как grid; научное объяснение сформировано по ароматическому профилю и пищевой матрице.</x:v>
      </x:c>
      <x:c r="AD139" s="28" t="n">
        <x:v>1</x:v>
      </x:c>
      <x:c r="AE139" s="28" t="n">
        <x:v>2</x:v>
      </x:c>
      <x:c r="AF139" s="28" t="n">
        <x:f>IF(Z139="Высокая",3,IF(Z139="Средняя",2,1))+AD139*2+MIN(AE139,3)</x:f>
        <x:v>6</x:v>
      </x:c>
    </x:row>
    <x:row r="140" ht="62" customHeight="1">
      <x:c r="A140" s="28" t="str">
        <x:v>NCT-0139</x:v>
      </x:c>
      <x:c r="B140" s="28" t="str">
        <x:v>зелёный чай</x:v>
      </x:c>
      <x:c r="C140" s="28" t="str">
        <x:v>Универсальные</x:v>
      </x:c>
      <x:c r="D140" s="28" t="str">
        <x:v>зелёный чай</x:v>
      </x:c>
      <x:c r="E140" s="28" t="str">
        <x:v>green tea</x:v>
      </x:c>
      <x:c r="F140" s="28" t="str">
        <x:v>Чай</x:v>
      </x:c>
      <x:c r="G140" s="28" t="str">
        <x:v>трюфель</x:v>
      </x:c>
      <x:c r="H140" s="28" t="str">
        <x:v>truffle</x:v>
      </x:c>
      <x:c r="I140" s="28" t="str">
        <x:v>Прочее</x:v>
      </x:c>
      <x:c r="J140" s="28" t="str">
        <x:v>зелёный, морской, травянистый, цветочный и слегка жареный; у матча — умами</x:v>
      </x:c>
      <x:c r="K140" s="28" t="str">
        <x:v>профиль зависит от конкретного продукта</x:v>
      </x:c>
      <x:c r="L140" s="28" t="str">
        <x:v>гексаналь, цис-3-гексенол, линалоол, индол, катехины</x:v>
      </x:c>
      <x:c r="M140" s="28" t="str">
        <x:v>характерный профиль зависит от конкретного продукта</x:v>
      </x:c>
      <x:c r="N140" s="28" t="str">
        <x:v>прямое пересечение семейств не является единственным объяснением</x:v>
      </x:c>
      <x:c r="O140" s="28" t="str">
        <x:v>надежная общая ключевая молекула не подтверждена</x:v>
      </x:c>
      <x:c r="P140" s="28" t="str">
        <x:v>сенсорная комплементарность</x:v>
      </x:c>
      <x:c r="Q140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140" s="28" t="str">
        <x:v>сухость и лёгкая горечь</x:v>
      </x:c>
      <x:c r="S140" s="28" t="str">
        <x:v>водный настой или суспензия цельного порошка матча; полифенолы и аминокислоты</x:v>
      </x:c>
      <x:c r="T140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140" s="28" t="str">
        <x:v>Зелёный чай имеет профиль «зелёный, морской, травянистый, цветочный и слегка жареный; у матча — умами». Партнёр «трюфель» относится к группе «Прочее» и даёт профиль зависит от конкретного продукта.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140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W140" s="28" t="str">
        <x:v>соль, ваниль или карамель</x:v>
      </x:c>
      <x:c r="X140" s="28" t="str">
        <x:v>чайный настой, холодный чай, кордиал, молочный пунш, десерт или соус с трюфель</x:v>
      </x:c>
      <x:c r="Y140" s="28" t="str">
        <x:v>напитки</x:v>
      </x:c>
      <x:c r="Z140" s="28" t="str">
        <x:v>Средняя</x:v>
      </x:c>
      <x:c r="AA140" s="28" t="str">
        <x:v>The Art &amp; Science of Foodpairing.pdf</x:v>
      </x:c>
      <x:c r="AB140" s="28" t="str">
        <x:v>The Art &amp; Science of Foodpairing.pdf: 192</x:v>
      </x:c>
      <x:c r="AC140" s="28" t="str">
        <x:v>Пара встречается как grid; научное объяснение сформировано по ароматическому профилю и пищевой матрице.</x:v>
      </x:c>
      <x:c r="AD140" s="28" t="n">
        <x:v>1</x:v>
      </x:c>
      <x:c r="AE140" s="28" t="n">
        <x:v>1</x:v>
      </x:c>
      <x:c r="AF140" s="28" t="n">
        <x:f>IF(Z140="Высокая",3,IF(Z140="Средняя",2,1))+AD140*2+MIN(AE140,3)</x:f>
        <x:v>5</x:v>
      </x:c>
    </x:row>
    <x:row r="141" ht="62" customHeight="1">
      <x:c r="A141" s="28" t="str">
        <x:v>NCT-0140</x:v>
      </x:c>
      <x:c r="B141" s="28" t="str">
        <x:v>каштан</x:v>
      </x:c>
      <x:c r="C141" s="28" t="str">
        <x:v>Десерты и выпечка</x:v>
      </x:c>
      <x:c r="D141" s="28" t="str">
        <x:v>каштан</x:v>
      </x:c>
      <x:c r="E141" s="28" t="str">
        <x:v>Каштан</x:v>
      </x:c>
      <x:c r="F141" s="28" t="str">
        <x:v>Орехи и семена</x:v>
      </x:c>
      <x:c r="G141" s="28" t="str">
        <x:v>апельсины</x:v>
      </x:c>
      <x:c r="H141" s="28" t="str">
        <x:v>апельсины</x:v>
      </x:c>
      <x:c r="I141" s="28" t="str">
        <x:v>Фрукты и ягоды</x:v>
      </x:c>
      <x:c r="J141" s="28" t="str">
        <x:v>крахмалистый, сладкий, древесный, слегка какаовый и печёный</x:v>
      </x:c>
      <x:c r="K141" s="28" t="str">
        <x:v>сладкий, цитрусовый</x:v>
      </x:c>
      <x:c r="L141" s="28" t="str">
        <x:v>фураны, мальтол, пиразины, альдегиды</x:v>
      </x:c>
      <x:c r="M141" s="28" t="str">
        <x:v>лимонен, линалоол</x:v>
      </x:c>
      <x:c r="N141" s="28" t="str">
        <x:v>прямое пересечение семейств не является единственным объяснением</x:v>
      </x:c>
      <x:c r="O141" s="28" t="str">
        <x:v>надежная общая ключевая молекула не подтверждена</x:v>
      </x:c>
      <x:c r="P141" s="28" t="str">
        <x:v>контраст кислоты и жирной/горькой матрицы</x:v>
      </x:c>
      <x:c r="Q14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41" s="28" t="str">
        <x:v>минимальный</x:v>
      </x:c>
      <x:c r="S141" s="28" t="str">
        <x:v>крахмальная, сравнительно нежирная; после приготовления становится пюреобразной Водная фруктовая фаза требует эмульсии или мелкого измельчения, если орех или шоколад вводится как паста.</x:v>
      </x:c>
      <x:c r="T141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41" s="28" t="str">
        <x:v>Каштан имеет профиль «крахмалистый, сладкий, древесный, слегка какаовый и печёный». Партнёр «апельсины»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41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W141" s="28" t="str">
        <x:v>ваниль, цитрус или молочный жир</x:v>
      </x:c>
      <x:c r="X141" s="28" t="str">
        <x:v>пралине, паста, выпечка, гарнир, соус, молочный или коктейльный компонент с апельсины</x:v>
      </x:c>
      <x:c r="Y141" s="28" t="str">
        <x:v>десерты</x:v>
      </x:c>
      <x:c r="Z141" s="28" t="str">
        <x:v>Гипотеза / практическая</x:v>
      </x:c>
      <x:c r="AA141" s="28" t="str">
        <x:v>Таблица сочетания(1).pdf</x:v>
      </x:c>
      <x:c r="AB141" s="28" t="str">
        <x:v>Таблица сочетания(1).pdf: 4</x:v>
      </x:c>
      <x:c r="AC141" s="28" t="str">
        <x:v>Пара встречается как table; научное объяснение сформировано по ароматическому профилю и пищевой матрице.</x:v>
      </x:c>
      <x:c r="AD141" s="28" t="n">
        <x:v>1</x:v>
      </x:c>
      <x:c r="AE141" s="28" t="n">
        <x:v>1</x:v>
      </x:c>
      <x:c r="AF141" s="28" t="n">
        <x:f>IF(Z141="Высокая",3,IF(Z141="Средняя",2,1))+AD141*2+MIN(AE141,3)</x:f>
        <x:v>4</x:v>
      </x:c>
    </x:row>
    <x:row r="142" ht="62" customHeight="1">
      <x:c r="A142" s="28" t="str">
        <x:v>NCT-0141</x:v>
      </x:c>
      <x:c r="B142" s="28" t="str">
        <x:v>каштан</x:v>
      </x:c>
      <x:c r="C142" s="28" t="str">
        <x:v>Еда и соусы</x:v>
      </x:c>
      <x:c r="D142" s="28" t="str">
        <x:v>каштан</x:v>
      </x:c>
      <x:c r="E142" s="28" t="str">
        <x:v>Каштаны | каштаны</x:v>
      </x:c>
      <x:c r="F142" s="28" t="str">
        <x:v>Орехи и семена</x:v>
      </x:c>
      <x:c r="G142" s="28" t="str">
        <x:v>баранина</x:v>
      </x:c>
      <x:c r="H142" s="28" t="str">
        <x:v>Баранина | баранина</x:v>
      </x:c>
      <x:c r="I142" s="28" t="str">
        <x:v>Мясо и птица</x:v>
      </x:c>
      <x:c r="J142" s="28" t="str">
        <x:v>крахмалистый, сладкий, древесный, слегка какаовый и печёный</x:v>
      </x:c>
      <x:c r="K142" s="28" t="str">
        <x:v>жареный, мясной и умами</x:v>
      </x:c>
      <x:c r="L142" s="28" t="str">
        <x:v>фураны, мальтол, пиразины, альдегиды</x:v>
      </x:c>
      <x:c r="M142" s="28" t="str">
        <x:v>пиразины, сернистые соединения</x:v>
      </x:c>
      <x:c r="N142" s="28" t="str">
        <x:v>прямое пересечение семейств не является единственным объяснением</x:v>
      </x:c>
      <x:c r="O142" s="28" t="str">
        <x:v>пиразины</x:v>
      </x:c>
      <x:c r="P142" s="28" t="str">
        <x:v>общие ароматические соединения, жареная химия и реакции Майяра, солёно-умами контраст</x:v>
      </x:c>
      <x:c r="Q14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42" s="28" t="str">
        <x:v>минимальный</x:v>
      </x:c>
      <x:c r="S142" s="28" t="str">
        <x:v>крахмальная, сравнительно нежирная; после приготовления становится пюреобразной</x:v>
      </x:c>
      <x:c r="T142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42" s="28" t="str">
        <x:v>Каштан имеет профиль «крахмалистый, сладкий, древесный, слегка какаовый и печёный». Партнёр «баранина»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V142" s="28" t="str">
        <x:v>сырой каштан жёсткий; требуется надрез перед запеканием; водянистое пюре размывает аромат</x:v>
      </x:c>
      <x:c r="W142" s="28" t="str">
        <x:v>соль, соевый соус, коричневое масло или специя</x:v>
      </x:c>
      <x:c r="X142" s="28" t="str">
        <x:v>пралине, паста, выпечка, гарнир, соус, молочный или коктейльный компонент с баранина</x:v>
      </x:c>
      <x:c r="Y142" s="28" t="str">
        <x:v>еда, десерты, соусы/маринады</x:v>
      </x:c>
      <x:c r="Z142" s="28" t="str">
        <x:v>Средняя</x:v>
      </x:c>
      <x:c r="AA142" s="28" t="str">
        <x:v>Тезариус вкусов (Ники Сегнит)(1).pdf</x:v>
      </x:c>
      <x:c r="AB142" s="28" t="str">
        <x:v>Тезариус вкусов (Ники Сегнит)(1).pdf: 130, 616</x:v>
      </x:c>
      <x:c r="AC142" s="28" t="str">
        <x:v>Пара встречается как thesaurus; научное объяснение сформировано по ароматическому профилю и пищевой матрице.</x:v>
      </x:c>
      <x:c r="AD142" s="28" t="n">
        <x:v>1</x:v>
      </x:c>
      <x:c r="AE142" s="28" t="n">
        <x:v>2</x:v>
      </x:c>
      <x:c r="AF142" s="28" t="n">
        <x:f>IF(Z142="Высокая",3,IF(Z142="Средняя",2,1))+AD142*2+MIN(AE142,3)</x:f>
        <x:v>6</x:v>
      </x:c>
    </x:row>
    <x:row r="143" ht="62" customHeight="1">
      <x:c r="A143" s="28" t="str">
        <x:v>NCT-0142</x:v>
      </x:c>
      <x:c r="B143" s="28" t="str">
        <x:v>каштан</x:v>
      </x:c>
      <x:c r="C143" s="28" t="str">
        <x:v>Универсальные</x:v>
      </x:c>
      <x:c r="D143" s="28" t="str">
        <x:v>каштан</x:v>
      </x:c>
      <x:c r="E143" s="28" t="str">
        <x:v>Каштаны | каштаны</x:v>
      </x:c>
      <x:c r="F143" s="28" t="str">
        <x:v>Орехи и семена</x:v>
      </x:c>
      <x:c r="G143" s="28" t="str">
        <x:v>ваниль</x:v>
      </x:c>
      <x:c r="H143" s="28" t="str">
        <x:v>Ваниль | ваниль</x:v>
      </x:c>
      <x:c r="I143" s="28" t="str">
        <x:v>Специи</x:v>
      </x:c>
      <x:c r="J143" s="28" t="str">
        <x:v>крахмалистый, сладкий, древесный, слегка какаовый и печёный</x:v>
      </x:c>
      <x:c r="K143" s="28" t="str">
        <x:v>ванильный, цветочный</x:v>
      </x:c>
      <x:c r="L143" s="28" t="str">
        <x:v>фураны, мальтол, пиразины, альдегиды</x:v>
      </x:c>
      <x:c r="M143" s="28" t="str">
        <x:v>ванилин</x:v>
      </x:c>
      <x:c r="N143" s="28" t="str">
        <x:v>прямое пересечение семейств не является единственным объяснением</x:v>
      </x:c>
      <x:c r="O143" s="28" t="str">
        <x:v>надежная общая ключевая молекула не подтверждена</x:v>
      </x:c>
      <x:c r="P143" s="28" t="str">
        <x:v>сенсорная комплементарность</x:v>
      </x:c>
      <x:c r="Q14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43" s="28" t="str">
        <x:v>минимальный</x:v>
      </x:c>
      <x:c r="S143" s="28" t="str">
        <x:v>крахмальная, сравнительно нежирная; после приготовления становится пюреобразной</x:v>
      </x:c>
      <x:c r="T143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43" s="28" t="str">
        <x:v>Каштан имеет профиль «крахмалистый, сладкий, древесный, слегка какаовый и печёный».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43" s="28" t="str">
        <x:v>сырой каштан жёсткий; требуется надрез перед запеканием; водянистое пюре размывает аромат</x:v>
      </x:c>
      <x:c r="W143" s="28" t="str">
        <x:v>ваниль, апельсин или мёд</x:v>
      </x:c>
      <x:c r="X143" s="28" t="str">
        <x:v>пралине, паста, выпечка, гарнир, соус, молочный или коктейльный компонент с ваниль</x:v>
      </x:c>
      <x:c r="Y143" s="28" t="str">
        <x:v>десерты</x:v>
      </x:c>
      <x:c r="Z143" s="28" t="str">
        <x:v>Средняя</x:v>
      </x:c>
      <x:c r="AA143" s="28" t="str">
        <x:v>Тезариус вкусов (Ники Сегнит)(1).pdf</x:v>
      </x:c>
      <x:c r="AB143" s="28" t="str">
        <x:v>Тезариус вкусов (Ники Сегнит)(1).pdf: 616, 917</x:v>
      </x:c>
      <x:c r="AC143" s="28" t="str">
        <x:v>Пара встречается как thesaurus; научное объяснение сформировано по ароматическому профилю и пищевой матрице.</x:v>
      </x:c>
      <x:c r="AD143" s="28" t="n">
        <x:v>1</x:v>
      </x:c>
      <x:c r="AE143" s="28" t="n">
        <x:v>2</x:v>
      </x:c>
      <x:c r="AF143" s="28" t="n">
        <x:f>IF(Z143="Высокая",3,IF(Z143="Средняя",2,1))+AD143*2+MIN(AE143,3)</x:f>
        <x:v>6</x:v>
      </x:c>
    </x:row>
    <x:row r="144" ht="62" customHeight="1">
      <x:c r="A144" s="28" t="str">
        <x:v>NCT-0143</x:v>
      </x:c>
      <x:c r="B144" s="28" t="str">
        <x:v>каштан</x:v>
      </x:c>
      <x:c r="C144" s="28" t="str">
        <x:v>Универсальные</x:v>
      </x:c>
      <x:c r="D144" s="28" t="str">
        <x:v>каштан</x:v>
      </x:c>
      <x:c r="E144" s="28" t="str">
        <x:v>Каштан</x:v>
      </x:c>
      <x:c r="F144" s="28" t="str">
        <x:v>Орехи и семена</x:v>
      </x:c>
      <x:c r="G144" s="28" t="str">
        <x:v>гвоздика</x:v>
      </x:c>
      <x:c r="H144" s="28" t="str">
        <x:v>гвоздика</x:v>
      </x:c>
      <x:c r="I144" s="28" t="str">
        <x:v>Специи</x:v>
      </x:c>
      <x:c r="J144" s="28" t="str">
        <x:v>крахмалистый, сладкий, древесный, слегка какаовый и печёный</x:v>
      </x:c>
      <x:c r="K144" s="28" t="str">
        <x:v>древесный, пряный, фенольный</x:v>
      </x:c>
      <x:c r="L144" s="28" t="str">
        <x:v>фураны, мальтол, пиразины, альдегиды</x:v>
      </x:c>
      <x:c r="M144" s="28" t="str">
        <x:v>эвгенол</x:v>
      </x:c>
      <x:c r="N144" s="28" t="str">
        <x:v>прямое пересечение семейств не является единственным объяснением</x:v>
      </x:c>
      <x:c r="O144" s="28" t="str">
        <x:v>надежная общая ключевая молекула не подтверждена</x:v>
      </x:c>
      <x:c r="P144" s="28" t="str">
        <x:v>сенсорная комплементарность</x:v>
      </x:c>
      <x:c r="Q14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44" s="28" t="str">
        <x:v>минимальный</x:v>
      </x:c>
      <x:c r="S144" s="28" t="str">
        <x:v>крахмальная, сравнительно нежирная; после приготовления становится пюреобразной</x:v>
      </x:c>
      <x:c r="T144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44" s="28" t="str">
        <x:v>Каштан имеет профиль «крахмалистый, сладкий, древесный, слегка какаовый и печёный». Партнёр «гвоздика» относится к группе «Специи» и даёт древесный, пряный, фенольный.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44" s="28" t="str">
        <x:v>сырой каштан жёсткий; требуется надрез перед запеканием; водянистое пюре размывает аромат</x:v>
      </x:c>
      <x:c r="W144" s="28" t="str">
        <x:v>ваниль, апельсин или мёд</x:v>
      </x:c>
      <x:c r="X144" s="28" t="str">
        <x:v>пралине, паста, выпечка, гарнир, соус, молочный или коктейльный компонент с гвоздика</x:v>
      </x:c>
      <x:c r="Y144" s="28" t="str">
        <x:v>десерты</x:v>
      </x:c>
      <x:c r="Z144" s="28" t="str">
        <x:v>Гипотеза / практическая</x:v>
      </x:c>
      <x:c r="AA144" s="28" t="str">
        <x:v>Таблица сочетания(1).pdf</x:v>
      </x:c>
      <x:c r="AB144" s="28" t="str">
        <x:v>Таблица сочетания(1).pdf: 4</x:v>
      </x:c>
      <x:c r="AC144" s="28" t="str">
        <x:v>Пара встречается как table; научное объяснение сформировано по ароматическому профилю и пищевой матрице.</x:v>
      </x:c>
      <x:c r="AD144" s="28" t="n">
        <x:v>1</x:v>
      </x:c>
      <x:c r="AE144" s="28" t="n">
        <x:v>1</x:v>
      </x:c>
      <x:c r="AF144" s="28" t="n">
        <x:f>IF(Z144="Высокая",3,IF(Z144="Средняя",2,1))+AD144*2+MIN(AE144,3)</x:f>
        <x:v>4</x:v>
      </x:c>
    </x:row>
    <x:row r="145" ht="62" customHeight="1">
      <x:c r="A145" s="28" t="str">
        <x:v>NCT-0144</x:v>
      </x:c>
      <x:c r="B145" s="28" t="str">
        <x:v>каштан</x:v>
      </x:c>
      <x:c r="C145" s="28" t="str">
        <x:v>Еда и соусы</x:v>
      </x:c>
      <x:c r="D145" s="28" t="str">
        <x:v>каштан</x:v>
      </x:c>
      <x:c r="E145" s="28" t="str">
        <x:v>Каштаны | каштаны</x:v>
      </x:c>
      <x:c r="F145" s="28" t="str">
        <x:v>Орехи и семена</x:v>
      </x:c>
      <x:c r="G145" s="28" t="str">
        <x:v>грибы</x:v>
      </x:c>
      <x:c r="H145" s="28" t="str">
        <x:v>Грибы | грибы</x:v>
      </x:c>
      <x:c r="I145" s="28" t="str">
        <x:v>Овощи, бобовые и грибы</x:v>
      </x:c>
      <x:c r="J145" s="28" t="str">
        <x:v>крахмалистый, сладкий, древесный, слегка какаовый и печёный</x:v>
      </x:c>
      <x:c r="K145" s="28" t="str">
        <x:v>зелёный, землистый или умами</x:v>
      </x:c>
      <x:c r="L145" s="28" t="str">
        <x:v>фураны, мальтол, пиразины, альдегиды</x:v>
      </x:c>
      <x:c r="M145" s="28" t="str">
        <x:v>альдегиды, сернистые соединения</x:v>
      </x:c>
      <x:c r="N145" s="28" t="str">
        <x:v>прямое пересечение семейств не является единственным объяснением</x:v>
      </x:c>
      <x:c r="O145" s="28" t="str">
        <x:v>альдегиды</x:v>
      </x:c>
      <x:c r="P145" s="28" t="str">
        <x:v>общие ароматические соединения</x:v>
      </x:c>
      <x:c r="Q14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45" s="28" t="str">
        <x:v>минимальный</x:v>
      </x:c>
      <x:c r="S145" s="28" t="str">
        <x:v>крахмальная, сравнительно нежирная; после приготовления становится пюреобразной</x:v>
      </x:c>
      <x:c r="T145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45" s="28" t="str">
        <x:v>Каштан имеет профиль «крахмалистый, сладкий, древесный, слегка какаовый и печёный». Партнёр «грибы»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45" s="28" t="str">
        <x:v>сырой каштан жёсткий; требуется надрез перед запеканием; водянистое пюре размывает аромат</x:v>
      </x:c>
      <x:c r="W145" s="28" t="str">
        <x:v>соль, ваниль или карамель</x:v>
      </x:c>
      <x:c r="X145" s="28" t="str">
        <x:v>пралине, паста, выпечка, гарнир, соус, молочный или коктейльный компонент с грибы</x:v>
      </x:c>
      <x:c r="Y145" s="28" t="str">
        <x:v>еда, десерты, соусы/маринады</x:v>
      </x:c>
      <x:c r="Z145" s="28" t="str">
        <x:v>Средняя</x:v>
      </x:c>
      <x:c r="AA145" s="28" t="str">
        <x:v>Тезариус вкусов (Ники Сегнит)(1).pdf</x:v>
      </x:c>
      <x:c r="AB145" s="28" t="str">
        <x:v>Тезариус вкусов (Ники Сегнит)(1).pdf: 197, 617</x:v>
      </x:c>
      <x:c r="AC145" s="28" t="str">
        <x:v>Пара встречается как thesaurus; научное объяснение сформировано по ароматическому профилю и пищевой матрице.</x:v>
      </x:c>
      <x:c r="AD145" s="28" t="n">
        <x:v>1</x:v>
      </x:c>
      <x:c r="AE145" s="28" t="n">
        <x:v>2</x:v>
      </x:c>
      <x:c r="AF145" s="28" t="n">
        <x:f>IF(Z145="Высокая",3,IF(Z145="Средняя",2,1))+AD145*2+MIN(AE145,3)</x:f>
        <x:v>6</x:v>
      </x:c>
    </x:row>
    <x:row r="146" ht="62" customHeight="1">
      <x:c r="A146" s="28" t="str">
        <x:v>NCT-0145</x:v>
      </x:c>
      <x:c r="B146" s="28" t="str">
        <x:v>каштан</x:v>
      </x:c>
      <x:c r="C146" s="28" t="str">
        <x:v>Десерты и выпечка</x:v>
      </x:c>
      <x:c r="D146" s="28" t="str">
        <x:v>каштан</x:v>
      </x:c>
      <x:c r="E146" s="28" t="str">
        <x:v>Каштаны | каштан | каштаны</x:v>
      </x:c>
      <x:c r="F146" s="28" t="str">
        <x:v>Орехи и семена</x:v>
      </x:c>
      <x:c r="G146" s="28" t="str">
        <x:v>груша</x:v>
      </x:c>
      <x:c r="H146" s="28" t="str">
        <x:v>Груша | груша</x:v>
      </x:c>
      <x:c r="I146" s="28" t="str">
        <x:v>Фрукты и ягоды</x:v>
      </x:c>
      <x:c r="J146" s="28" t="str">
        <x:v>крахмалистый, сладкий, древесный, слегка какаовый и печёный</x:v>
      </x:c>
      <x:c r="K146" s="28" t="str">
        <x:v>фруктовый, цветочный и свежий</x:v>
      </x:c>
      <x:c r="L146" s="28" t="str">
        <x:v>фураны, мальтол, пиразины, альдегиды</x:v>
      </x:c>
      <x:c r="M146" s="28" t="str">
        <x:v>альдегиды, эфиры</x:v>
      </x:c>
      <x:c r="N146" s="28" t="str">
        <x:v>прямое пересечение семейств не является единственным объяснением</x:v>
      </x:c>
      <x:c r="O146" s="28" t="str">
        <x:v>альдегиды</x:v>
      </x:c>
      <x:c r="P146" s="28" t="str">
        <x:v>общие ароматические соединения, контраст кислоты и жирной/горькой матрицы</x:v>
      </x:c>
      <x:c r="Q14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46" s="28" t="str">
        <x:v>минимальный</x:v>
      </x:c>
      <x:c r="S146" s="28" t="str">
        <x:v>крахмальная, сравнительно нежирная; после приготовления становится пюреобразной Водная фруктовая фаза требует эмульсии или мелкого измельчения, если орех или шоколад вводится как паста.</x:v>
      </x:c>
      <x:c r="T146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46" s="28" t="str">
        <x:v>Каштан имеет профиль «крахмалистый, сладкий, древесный, слегка какаовый и печёный». Партнёр «груша»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46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W146" s="28" t="str">
        <x:v>ваниль, цитрус или молочный жир</x:v>
      </x:c>
      <x:c r="X146" s="28" t="str">
        <x:v>пралине, паста, выпечка, гарнир, соус, молочный или коктейльный компонент с груша</x:v>
      </x:c>
      <x:c r="Y146" s="28" t="str">
        <x:v>десерты</x:v>
      </x:c>
      <x:c r="Z146" s="28" t="str">
        <x:v>Высокая</x:v>
      </x:c>
      <x:c r="AA146" s="28" t="str">
        <x:v>Таблица сочетания(1).pdf | Тезариус вкусов (Ники Сегнит)(1).pdf</x:v>
      </x:c>
      <x:c r="AB146" s="28" t="str">
        <x:v>Таблица сочетания(1).pdf: 16; Тезариус вкусов (Ники Сегнит)(1).pdf: 617, 724</x:v>
      </x:c>
      <x:c r="AC146" s="28" t="str">
        <x:v>Пара встречается как table, thesaurus; научное объяснение сформировано по ароматическому профилю и пищевой матрице.</x:v>
      </x:c>
      <x:c r="AD146" s="28" t="n">
        <x:v>2</x:v>
      </x:c>
      <x:c r="AE146" s="28" t="n">
        <x:v>3</x:v>
      </x:c>
      <x:c r="AF146" s="28" t="n">
        <x:f>IF(Z146="Высокая",3,IF(Z146="Средняя",2,1))+AD146*2+MIN(AE146,3)</x:f>
        <x:v>10</x:v>
      </x:c>
    </x:row>
    <x:row r="147" ht="62" customHeight="1">
      <x:c r="A147" s="28" t="str">
        <x:v>NCT-0146</x:v>
      </x:c>
      <x:c r="B147" s="28" t="str">
        <x:v>каштан</x:v>
      </x:c>
      <x:c r="C147" s="28" t="str">
        <x:v>Десерты и выпечка</x:v>
      </x:c>
      <x:c r="D147" s="28" t="str">
        <x:v>каштан</x:v>
      </x:c>
      <x:c r="E147" s="28" t="str">
        <x:v>Каштан</x:v>
      </x:c>
      <x:c r="F147" s="28" t="str">
        <x:v>Орехи и семена</x:v>
      </x:c>
      <x:c r="G147" s="28" t="str">
        <x:v>груши</x:v>
      </x:c>
      <x:c r="H147" s="28" t="str">
        <x:v>груши</x:v>
      </x:c>
      <x:c r="I147" s="28" t="str">
        <x:v>Фрукты и ягоды</x:v>
      </x:c>
      <x:c r="J147" s="28" t="str">
        <x:v>крахмалистый, сладкий, древесный, слегка какаовый и печёный</x:v>
      </x:c>
      <x:c r="K147" s="28" t="str">
        <x:v>фруктовый, цветочный и свежий</x:v>
      </x:c>
      <x:c r="L147" s="28" t="str">
        <x:v>фураны, мальтол, пиразины, альдегиды</x:v>
      </x:c>
      <x:c r="M147" s="28" t="str">
        <x:v>альдегиды, эфиры</x:v>
      </x:c>
      <x:c r="N147" s="28" t="str">
        <x:v>прямое пересечение семейств не является единственным объяснением</x:v>
      </x:c>
      <x:c r="O147" s="28" t="str">
        <x:v>альдегиды</x:v>
      </x:c>
      <x:c r="P147" s="28" t="str">
        <x:v>общие ароматические соединения, контраст кислоты и жирной/горькой матрицы</x:v>
      </x:c>
      <x:c r="Q14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47" s="28" t="str">
        <x:v>минимальный</x:v>
      </x:c>
      <x:c r="S147" s="28" t="str">
        <x:v>крахмальная, сравнительно нежирная; после приготовления становится пюреобразной Водная фруктовая фаза требует эмульсии или мелкого измельчения, если орех или шоколад вводится как паста.</x:v>
      </x:c>
      <x:c r="T147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47" s="28" t="str">
        <x:v>Каштан имеет профиль «крахмалистый, сладкий, древесный, слегка какаовый и печёный». Партнёр «груши»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47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W147" s="28" t="str">
        <x:v>ваниль, цитрус или молочный жир</x:v>
      </x:c>
      <x:c r="X147" s="28" t="str">
        <x:v>пралине, паста, выпечка, гарнир, соус, молочный или коктейльный компонент с груши</x:v>
      </x:c>
      <x:c r="Y147" s="28" t="str">
        <x:v>десерты</x:v>
      </x:c>
      <x:c r="Z147" s="28" t="str">
        <x:v>Гипотеза / практическая</x:v>
      </x:c>
      <x:c r="AA147" s="28" t="str">
        <x:v>Таблица сочетания(1).pdf</x:v>
      </x:c>
      <x:c r="AB147" s="28" t="str">
        <x:v>Таблица сочетания(1).pdf: 4</x:v>
      </x:c>
      <x:c r="AC147" s="28" t="str">
        <x:v>Пара встречается как table; научное объяснение сформировано по ароматическому профилю и пищевой матрице.</x:v>
      </x:c>
      <x:c r="AD147" s="28" t="n">
        <x:v>1</x:v>
      </x:c>
      <x:c r="AE147" s="28" t="n">
        <x:v>1</x:v>
      </x:c>
      <x:c r="AF147" s="28" t="n">
        <x:f>IF(Z147="Высокая",3,IF(Z147="Средняя",2,1))+AD147*2+MIN(AE147,3)</x:f>
        <x:v>4</x:v>
      </x:c>
    </x:row>
    <x:row r="148" ht="62" customHeight="1">
      <x:c r="A148" s="28" t="str">
        <x:v>NCT-0147</x:v>
      </x:c>
      <x:c r="B148" s="28" t="str">
        <x:v>каштан</x:v>
      </x:c>
      <x:c r="C148" s="28" t="str">
        <x:v>Универсальные</x:v>
      </x:c>
      <x:c r="D148" s="28" t="str">
        <x:v>каштан</x:v>
      </x:c>
      <x:c r="E148" s="28" t="str">
        <x:v>Каштан</x:v>
      </x:c>
      <x:c r="F148" s="28" t="str">
        <x:v>Орехи и семена</x:v>
      </x:c>
      <x:c r="G148" s="28" t="str">
        <x:v>изюм</x:v>
      </x:c>
      <x:c r="H148" s="28" t="str">
        <x:v>изюм</x:v>
      </x:c>
      <x:c r="I148" s="28" t="str">
        <x:v>Прочее</x:v>
      </x:c>
      <x:c r="J148" s="28" t="str">
        <x:v>крахмалистый, сладкий, древесный, слегка какаовый и печёный</x:v>
      </x:c>
      <x:c r="K148" s="28" t="str">
        <x:v>профиль зависит от конкретного продукта</x:v>
      </x:c>
      <x:c r="L148" s="28" t="str">
        <x:v>фураны, мальтол, пиразины, альдегиды</x:v>
      </x:c>
      <x:c r="M148" s="28" t="str">
        <x:v>характерный профиль зависит от конкретного продукта</x:v>
      </x:c>
      <x:c r="N148" s="28" t="str">
        <x:v>прямое пересечение семейств не является единственным объяснением</x:v>
      </x:c>
      <x:c r="O148" s="28" t="str">
        <x:v>надежная общая ключевая молекула не подтверждена</x:v>
      </x:c>
      <x:c r="P148" s="28" t="str">
        <x:v>сенсорная комплементарность</x:v>
      </x:c>
      <x:c r="Q14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48" s="28" t="str">
        <x:v>минимальный</x:v>
      </x:c>
      <x:c r="S148" s="28" t="str">
        <x:v>крахмальная, сравнительно нежирная; после приготовления становится пюреобразной</x:v>
      </x:c>
      <x:c r="T148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48" s="28" t="str">
        <x:v>Каштан имеет профиль «крахмалистый, сладкий, древесный, слегка какаовый и печёный». Партнёр «изюм»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48" s="28" t="str">
        <x:v>сырой каштан жёсткий; требуется надрез перед запеканием; водянистое пюре размывает аромат</x:v>
      </x:c>
      <x:c r="W148" s="28" t="str">
        <x:v>соль, ваниль или карамель</x:v>
      </x:c>
      <x:c r="X148" s="28" t="str">
        <x:v>пралине, паста, выпечка, гарнир, соус, молочный или коктейльный компонент с изюм</x:v>
      </x:c>
      <x:c r="Y148" s="28" t="str">
        <x:v>десерты</x:v>
      </x:c>
      <x:c r="Z148" s="28" t="str">
        <x:v>Гипотеза / практическая</x:v>
      </x:c>
      <x:c r="AA148" s="28" t="str">
        <x:v>Таблица сочетания(1).pdf</x:v>
      </x:c>
      <x:c r="AB148" s="28" t="str">
        <x:v>Таблица сочетания(1).pdf: 4</x:v>
      </x:c>
      <x:c r="AC148" s="28" t="str">
        <x:v>Пара встречается как table; научное объяснение сформировано по ароматическому профилю и пищевой матрице.</x:v>
      </x:c>
      <x:c r="AD148" s="28" t="n">
        <x:v>1</x:v>
      </x:c>
      <x:c r="AE148" s="28" t="n">
        <x:v>1</x:v>
      </x:c>
      <x:c r="AF148" s="28" t="n">
        <x:f>IF(Z148="Высокая",3,IF(Z148="Средняя",2,1))+AD148*2+MIN(AE148,3)</x:f>
        <x:v>4</x:v>
      </x:c>
    </x:row>
    <x:row r="149" ht="62" customHeight="1">
      <x:c r="A149" s="28" t="str">
        <x:v>NCT-0148</x:v>
      </x:c>
      <x:c r="B149" s="28" t="str">
        <x:v>каштан</x:v>
      </x:c>
      <x:c r="C149" s="28" t="str">
        <x:v>Десерты и выпечка</x:v>
      </x:c>
      <x:c r="D149" s="28" t="str">
        <x:v>каштан</x:v>
      </x:c>
      <x:c r="E149" s="28" t="str">
        <x:v>Каштан</x:v>
      </x:c>
      <x:c r="F149" s="28" t="str">
        <x:v>Орехи и семена</x:v>
      </x:c>
      <x:c r="G149" s="28" t="str">
        <x:v>инжир</x:v>
      </x:c>
      <x:c r="H149" s="28" t="str">
        <x:v>инжир</x:v>
      </x:c>
      <x:c r="I149" s="28" t="str">
        <x:v>Фрукты и ягоды</x:v>
      </x:c>
      <x:c r="J149" s="28" t="str">
        <x:v>крахмалистый, сладкий, древесный, слегка какаовый и печёный</x:v>
      </x:c>
      <x:c r="K149" s="28" t="str">
        <x:v>фруктовый, цветочный и свежий</x:v>
      </x:c>
      <x:c r="L149" s="28" t="str">
        <x:v>фураны, мальтол, пиразины, альдегиды</x:v>
      </x:c>
      <x:c r="M149" s="28" t="str">
        <x:v>альдегиды, эфиры</x:v>
      </x:c>
      <x:c r="N149" s="28" t="str">
        <x:v>прямое пересечение семейств не является единственным объяснением</x:v>
      </x:c>
      <x:c r="O149" s="28" t="str">
        <x:v>альдегиды</x:v>
      </x:c>
      <x:c r="P149" s="28" t="str">
        <x:v>общие ароматические соединения, контраст кислоты и жирной/горькой матрицы</x:v>
      </x:c>
      <x:c r="Q14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49" s="28" t="str">
        <x:v>минимальный</x:v>
      </x:c>
      <x:c r="S149" s="28" t="str">
        <x:v>крахмальная, сравнительно нежирная; после приготовления становится пюреобразной Водная фруктовая фаза требует эмульсии или мелкого измельчения, если орех или шоколад вводится как паста.</x:v>
      </x:c>
      <x:c r="T149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49" s="28" t="str">
        <x:v>Каштан имеет профиль «крахмалистый, сладкий, древесный, слегка какаовый и печёный». Партнёр «инжир»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49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W149" s="28" t="str">
        <x:v>ваниль, цитрус или молочный жир</x:v>
      </x:c>
      <x:c r="X149" s="28" t="str">
        <x:v>пралине, паста, выпечка, гарнир, соус, молочный или коктейльный компонент с инжир</x:v>
      </x:c>
      <x:c r="Y149" s="28" t="str">
        <x:v>десерты</x:v>
      </x:c>
      <x:c r="Z149" s="28" t="str">
        <x:v>Гипотеза / практическая</x:v>
      </x:c>
      <x:c r="AA149" s="28" t="str">
        <x:v>Таблица сочетания(1).pdf</x:v>
      </x:c>
      <x:c r="AB149" s="28" t="str">
        <x:v>Таблица сочетания(1).pdf: 4</x:v>
      </x:c>
      <x:c r="AC149" s="28" t="str">
        <x:v>Пара встречается как table; научное объяснение сформировано по ароматическому профилю и пищевой матрице.</x:v>
      </x:c>
      <x:c r="AD149" s="28" t="n">
        <x:v>1</x:v>
      </x:c>
      <x:c r="AE149" s="28" t="n">
        <x:v>1</x:v>
      </x:c>
      <x:c r="AF149" s="28" t="n">
        <x:f>IF(Z149="Высокая",3,IF(Z149="Средняя",2,1))+AD149*2+MIN(AE149,3)</x:f>
        <x:v>4</x:v>
      </x:c>
    </x:row>
    <x:row r="150" ht="62" customHeight="1">
      <x:c r="A150" s="28" t="str">
        <x:v>NCT-0149</x:v>
      </x:c>
      <x:c r="B150" s="28" t="str">
        <x:v>каштан</x:v>
      </x:c>
      <x:c r="C150" s="28" t="str">
        <x:v>Еда и соусы</x:v>
      </x:c>
      <x:c r="D150" s="28" t="str">
        <x:v>каштан</x:v>
      </x:c>
      <x:c r="E150" s="28" t="str">
        <x:v>Каштаны | каштаны</x:v>
      </x:c>
      <x:c r="F150" s="28" t="str">
        <x:v>Орехи и семена</x:v>
      </x:c>
      <x:c r="G150" s="28" t="str">
        <x:v>капуста</x:v>
      </x:c>
      <x:c r="H150" s="28" t="str">
        <x:v>Капуста | капуста</x:v>
      </x:c>
      <x:c r="I150" s="28" t="str">
        <x:v>Овощи, бобовые и грибы</x:v>
      </x:c>
      <x:c r="J150" s="28" t="str">
        <x:v>крахмалистый, сладкий, древесный, слегка какаовый и печёный</x:v>
      </x:c>
      <x:c r="K150" s="28" t="str">
        <x:v>зелёный, землистый или умами</x:v>
      </x:c>
      <x:c r="L150" s="28" t="str">
        <x:v>фураны, мальтол, пиразины, альдегиды</x:v>
      </x:c>
      <x:c r="M150" s="28" t="str">
        <x:v>альдегиды, сернистые соединения</x:v>
      </x:c>
      <x:c r="N150" s="28" t="str">
        <x:v>прямое пересечение семейств не является единственным объяснением</x:v>
      </x:c>
      <x:c r="O150" s="28" t="str">
        <x:v>альдегиды</x:v>
      </x:c>
      <x:c r="P150" s="28" t="str">
        <x:v>общие ароматические соединения</x:v>
      </x:c>
      <x:c r="Q15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50" s="28" t="str">
        <x:v>минимальный</x:v>
      </x:c>
      <x:c r="S150" s="28" t="str">
        <x:v>крахмальная, сравнительно нежирная; после приготовления становится пюреобразной</x:v>
      </x:c>
      <x:c r="T150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50" s="28" t="str">
        <x:v>Каштан имеет профиль «крахмалистый, сладкий, древесный, слегка какаовый и печёный». Партнёр «капуста»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50" s="28" t="str">
        <x:v>сырой каштан жёсткий; требуется надрез перед запеканием; водянистое пюре размывает аромат</x:v>
      </x:c>
      <x:c r="W150" s="28" t="str">
        <x:v>соль, ваниль или карамель</x:v>
      </x:c>
      <x:c r="X150" s="28" t="str">
        <x:v>пралине, паста, выпечка, гарнир, соус, молочный или коктейльный компонент с капуста</x:v>
      </x:c>
      <x:c r="Y150" s="28" t="str">
        <x:v>еда, десерты, соусы/маринады</x:v>
      </x:c>
      <x:c r="Z150" s="28" t="str">
        <x:v>Средняя</x:v>
      </x:c>
      <x:c r="AA150" s="28" t="str">
        <x:v>Тезариус вкусов (Ники Сегнит)(1).pdf</x:v>
      </x:c>
      <x:c r="AB150" s="28" t="str">
        <x:v>Тезариус вкусов (Ники Сегнит)(1).pdf: 311, 617</x:v>
      </x:c>
      <x:c r="AC150" s="28" t="str">
        <x:v>Пара встречается как thesaurus; научное объяснение сформировано по ароматическому профилю и пищевой матрице.</x:v>
      </x:c>
      <x:c r="AD150" s="28" t="n">
        <x:v>1</x:v>
      </x:c>
      <x:c r="AE150" s="28" t="n">
        <x:v>2</x:v>
      </x:c>
      <x:c r="AF150" s="28" t="n">
        <x:f>IF(Z150="Высокая",3,IF(Z150="Средняя",2,1))+AD150*2+MIN(AE150,3)</x:f>
        <x:v>6</x:v>
      </x:c>
    </x:row>
    <x:row r="151" ht="62" customHeight="1">
      <x:c r="A151" s="28" t="str">
        <x:v>NCT-0150</x:v>
      </x:c>
      <x:c r="B151" s="28" t="str">
        <x:v>каштан</x:v>
      </x:c>
      <x:c r="C151" s="28" t="str">
        <x:v>Универсальные</x:v>
      </x:c>
      <x:c r="D151" s="28" t="str">
        <x:v>каштан</x:v>
      </x:c>
      <x:c r="E151" s="28" t="str">
        <x:v>Каштан</x:v>
      </x:c>
      <x:c r="F151" s="28" t="str">
        <x:v>Орехи и семена</x:v>
      </x:c>
      <x:c r="G151" s="28" t="str">
        <x:v>кардамон</x:v>
      </x:c>
      <x:c r="H151" s="28" t="str">
        <x:v>кардамон</x:v>
      </x:c>
      <x:c r="I151" s="28" t="str">
        <x:v>Специи</x:v>
      </x:c>
      <x:c r="J151" s="28" t="str">
        <x:v>крахмалистый, сладкий, древесный, слегка какаовый и печёный</x:v>
      </x:c>
      <x:c r="K151" s="28" t="str">
        <x:v>камфорный, цветочный, цитрусовый</x:v>
      </x:c>
      <x:c r="L151" s="28" t="str">
        <x:v>фураны, мальтол, пиразины, альдегиды</x:v>
      </x:c>
      <x:c r="M151" s="28" t="str">
        <x:v>1,8-цинеол, линалоол</x:v>
      </x:c>
      <x:c r="N151" s="28" t="str">
        <x:v>прямое пересечение семейств не является единственным объяснением</x:v>
      </x:c>
      <x:c r="O151" s="28" t="str">
        <x:v>надежная общая ключевая молекула не подтверждена</x:v>
      </x:c>
      <x:c r="P151" s="28" t="str">
        <x:v>сенсорная комплементарность</x:v>
      </x:c>
      <x:c r="Q15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51" s="28" t="str">
        <x:v>минимальный</x:v>
      </x:c>
      <x:c r="S151" s="28" t="str">
        <x:v>крахмальная, сравнительно нежирная; после приготовления становится пюреобразной</x:v>
      </x:c>
      <x:c r="T151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51" s="28" t="str">
        <x:v>Каштан имеет профиль «крахмалистый, сладкий, древесный, слегка какаовый и печёный». Партнёр «кардамон» относится к группе «Специи» и даёт камфорный, цветочный,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51" s="28" t="str">
        <x:v>сырой каштан жёсткий; требуется надрез перед запеканием; водянистое пюре размывает аромат</x:v>
      </x:c>
      <x:c r="W151" s="28" t="str">
        <x:v>ваниль, апельсин или мёд</x:v>
      </x:c>
      <x:c r="X151" s="28" t="str">
        <x:v>пралине, паста, выпечка, гарнир, соус, молочный или коктейльный компонент с кардамон</x:v>
      </x:c>
      <x:c r="Y151" s="28" t="str">
        <x:v>десерты</x:v>
      </x:c>
      <x:c r="Z151" s="28" t="str">
        <x:v>Гипотеза / практическая</x:v>
      </x:c>
      <x:c r="AA151" s="28" t="str">
        <x:v>Таблица сочетания(1).pdf</x:v>
      </x:c>
      <x:c r="AB151" s="28" t="str">
        <x:v>Таблица сочетания(1).pdf: 4</x:v>
      </x:c>
      <x:c r="AC151" s="28" t="str">
        <x:v>Пара встречается как table; научное объяснение сформировано по ароматическому профилю и пищевой матрице.</x:v>
      </x:c>
      <x:c r="AD151" s="28" t="n">
        <x:v>1</x:v>
      </x:c>
      <x:c r="AE151" s="28" t="n">
        <x:v>1</x:v>
      </x:c>
      <x:c r="AF151" s="28" t="n">
        <x:f>IF(Z151="Высокая",3,IF(Z151="Средняя",2,1))+AD151*2+MIN(AE151,3)</x:f>
        <x:v>4</x:v>
      </x:c>
    </x:row>
    <x:row r="152" ht="62" customHeight="1">
      <x:c r="A152" s="28" t="str">
        <x:v>NCT-0151</x:v>
      </x:c>
      <x:c r="B152" s="28" t="str">
        <x:v>каштан</x:v>
      </x:c>
      <x:c r="C152" s="28" t="str">
        <x:v>Десерты и выпечка</x:v>
      </x:c>
      <x:c r="D152" s="28" t="str">
        <x:v>каштан</x:v>
      </x:c>
      <x:c r="E152" s="28" t="str">
        <x:v>Каштан</x:v>
      </x:c>
      <x:c r="F152" s="28" t="str">
        <x:v>Орехи и семена</x:v>
      </x:c>
      <x:c r="G152" s="28" t="str">
        <x:v>кленовый сироп</x:v>
      </x:c>
      <x:c r="H152" s="28" t="str">
        <x:v>кленовый сироп</x:v>
      </x:c>
      <x:c r="I152" s="28" t="str">
        <x:v>Выпечка, сахара и десерты</x:v>
      </x:c>
      <x:c r="J152" s="28" t="str">
        <x:v>крахмалистый, сладкий, древесный, слегка какаовый и печёный</x:v>
      </x:c>
      <x:c r="K152" s="28" t="str">
        <x:v>сладкий, карамельный и жареный</x:v>
      </x:c>
      <x:c r="L152" s="28" t="str">
        <x:v>фураны, мальтол, пиразины, альдегиды</x:v>
      </x:c>
      <x:c r="M152" s="28" t="str">
        <x:v>мальтол, пиразины, фураны</x:v>
      </x:c>
      <x:c r="N152" s="28" t="str">
        <x:v>прямое пересечение семейств не является единственным объяснением</x:v>
      </x:c>
      <x:c r="O152" s="28" t="str">
        <x:v>мальтол, пиразины, фураны</x:v>
      </x:c>
      <x:c r="P152" s="28" t="str">
        <x:v>общие ароматические соединения, жареная химия и реакции Майяра</x:v>
      </x:c>
      <x:c r="Q15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52" s="28" t="str">
        <x:v>минимальный</x:v>
      </x:c>
      <x:c r="S152" s="28" t="str">
        <x:v>крахмальная, сравнительно нежирная; после приготовления становится пюреобразной</x:v>
      </x:c>
      <x:c r="T152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52" s="28" t="str">
        <x:v>Каштан имеет профиль «крахмалистый, сладкий, древесный, слегка какаовый и печёный». Партнёр «кленовый сироп» относится к группе «Выпечка, сахара и десерты» и даёт сладкий, карамельный и жареный. Молекулярный мост создают мальтол,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мальтол, пиразины, фураны.</x:v>
      </x:c>
      <x:c r="V152" s="28" t="str">
        <x:v>сырой каштан жёсткий; требуется надрез перед запеканием; водянистое пюре размывает аромат</x:v>
      </x:c>
      <x:c r="W152" s="28" t="str">
        <x:v>соль, ваниль или карамель</x:v>
      </x:c>
      <x:c r="X152" s="28" t="str">
        <x:v>пралине, паста, выпечка, гарнир, соус, молочный или коктейльный компонент с кленовый сироп</x:v>
      </x:c>
      <x:c r="Y152" s="28" t="str">
        <x:v>напитки, десерты</x:v>
      </x:c>
      <x:c r="Z152" s="28" t="str">
        <x:v>Гипотеза / практическая</x:v>
      </x:c>
      <x:c r="AA152" s="28" t="str">
        <x:v>Таблица сочетания(1).pdf</x:v>
      </x:c>
      <x:c r="AB152" s="28" t="str">
        <x:v>Таблица сочетания(1).pdf: 4</x:v>
      </x:c>
      <x:c r="AC152" s="28" t="str">
        <x:v>Пара встречается как table; научное объяснение сформировано по ароматическому профилю и пищевой матрице.</x:v>
      </x:c>
      <x:c r="AD152" s="28" t="n">
        <x:v>1</x:v>
      </x:c>
      <x:c r="AE152" s="28" t="n">
        <x:v>1</x:v>
      </x:c>
      <x:c r="AF152" s="28" t="n">
        <x:f>IF(Z152="Высокая",3,IF(Z152="Средняя",2,1))+AD152*2+MIN(AE152,3)</x:f>
        <x:v>4</x:v>
      </x:c>
    </x:row>
    <x:row r="153" ht="62" customHeight="1">
      <x:c r="A153" s="28" t="str">
        <x:v>NCT-0152</x:v>
      </x:c>
      <x:c r="B153" s="28" t="str">
        <x:v>каштан</x:v>
      </x:c>
      <x:c r="C153" s="28" t="str">
        <x:v>Напитки</x:v>
      </x:c>
      <x:c r="D153" s="28" t="str">
        <x:v>каштан</x:v>
      </x:c>
      <x:c r="E153" s="28" t="str">
        <x:v>Каштан</x:v>
      </x:c>
      <x:c r="F153" s="28" t="str">
        <x:v>Орехи и семена</x:v>
      </x:c>
      <x:c r="G153" s="28" t="str">
        <x:v>кофе</x:v>
      </x:c>
      <x:c r="H153" s="28" t="str">
        <x:v>кофе</x:v>
      </x:c>
      <x:c r="I153" s="28" t="str">
        <x:v>Кофе</x:v>
      </x:c>
      <x:c r="J153" s="28" t="str">
        <x:v>крахмалистый, сладкий, древесный, слегка какаовый и печёный</x:v>
      </x:c>
      <x:c r="K153" s="28" t="str">
        <x:v>жареный, ореховый, карамельный, цветочный, фруктовый, фенольный и древесный</x:v>
      </x:c>
      <x:c r="L153" s="28" t="str">
        <x:v>фураны, мальтол, пиразины, альдегиды</x:v>
      </x:c>
      <x:c r="M153" s="28" t="str">
        <x:v>2-фурфурилтиол, гваякол, диацетил, пиразины, фураны</x:v>
      </x:c>
      <x:c r="N153" s="28" t="str">
        <x:v>прямое пересечение семейств не является единственным объяснением</x:v>
      </x:c>
      <x:c r="O153" s="28" t="str">
        <x:v>пиразины, фураны</x:v>
      </x:c>
      <x:c r="P153" s="28" t="str">
        <x:v>общие ароматические соединения, жареная химия и реакции Майяра</x:v>
      </x:c>
      <x:c r="Q15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53" s="28" t="str">
        <x:v>минимальный</x:v>
      </x:c>
      <x:c r="S153" s="28" t="str">
        <x:v>крахмальная, сравнительно нежирная; после приготовления становится пюреобразной</x:v>
      </x:c>
      <x:c r="T153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53" s="28" t="str">
        <x:v>Каштан имеет профиль «крахмалистый, сладкий, древесный, слегка какаовый и печёный».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пиразины, фураны.</x:v>
      </x:c>
      <x:c r="V153" s="28" t="str">
        <x:v>сырой каштан жёсткий; требуется надрез перед запеканием; водянистое пюре размывает аромат</x:v>
      </x:c>
      <x:c r="W153" s="28" t="str">
        <x:v>соль, ваниль или карамель</x:v>
      </x:c>
      <x:c r="X153" s="28" t="str">
        <x:v>пралине, паста, выпечка, гарнир, соус, молочный или коктейльный компонент с кофе</x:v>
      </x:c>
      <x:c r="Y153" s="28" t="str">
        <x:v>напитки, десерты</x:v>
      </x:c>
      <x:c r="Z153" s="28" t="str">
        <x:v>Гипотеза / практическая</x:v>
      </x:c>
      <x:c r="AA153" s="28" t="str">
        <x:v>Таблица сочетания(1).pdf</x:v>
      </x:c>
      <x:c r="AB153" s="28" t="str">
        <x:v>Таблица сочетания(1).pdf: 4</x:v>
      </x:c>
      <x:c r="AC153" s="28" t="str">
        <x:v>Пара встречается как table; научное объяснение сформировано по ароматическому профилю и пищевой матрице.</x:v>
      </x:c>
      <x:c r="AD153" s="28" t="n">
        <x:v>1</x:v>
      </x:c>
      <x:c r="AE153" s="28" t="n">
        <x:v>1</x:v>
      </x:c>
      <x:c r="AF153" s="28" t="n">
        <x:f>IF(Z153="Высокая",3,IF(Z153="Средняя",2,1))+AD153*2+MIN(AE153,3)</x:f>
        <x:v>4</x:v>
      </x:c>
    </x:row>
    <x:row r="154" ht="62" customHeight="1">
      <x:c r="A154" s="28" t="str">
        <x:v>NCT-0153</x:v>
      </x:c>
      <x:c r="B154" s="28" t="str">
        <x:v>каштан</x:v>
      </x:c>
      <x:c r="C154" s="28" t="str">
        <x:v>Универсальные</x:v>
      </x:c>
      <x:c r="D154" s="28" t="str">
        <x:v>каштан</x:v>
      </x:c>
      <x:c r="E154" s="28" t="str">
        <x:v>Каштан</x:v>
      </x:c>
      <x:c r="F154" s="28" t="str">
        <x:v>Орехи и семена</x:v>
      </x:c>
      <x:c r="G154" s="28" t="str">
        <x:v>лавровый лист</x:v>
      </x:c>
      <x:c r="H154" s="28" t="str">
        <x:v>лавровый лист</x:v>
      </x:c>
      <x:c r="I154" s="28" t="str">
        <x:v>Прочее</x:v>
      </x:c>
      <x:c r="J154" s="28" t="str">
        <x:v>крахмалистый, сладкий, древесный, слегка какаовый и печёный</x:v>
      </x:c>
      <x:c r="K154" s="28" t="str">
        <x:v>профиль зависит от конкретного продукта</x:v>
      </x:c>
      <x:c r="L154" s="28" t="str">
        <x:v>фураны, мальтол, пиразины, альдегиды</x:v>
      </x:c>
      <x:c r="M154" s="28" t="str">
        <x:v>характерный профиль зависит от конкретного продукта</x:v>
      </x:c>
      <x:c r="N154" s="28" t="str">
        <x:v>прямое пересечение семейств не является единственным объяснением</x:v>
      </x:c>
      <x:c r="O154" s="28" t="str">
        <x:v>надежная общая ключевая молекула не подтверждена</x:v>
      </x:c>
      <x:c r="P154" s="28" t="str">
        <x:v>сенсорная комплементарность</x:v>
      </x:c>
      <x:c r="Q15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54" s="28" t="str">
        <x:v>минимальный</x:v>
      </x:c>
      <x:c r="S154" s="28" t="str">
        <x:v>крахмальная, сравнительно нежирная; после приготовления становится пюреобразной</x:v>
      </x:c>
      <x:c r="T154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54" s="28" t="str">
        <x:v>Каштан имеет профиль «крахмалистый, сладкий, древесный, слегка какаовый и печёный». Партнёр «лавровый лист»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54" s="28" t="str">
        <x:v>сырой каштан жёсткий; требуется надрез перед запеканием; водянистое пюре размывает аромат</x:v>
      </x:c>
      <x:c r="W154" s="28" t="str">
        <x:v>соль, ваниль или карамель</x:v>
      </x:c>
      <x:c r="X154" s="28" t="str">
        <x:v>пралине, паста, выпечка, гарнир, соус, молочный или коктейльный компонент с лавровый лист</x:v>
      </x:c>
      <x:c r="Y154" s="28" t="str">
        <x:v>десерты</x:v>
      </x:c>
      <x:c r="Z154" s="28" t="str">
        <x:v>Гипотеза / практическая</x:v>
      </x:c>
      <x:c r="AA154" s="28" t="str">
        <x:v>Таблица сочетания(1).pdf</x:v>
      </x:c>
      <x:c r="AB154" s="28" t="str">
        <x:v>Таблица сочетания(1).pdf: 4</x:v>
      </x:c>
      <x:c r="AC154" s="28" t="str">
        <x:v>Пара встречается как table; научное объяснение сформировано по ароматическому профилю и пищевой матрице.</x:v>
      </x:c>
      <x:c r="AD154" s="28" t="n">
        <x:v>1</x:v>
      </x:c>
      <x:c r="AE154" s="28" t="n">
        <x:v>1</x:v>
      </x:c>
      <x:c r="AF154" s="28" t="n">
        <x:f>IF(Z154="Высокая",3,IF(Z154="Средняя",2,1))+AD154*2+MIN(AE154,3)</x:f>
        <x:v>4</x:v>
      </x:c>
    </x:row>
    <x:row r="155" ht="62" customHeight="1">
      <x:c r="A155" s="28" t="str">
        <x:v>NCT-0154</x:v>
      </x:c>
      <x:c r="B155" s="28" t="str">
        <x:v>каштан</x:v>
      </x:c>
      <x:c r="C155" s="28" t="str">
        <x:v>Десерты и выпечка</x:v>
      </x:c>
      <x:c r="D155" s="28" t="str">
        <x:v>каштан</x:v>
      </x:c>
      <x:c r="E155" s="28" t="str">
        <x:v>Каштан | каштан</x:v>
      </x:c>
      <x:c r="F155" s="28" t="str">
        <x:v>Орехи и семена</x:v>
      </x:c>
      <x:c r="G155" s="28" t="str">
        <x:v>лимон</x:v>
      </x:c>
      <x:c r="H155" s="28" t="str">
        <x:v>Лимон | лимон</x:v>
      </x:c>
      <x:c r="I155" s="28" t="str">
        <x:v>Фрукты и ягоды</x:v>
      </x:c>
      <x:c r="J155" s="28" t="str">
        <x:v>крахмалистый, сладкий, древесный, слегка какаовый и печёный</x:v>
      </x:c>
      <x:c r="K155" s="28" t="str">
        <x:v>кислый, цитрусовый</x:v>
      </x:c>
      <x:c r="L155" s="28" t="str">
        <x:v>фураны, мальтол, пиразины, альдегиды</x:v>
      </x:c>
      <x:c r="M155" s="28" t="str">
        <x:v>лимонен, цитраль</x:v>
      </x:c>
      <x:c r="N155" s="28" t="str">
        <x:v>прямое пересечение семейств не является единственным объяснением</x:v>
      </x:c>
      <x:c r="O155" s="28" t="str">
        <x:v>надежная общая ключевая молекула не подтверждена</x:v>
      </x:c>
      <x:c r="P155" s="28" t="str">
        <x:v>контраст кислоты и жирной/горькой матрицы</x:v>
      </x:c>
      <x:c r="Q15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55" s="28" t="str">
        <x:v>минимальный</x:v>
      </x:c>
      <x:c r="S155" s="28" t="str">
        <x:v>крахмальная, сравнительно нежирная; после приготовления становится пюреобразной Водная фруктовая фаза требует эмульсии или мелкого измельчения, если орех или шоколад вводится как паста.</x:v>
      </x:c>
      <x:c r="T155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55" s="28" t="str">
        <x:v>Каштан имеет профиль «крахмалистый, сладкий, древесный, слегка какаовый и печёный».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55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W155" s="28" t="str">
        <x:v>ваниль, цитрус или молочный жир</x:v>
      </x:c>
      <x:c r="X155" s="28" t="str">
        <x:v>пралине, паста, выпечка, гарнир, соус, молочный или коктейльный компонент с лимон</x:v>
      </x:c>
      <x:c r="Y155" s="28" t="str">
        <x:v>десерты</x:v>
      </x:c>
      <x:c r="Z155" s="28" t="str">
        <x:v>Гипотеза / практическая</x:v>
      </x:c>
      <x:c r="AA155" s="28" t="str">
        <x:v>Таблица сочетания(1).pdf</x:v>
      </x:c>
      <x:c r="AB155" s="28" t="str">
        <x:v>Таблица сочетания(1).pdf: 4, 11</x:v>
      </x:c>
      <x:c r="AC155" s="28" t="str">
        <x:v>Пара встречается как table; научное объяснение сформировано по ароматическому профилю и пищевой матрице.</x:v>
      </x:c>
      <x:c r="AD155" s="28" t="n">
        <x:v>1</x:v>
      </x:c>
      <x:c r="AE155" s="28" t="n">
        <x:v>2</x:v>
      </x:c>
      <x:c r="AF155" s="28" t="n">
        <x:f>IF(Z155="Высокая",3,IF(Z155="Средняя",2,1))+AD155*2+MIN(AE155,3)</x:f>
        <x:v>5</x:v>
      </x:c>
    </x:row>
    <x:row r="156" ht="62" customHeight="1">
      <x:c r="A156" s="28" t="str">
        <x:v>NCT-0155</x:v>
      </x:c>
      <x:c r="B156" s="28" t="str">
        <x:v>каштан</x:v>
      </x:c>
      <x:c r="C156" s="28" t="str">
        <x:v>Десерты и выпечка</x:v>
      </x:c>
      <x:c r="D156" s="28" t="str">
        <x:v>каштан</x:v>
      </x:c>
      <x:c r="E156" s="28" t="str">
        <x:v>Каштан</x:v>
      </x:c>
      <x:c r="F156" s="28" t="str">
        <x:v>Орехи и семена</x:v>
      </x:c>
      <x:c r="G156" s="28" t="str">
        <x:v>мускатный орех</x:v>
      </x:c>
      <x:c r="H156" s="28" t="str">
        <x:v>мускатный орех</x:v>
      </x:c>
      <x:c r="I156" s="28" t="str">
        <x:v>Орехи и семена</x:v>
      </x:c>
      <x:c r="J156" s="28" t="str">
        <x:v>крахмалистый, сладкий, древесный, слегка какаовый и печёный</x:v>
      </x:c>
      <x:c r="K156" s="28" t="str">
        <x:v>камфорный, ореховый, пряный</x:v>
      </x:c>
      <x:c r="L156" s="28" t="str">
        <x:v>фураны, мальтол, пиразины, альдегиды</x:v>
      </x:c>
      <x:c r="M156" s="28" t="str">
        <x:v>пинены, сабинен</x:v>
      </x:c>
      <x:c r="N156" s="28" t="str">
        <x:v>прямое пересечение семейств не является единственным объяснением</x:v>
      </x:c>
      <x:c r="O156" s="28" t="str">
        <x:v>надежная общая ключевая молекула не подтверждена</x:v>
      </x:c>
      <x:c r="P156" s="28" t="str">
        <x:v>жареная химия и реакции Майяра</x:v>
      </x:c>
      <x:c r="Q15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56" s="28" t="str">
        <x:v>минимальный</x:v>
      </x:c>
      <x:c r="S156" s="28" t="str">
        <x:v>крахмальная, сравнительно нежирная; после приготовления становится пюреобразной</x:v>
      </x:c>
      <x:c r="T156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56" s="28" t="str">
        <x:v>Каштан имеет профиль «крахмалистый, сладкий, древесный, слегка какаовый и печёный». Партнёр «мускатный орех» относится к группе «Орехи и семена» и даёт камфорный, ореховый, пряный.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56" s="28" t="str">
        <x:v>сырой каштан жёсткий; требуется надрез перед запеканием; водянистое пюре размывает аромат</x:v>
      </x:c>
      <x:c r="W156" s="28" t="str">
        <x:v>соль, ваниль или карамель</x:v>
      </x:c>
      <x:c r="X156" s="28" t="str">
        <x:v>пралине, паста, выпечка, гарнир, соус, молочный или коктейльный компонент с мускатный орех</x:v>
      </x:c>
      <x:c r="Y156" s="28" t="str">
        <x:v>десерты</x:v>
      </x:c>
      <x:c r="Z156" s="28" t="str">
        <x:v>Гипотеза / практическая</x:v>
      </x:c>
      <x:c r="AA156" s="28" t="str">
        <x:v>Таблица сочетания(1).pdf</x:v>
      </x:c>
      <x:c r="AB156" s="28" t="str">
        <x:v>Таблица сочетания(1).pdf: 4</x:v>
      </x:c>
      <x:c r="AC156" s="28" t="str">
        <x:v>Пара встречается как table; научное объяснение сформировано по ароматическому профилю и пищевой матрице.</x:v>
      </x:c>
      <x:c r="AD156" s="28" t="n">
        <x:v>1</x:v>
      </x:c>
      <x:c r="AE156" s="28" t="n">
        <x:v>1</x:v>
      </x:c>
      <x:c r="AF156" s="28" t="n">
        <x:f>IF(Z156="Высокая",3,IF(Z156="Средняя",2,1))+AD156*2+MIN(AE156,3)</x:f>
        <x:v>4</x:v>
      </x:c>
    </x:row>
    <x:row r="157" ht="62" customHeight="1">
      <x:c r="A157" s="28" t="str">
        <x:v>NCT-0156</x:v>
      </x:c>
      <x:c r="B157" s="28" t="str">
        <x:v>каштан</x:v>
      </x:c>
      <x:c r="C157" s="28" t="str">
        <x:v>Десерты и выпечка</x:v>
      </x:c>
      <x:c r="D157" s="28" t="str">
        <x:v>каштан</x:v>
      </x:c>
      <x:c r="E157" s="28" t="str">
        <x:v>Каштан</x:v>
      </x:c>
      <x:c r="F157" s="28" t="str">
        <x:v>Орехи и семена</x:v>
      </x:c>
      <x:c r="G157" s="28" t="str">
        <x:v>мёд</x:v>
      </x:c>
      <x:c r="H157" s="28" t="str">
        <x:v>мёд</x:v>
      </x:c>
      <x:c r="I157" s="28" t="str">
        <x:v>Выпечка, сахара и десерты</x:v>
      </x:c>
      <x:c r="J157" s="28" t="str">
        <x:v>крахмалистый, сладкий, древесный, слегка какаовый и печёный</x:v>
      </x:c>
      <x:c r="K157" s="28" t="str">
        <x:v>медовый, цветочный</x:v>
      </x:c>
      <x:c r="L157" s="28" t="str">
        <x:v>фураны, мальтол, пиразины, альдегиды</x:v>
      </x:c>
      <x:c r="M157" s="28" t="str">
        <x:v>норизопреноиды, фенилуксусная кислота</x:v>
      </x:c>
      <x:c r="N157" s="28" t="str">
        <x:v>прямое пересечение семейств не является единственным объяснением</x:v>
      </x:c>
      <x:c r="O157" s="28" t="str">
        <x:v>надежная общая ключевая молекула не подтверждена</x:v>
      </x:c>
      <x:c r="P157" s="28" t="str">
        <x:v>жареная химия и реакции Майяра</x:v>
      </x:c>
      <x:c r="Q15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57" s="28" t="str">
        <x:v>минимальный</x:v>
      </x:c>
      <x:c r="S157" s="28" t="str">
        <x:v>крахмальная, сравнительно нежирная; после приготовления становится пюреобразной</x:v>
      </x:c>
      <x:c r="T157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57" s="28" t="str">
        <x:v>Каштан имеет профиль «крахмалистый, сладкий, древесный, слегка какаовый и печёный». Партнёр «мёд» относится к группе «Выпечка, сахара и десерты» и даёт медовый, цветочный.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57" s="28" t="str">
        <x:v>сырой каштан жёсткий; требуется надрез перед запеканием; водянистое пюре размывает аромат</x:v>
      </x:c>
      <x:c r="W157" s="28" t="str">
        <x:v>соль, ваниль или карамель</x:v>
      </x:c>
      <x:c r="X157" s="28" t="str">
        <x:v>пралине, паста, выпечка, гарнир, соус, молочный или коктейльный компонент с мёд</x:v>
      </x:c>
      <x:c r="Y157" s="28" t="str">
        <x:v>десерты</x:v>
      </x:c>
      <x:c r="Z157" s="28" t="str">
        <x:v>Гипотеза / практическая</x:v>
      </x:c>
      <x:c r="AA157" s="28" t="str">
        <x:v>Таблица сочетания(1).pdf</x:v>
      </x:c>
      <x:c r="AB157" s="28" t="str">
        <x:v>Таблица сочетания(1).pdf: 4</x:v>
      </x:c>
      <x:c r="AC157" s="28" t="str">
        <x:v>Пара встречается как table; научное объяснение сформировано по ароматическому профилю и пищевой матрице.</x:v>
      </x:c>
      <x:c r="AD157" s="28" t="n">
        <x:v>1</x:v>
      </x:c>
      <x:c r="AE157" s="28" t="n">
        <x:v>1</x:v>
      </x:c>
      <x:c r="AF157" s="28" t="n">
        <x:f>IF(Z157="Высокая",3,IF(Z157="Средняя",2,1))+AD157*2+MIN(AE157,3)</x:f>
        <x:v>4</x:v>
      </x:c>
    </x:row>
    <x:row r="158" ht="62" customHeight="1">
      <x:c r="A158" s="28" t="str">
        <x:v>NCT-0157</x:v>
      </x:c>
      <x:c r="B158" s="28" t="str">
        <x:v>каштан</x:v>
      </x:c>
      <x:c r="C158" s="28" t="str">
        <x:v>Универсальные</x:v>
      </x:c>
      <x:c r="D158" s="28" t="str">
        <x:v>каштан</x:v>
      </x:c>
      <x:c r="E158" s="28" t="str">
        <x:v>Каштаны | каштаны</x:v>
      </x:c>
      <x:c r="F158" s="28" t="str">
        <x:v>Орехи и семена</x:v>
      </x:c>
      <x:c r="G158" s="28" t="str">
        <x:v>прошутто</x:v>
      </x:c>
      <x:c r="H158" s="28" t="str">
        <x:v>Прошутто | прошутто</x:v>
      </x:c>
      <x:c r="I158" s="28" t="str">
        <x:v>Прочее</x:v>
      </x:c>
      <x:c r="J158" s="28" t="str">
        <x:v>крахмалистый, сладкий, древесный, слегка какаовый и печёный</x:v>
      </x:c>
      <x:c r="K158" s="28" t="str">
        <x:v>профиль зависит от конкретного продукта</x:v>
      </x:c>
      <x:c r="L158" s="28" t="str">
        <x:v>фураны, мальтол, пиразины, альдегиды</x:v>
      </x:c>
      <x:c r="M158" s="28" t="str">
        <x:v>характерный профиль зависит от конкретного продукта</x:v>
      </x:c>
      <x:c r="N158" s="28" t="str">
        <x:v>прямое пересечение семейств не является единственным объяснением</x:v>
      </x:c>
      <x:c r="O158" s="28" t="str">
        <x:v>надежная общая ключевая молекула не подтверждена</x:v>
      </x:c>
      <x:c r="P158" s="28" t="str">
        <x:v>сенсорная комплементарность</x:v>
      </x:c>
      <x:c r="Q15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58" s="28" t="str">
        <x:v>минимальный</x:v>
      </x:c>
      <x:c r="S158" s="28" t="str">
        <x:v>крахмальная, сравнительно нежирная; после приготовления становится пюреобразной</x:v>
      </x:c>
      <x:c r="T158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58" s="28" t="str">
        <x:v>Каштан имеет профиль «крахмалистый, сладкий, древесный, слегка какаовый и печёный». Партнёр «прошутто»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58" s="28" t="str">
        <x:v>сырой каштан жёсткий; требуется надрез перед запеканием; водянистое пюре размывает аромат</x:v>
      </x:c>
      <x:c r="W158" s="28" t="str">
        <x:v>соль, ваниль или карамель</x:v>
      </x:c>
      <x:c r="X158" s="28" t="str">
        <x:v>пралине, паста, выпечка, гарнир, соус, молочный или коктейльный компонент с прошутто</x:v>
      </x:c>
      <x:c r="Y158" s="28" t="str">
        <x:v>десерты</x:v>
      </x:c>
      <x:c r="Z158" s="28" t="str">
        <x:v>Средняя</x:v>
      </x:c>
      <x:c r="AA158" s="28" t="str">
        <x:v>Тезариус вкусов (Ники Сегнит)(1).pdf</x:v>
      </x:c>
      <x:c r="AB158" s="28" t="str">
        <x:v>Тезариус вкусов (Ники Сегнит)(1).pdf: 457, 618</x:v>
      </x:c>
      <x:c r="AC158" s="28" t="str">
        <x:v>Пара встречается как thesaurus; научное объяснение сформировано по ароматическому профилю и пищевой матрице.</x:v>
      </x:c>
      <x:c r="AD158" s="28" t="n">
        <x:v>1</x:v>
      </x:c>
      <x:c r="AE158" s="28" t="n">
        <x:v>2</x:v>
      </x:c>
      <x:c r="AF158" s="28" t="n">
        <x:f>IF(Z158="Высокая",3,IF(Z158="Средняя",2,1))+AD158*2+MIN(AE158,3)</x:f>
        <x:v>6</x:v>
      </x:c>
    </x:row>
    <x:row r="159" ht="62" customHeight="1">
      <x:c r="A159" s="28" t="str">
        <x:v>NCT-0158</x:v>
      </x:c>
      <x:c r="B159" s="28" t="str">
        <x:v>каштан</x:v>
      </x:c>
      <x:c r="C159" s="28" t="str">
        <x:v>Универсальные</x:v>
      </x:c>
      <x:c r="D159" s="28" t="str">
        <x:v>каштан</x:v>
      </x:c>
      <x:c r="E159" s="28" t="str">
        <x:v>Каштан | Каштаны | каштаны</x:v>
      </x:c>
      <x:c r="F159" s="28" t="str">
        <x:v>Орехи и семена</x:v>
      </x:c>
      <x:c r="G159" s="28" t="str">
        <x:v>розмарин</x:v>
      </x:c>
      <x:c r="H159" s="28" t="str">
        <x:v>Розмарин | розмарин</x:v>
      </x:c>
      <x:c r="I159" s="28" t="str">
        <x:v>Травы, цветы и листья</x:v>
      </x:c>
      <x:c r="J159" s="28" t="str">
        <x:v>крахмалистый, сладкий, древесный, слегка какаовый и печёный</x:v>
      </x:c>
      <x:c r="K159" s="28" t="str">
        <x:v>зелёный, цветочный и терпеновый</x:v>
      </x:c>
      <x:c r="L159" s="28" t="str">
        <x:v>фураны, мальтол, пиразины, альдегиды</x:v>
      </x:c>
      <x:c r="M159" s="28" t="str">
        <x:v>линалоол, терпены</x:v>
      </x:c>
      <x:c r="N159" s="28" t="str">
        <x:v>прямое пересечение семейств не является единственным объяснением</x:v>
      </x:c>
      <x:c r="O159" s="28" t="str">
        <x:v>надежная общая ключевая молекула не подтверждена</x:v>
      </x:c>
      <x:c r="P159" s="28" t="str">
        <x:v>сенсорная комплементарность</x:v>
      </x:c>
      <x:c r="Q15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59" s="28" t="str">
        <x:v>минимальный</x:v>
      </x:c>
      <x:c r="S159" s="28" t="str">
        <x:v>крахмальная, сравнительно нежирная; после приготовления становится пюреобразной</x:v>
      </x:c>
      <x:c r="T159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59" s="28" t="str">
        <x:v>Каштан имеет профиль «крахмалистый, сладкий, древесный, слегка какаовый и печёный». Партнёр «розмарин»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59" s="28" t="str">
        <x:v>сырой каштан жёсткий; требуется надрез перед запеканием; водянистое пюре размывает аромат</x:v>
      </x:c>
      <x:c r="W159" s="28" t="str">
        <x:v>цитрус, мёд или сливки</x:v>
      </x:c>
      <x:c r="X159" s="28" t="str">
        <x:v>пралине, паста, выпечка, гарнир, соус, молочный или коктейльный компонент с розмарин</x:v>
      </x:c>
      <x:c r="Y159" s="28" t="str">
        <x:v>десерты</x:v>
      </x:c>
      <x:c r="Z159" s="28" t="str">
        <x:v>Высокая</x:v>
      </x:c>
      <x:c r="AA159" s="28" t="str">
        <x:v>Таблица сочетания(1).pdf | Тезариус вкусов (Ники Сегнит)(1).pdf</x:v>
      </x:c>
      <x:c r="AB159" s="28" t="str">
        <x:v>Таблица сочетания(1).pdf: 4; Тезариус вкусов (Ники Сегнит)(1).pdf: 618, 837</x:v>
      </x:c>
      <x:c r="AC159" s="28" t="str">
        <x:v>Пара встречается как table, thesaurus; научное объяснение сформировано по ароматическому профилю и пищевой матрице.</x:v>
      </x:c>
      <x:c r="AD159" s="28" t="n">
        <x:v>2</x:v>
      </x:c>
      <x:c r="AE159" s="28" t="n">
        <x:v>3</x:v>
      </x:c>
      <x:c r="AF159" s="28" t="n">
        <x:f>IF(Z159="Высокая",3,IF(Z159="Средняя",2,1))+AD159*2+MIN(AE159,3)</x:f>
        <x:v>10</x:v>
      </x:c>
    </x:row>
    <x:row r="160" ht="62" customHeight="1">
      <x:c r="A160" s="28" t="str">
        <x:v>NCT-0159</x:v>
      </x:c>
      <x:c r="B160" s="28" t="str">
        <x:v>каштан</x:v>
      </x:c>
      <x:c r="C160" s="28" t="str">
        <x:v>Еда и соусы</x:v>
      </x:c>
      <x:c r="D160" s="28" t="str">
        <x:v>каштан</x:v>
      </x:c>
      <x:c r="E160" s="28" t="str">
        <x:v>Каштаны | каштаны</x:v>
      </x:c>
      <x:c r="F160" s="28" t="str">
        <x:v>Орехи и семена</x:v>
      </x:c>
      <x:c r="G160" s="28" t="str">
        <x:v>свинина</x:v>
      </x:c>
      <x:c r="H160" s="28" t="str">
        <x:v>Свинина | свинина</x:v>
      </x:c>
      <x:c r="I160" s="28" t="str">
        <x:v>Мясо и птица</x:v>
      </x:c>
      <x:c r="J160" s="28" t="str">
        <x:v>крахмалистый, сладкий, древесный, слегка какаовый и печёный</x:v>
      </x:c>
      <x:c r="K160" s="28" t="str">
        <x:v>жареный, мясной и умами</x:v>
      </x:c>
      <x:c r="L160" s="28" t="str">
        <x:v>фураны, мальтол, пиразины, альдегиды</x:v>
      </x:c>
      <x:c r="M160" s="28" t="str">
        <x:v>пиразины, сернистые соединения</x:v>
      </x:c>
      <x:c r="N160" s="28" t="str">
        <x:v>прямое пересечение семейств не является единственным объяснением</x:v>
      </x:c>
      <x:c r="O160" s="28" t="str">
        <x:v>пиразины</x:v>
      </x:c>
      <x:c r="P160" s="28" t="str">
        <x:v>общие ароматические соединения, жареная химия и реакции Майяра, солёно-умами контраст</x:v>
      </x:c>
      <x:c r="Q16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60" s="28" t="str">
        <x:v>минимальный</x:v>
      </x:c>
      <x:c r="S160" s="28" t="str">
        <x:v>крахмальная, сравнительно нежирная; после приготовления становится пюреобразной</x:v>
      </x:c>
      <x:c r="T160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60" s="28" t="str">
        <x:v>Каштан имеет профиль «крахмалистый, сладкий, древесный, слегка какаовый и печёный». Партнёр «свинина»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V160" s="28" t="str">
        <x:v>сырой каштан жёсткий; требуется надрез перед запеканием; водянистое пюре размывает аромат</x:v>
      </x:c>
      <x:c r="W160" s="28" t="str">
        <x:v>соль, соевый соус, коричневое масло или специя</x:v>
      </x:c>
      <x:c r="X160" s="28" t="str">
        <x:v>пралине, паста, выпечка, гарнир, соус, молочный или коктейльный компонент с свинина</x:v>
      </x:c>
      <x:c r="Y160" s="28" t="str">
        <x:v>еда, десерты, соусы/маринады</x:v>
      </x:c>
      <x:c r="Z160" s="28" t="str">
        <x:v>Средняя</x:v>
      </x:c>
      <x:c r="AA160" s="28" t="str">
        <x:v>Тезариус вкусов (Ники Сегнит)(1).pdf</x:v>
      </x:c>
      <x:c r="AB160" s="28" t="str">
        <x:v>Тезариус вкусов (Ники Сегнит)(1).pdf: 85, 619</x:v>
      </x:c>
      <x:c r="AC160" s="28" t="str">
        <x:v>Пара встречается как thesaurus; научное объяснение сформировано по ароматическому профилю и пищевой матрице.</x:v>
      </x:c>
      <x:c r="AD160" s="28" t="n">
        <x:v>1</x:v>
      </x:c>
      <x:c r="AE160" s="28" t="n">
        <x:v>2</x:v>
      </x:c>
      <x:c r="AF160" s="28" t="n">
        <x:f>IF(Z160="Высокая",3,IF(Z160="Средняя",2,1))+AD160*2+MIN(AE160,3)</x:f>
        <x:v>6</x:v>
      </x:c>
    </x:row>
    <x:row r="161" ht="62" customHeight="1">
      <x:c r="A161" s="28" t="str">
        <x:v>NCT-0160</x:v>
      </x:c>
      <x:c r="B161" s="28" t="str">
        <x:v>каштан</x:v>
      </x:c>
      <x:c r="C161" s="28" t="str">
        <x:v>Универсальные</x:v>
      </x:c>
      <x:c r="D161" s="28" t="str">
        <x:v>каштан</x:v>
      </x:c>
      <x:c r="E161" s="28" t="str">
        <x:v>Каштаны | каштаны</x:v>
      </x:c>
      <x:c r="F161" s="28" t="str">
        <x:v>Орехи и семена</x:v>
      </x:c>
      <x:c r="G161" s="28" t="str">
        <x:v>сельдерей</x:v>
      </x:c>
      <x:c r="H161" s="28" t="str">
        <x:v>Сельдерей | сельдерей</x:v>
      </x:c>
      <x:c r="I161" s="28" t="str">
        <x:v>Прочее</x:v>
      </x:c>
      <x:c r="J161" s="28" t="str">
        <x:v>крахмалистый, сладкий, древесный, слегка какаовый и печёный</x:v>
      </x:c>
      <x:c r="K161" s="28" t="str">
        <x:v>профиль зависит от конкретного продукта</x:v>
      </x:c>
      <x:c r="L161" s="28" t="str">
        <x:v>фураны, мальтол, пиразины, альдегиды</x:v>
      </x:c>
      <x:c r="M161" s="28" t="str">
        <x:v>характерный профиль зависит от конкретного продукта</x:v>
      </x:c>
      <x:c r="N161" s="28" t="str">
        <x:v>прямое пересечение семейств не является единственным объяснением</x:v>
      </x:c>
      <x:c r="O161" s="28" t="str">
        <x:v>надежная общая ключевая молекула не подтверждена</x:v>
      </x:c>
      <x:c r="P161" s="28" t="str">
        <x:v>сенсорная комплементарность</x:v>
      </x:c>
      <x:c r="Q16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61" s="28" t="str">
        <x:v>минимальный</x:v>
      </x:c>
      <x:c r="S161" s="28" t="str">
        <x:v>крахмальная, сравнительно нежирная; после приготовления становится пюреобразной</x:v>
      </x:c>
      <x:c r="T161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61" s="28" t="str">
        <x:v>Каштан имеет профиль «крахмалистый, сладкий, древесный, слегка какаовый и печёный». Партнёр «сельдерей»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61" s="28" t="str">
        <x:v>сырой каштан жёсткий; требуется надрез перед запеканием; водянистое пюре размывает аромат</x:v>
      </x:c>
      <x:c r="W161" s="28" t="str">
        <x:v>соль, ваниль или карамель</x:v>
      </x:c>
      <x:c r="X161" s="28" t="str">
        <x:v>пралине, паста, выпечка, гарнир, соус, молочный или коктейльный компонент с сельдерей</x:v>
      </x:c>
      <x:c r="Y161" s="28" t="str">
        <x:v>десерты</x:v>
      </x:c>
      <x:c r="Z161" s="28" t="str">
        <x:v>Средняя</x:v>
      </x:c>
      <x:c r="AA161" s="28" t="str">
        <x:v>Тезариус вкусов (Ники Сегнит)(1).pdf</x:v>
      </x:c>
      <x:c r="AB161" s="28" t="str">
        <x:v>Тезариус вкусов (Ники Сегнит)(1).pdf: 251, 620</x:v>
      </x:c>
      <x:c r="AC161" s="28" t="str">
        <x:v>Пара встречается как thesaurus; научное объяснение сформировано по ароматическому профилю и пищевой матрице.</x:v>
      </x:c>
      <x:c r="AD161" s="28" t="n">
        <x:v>1</x:v>
      </x:c>
      <x:c r="AE161" s="28" t="n">
        <x:v>2</x:v>
      </x:c>
      <x:c r="AF161" s="28" t="n">
        <x:f>IF(Z161="Высокая",3,IF(Z161="Средняя",2,1))+AD161*2+MIN(AE161,3)</x:f>
        <x:v>6</x:v>
      </x:c>
    </x:row>
    <x:row r="162" ht="62" customHeight="1">
      <x:c r="A162" s="28" t="str">
        <x:v>NCT-0161</x:v>
      </x:c>
      <x:c r="B162" s="28" t="str">
        <x:v>каштан</x:v>
      </x:c>
      <x:c r="C162" s="28" t="str">
        <x:v>Десерты и выпечка</x:v>
      </x:c>
      <x:c r="D162" s="28" t="str">
        <x:v>каштан</x:v>
      </x:c>
      <x:c r="E162" s="28" t="str">
        <x:v>каштан</x:v>
      </x:c>
      <x:c r="F162" s="28" t="str">
        <x:v>Орехи и семена</x:v>
      </x:c>
      <x:c r="G162" s="28" t="str">
        <x:v>слива</x:v>
      </x:c>
      <x:c r="H162" s="28" t="str">
        <x:v>Слива</x:v>
      </x:c>
      <x:c r="I162" s="28" t="str">
        <x:v>Фрукты и ягоды</x:v>
      </x:c>
      <x:c r="J162" s="28" t="str">
        <x:v>крахмалистый, сладкий, древесный, слегка какаовый и печёный</x:v>
      </x:c>
      <x:c r="K162" s="28" t="str">
        <x:v>фруктовый, цветочный и свежий</x:v>
      </x:c>
      <x:c r="L162" s="28" t="str">
        <x:v>фураны, мальтол, пиразины, альдегиды</x:v>
      </x:c>
      <x:c r="M162" s="28" t="str">
        <x:v>альдегиды, эфиры</x:v>
      </x:c>
      <x:c r="N162" s="28" t="str">
        <x:v>прямое пересечение семейств не является единственным объяснением</x:v>
      </x:c>
      <x:c r="O162" s="28" t="str">
        <x:v>альдегиды</x:v>
      </x:c>
      <x:c r="P162" s="28" t="str">
        <x:v>общие ароматические соединения, контраст кислоты и жирной/горькой матрицы</x:v>
      </x:c>
      <x:c r="Q16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62" s="28" t="str">
        <x:v>минимальный</x:v>
      </x:c>
      <x:c r="S162" s="28" t="str">
        <x:v>крахмальная, сравнительно нежирная; после приготовления становится пюреобразной Водная фруктовая фаза требует эмульсии или мелкого измельчения, если орех или шоколад вводится как паста.</x:v>
      </x:c>
      <x:c r="T162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62" s="28" t="str">
        <x:v>Каштан имеет профиль «крахмалистый, сладкий, древесный, слегка какаовый и печёный». Партнёр «слива»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62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W162" s="28" t="str">
        <x:v>ваниль, цитрус или молочный жир</x:v>
      </x:c>
      <x:c r="X162" s="28" t="str">
        <x:v>пралине, паста, выпечка, гарнир, соус, молочный или коктейльный компонент с слива</x:v>
      </x:c>
      <x:c r="Y162" s="28" t="str">
        <x:v>десерты</x:v>
      </x:c>
      <x:c r="Z162" s="28" t="str">
        <x:v>Гипотеза / практическая</x:v>
      </x:c>
      <x:c r="AA162" s="28" t="str">
        <x:v>Таблица сочетания(1).pdf</x:v>
      </x:c>
      <x:c r="AB162" s="28" t="str">
        <x:v>Таблица сочетания(1).pdf: 17</x:v>
      </x:c>
      <x:c r="AC162" s="28" t="str">
        <x:v>Пара встречается как table; научное объяснение сформировано по ароматическому профилю и пищевой матрице.</x:v>
      </x:c>
      <x:c r="AD162" s="28" t="n">
        <x:v>1</x:v>
      </x:c>
      <x:c r="AE162" s="28" t="n">
        <x:v>1</x:v>
      </x:c>
      <x:c r="AF162" s="28" t="n">
        <x:f>IF(Z162="Высокая",3,IF(Z162="Средняя",2,1))+AD162*2+MIN(AE162,3)</x:f>
        <x:v>4</x:v>
      </x:c>
    </x:row>
    <x:row r="163" ht="62" customHeight="1">
      <x:c r="A163" s="28" t="str">
        <x:v>NCT-0162</x:v>
      </x:c>
      <x:c r="B163" s="28" t="str">
        <x:v>каштан</x:v>
      </x:c>
      <x:c r="C163" s="28" t="str">
        <x:v>Универсальные</x:v>
      </x:c>
      <x:c r="D163" s="28" t="str">
        <x:v>каштан</x:v>
      </x:c>
      <x:c r="E163" s="28" t="str">
        <x:v>Каштан</x:v>
      </x:c>
      <x:c r="F163" s="28" t="str">
        <x:v>Орехи и семена</x:v>
      </x:c>
      <x:c r="G163" s="28" t="str">
        <x:v>тимьян</x:v>
      </x:c>
      <x:c r="H163" s="28" t="str">
        <x:v>тимьян</x:v>
      </x:c>
      <x:c r="I163" s="28" t="str">
        <x:v>Травы, цветы и листья</x:v>
      </x:c>
      <x:c r="J163" s="28" t="str">
        <x:v>крахмалистый, сладкий, древесный, слегка какаовый и печёный</x:v>
      </x:c>
      <x:c r="K163" s="28" t="str">
        <x:v>зелёный, цветочный и терпеновый</x:v>
      </x:c>
      <x:c r="L163" s="28" t="str">
        <x:v>фураны, мальтол, пиразины, альдегиды</x:v>
      </x:c>
      <x:c r="M163" s="28" t="str">
        <x:v>линалоол, терпены</x:v>
      </x:c>
      <x:c r="N163" s="28" t="str">
        <x:v>прямое пересечение семейств не является единственным объяснением</x:v>
      </x:c>
      <x:c r="O163" s="28" t="str">
        <x:v>надежная общая ключевая молекула не подтверждена</x:v>
      </x:c>
      <x:c r="P163" s="28" t="str">
        <x:v>сенсорная комплементарность</x:v>
      </x:c>
      <x:c r="Q16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63" s="28" t="str">
        <x:v>минимальный</x:v>
      </x:c>
      <x:c r="S163" s="28" t="str">
        <x:v>крахмальная, сравнительно нежирная; после приготовления становится пюреобразной</x:v>
      </x:c>
      <x:c r="T163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63" s="28" t="str">
        <x:v>Каштан имеет профиль «крахмалистый, сладкий, древесный, слегка какаовый и печёный». Партнёр «тимьян»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63" s="28" t="str">
        <x:v>сырой каштан жёсткий; требуется надрез перед запеканием; водянистое пюре размывает аромат</x:v>
      </x:c>
      <x:c r="W163" s="28" t="str">
        <x:v>цитрус, мёд или сливки</x:v>
      </x:c>
      <x:c r="X163" s="28" t="str">
        <x:v>пралине, паста, выпечка, гарнир, соус, молочный или коктейльный компонент с тимьян</x:v>
      </x:c>
      <x:c r="Y163" s="28" t="str">
        <x:v>десерты</x:v>
      </x:c>
      <x:c r="Z163" s="28" t="str">
        <x:v>Гипотеза / практическая</x:v>
      </x:c>
      <x:c r="AA163" s="28" t="str">
        <x:v>Таблица сочетания(1).pdf</x:v>
      </x:c>
      <x:c r="AB163" s="28" t="str">
        <x:v>Таблица сочетания(1).pdf: 4</x:v>
      </x:c>
      <x:c r="AC163" s="28" t="str">
        <x:v>Пара встречается как table; научное объяснение сформировано по ароматическому профилю и пищевой матрице.</x:v>
      </x:c>
      <x:c r="AD163" s="28" t="n">
        <x:v>1</x:v>
      </x:c>
      <x:c r="AE163" s="28" t="n">
        <x:v>1</x:v>
      </x:c>
      <x:c r="AF163" s="28" t="n">
        <x:f>IF(Z163="Высокая",3,IF(Z163="Средняя",2,1))+AD163*2+MIN(AE163,3)</x:f>
        <x:v>4</x:v>
      </x:c>
    </x:row>
    <x:row r="164" ht="62" customHeight="1">
      <x:c r="A164" s="28" t="str">
        <x:v>NCT-0163</x:v>
      </x:c>
      <x:c r="B164" s="28" t="str">
        <x:v>каштан</x:v>
      </x:c>
      <x:c r="C164" s="28" t="str">
        <x:v>Универсальные</x:v>
      </x:c>
      <x:c r="D164" s="28" t="str">
        <x:v>каштан</x:v>
      </x:c>
      <x:c r="E164" s="28" t="str">
        <x:v>roasted chestnut</x:v>
      </x:c>
      <x:c r="F164" s="28" t="str">
        <x:v>Орехи и семена</x:v>
      </x:c>
      <x:c r="G164" s="28" t="str">
        <x:v>трюфель</x:v>
      </x:c>
      <x:c r="H164" s="28" t="str">
        <x:v>truffle</x:v>
      </x:c>
      <x:c r="I164" s="28" t="str">
        <x:v>Прочее</x:v>
      </x:c>
      <x:c r="J164" s="28" t="str">
        <x:v>крахмалистый, сладкий, древесный, слегка какаовый и печёный</x:v>
      </x:c>
      <x:c r="K164" s="28" t="str">
        <x:v>профиль зависит от конкретного продукта</x:v>
      </x:c>
      <x:c r="L164" s="28" t="str">
        <x:v>фураны, мальтол, пиразины, альдегиды</x:v>
      </x:c>
      <x:c r="M164" s="28" t="str">
        <x:v>характерный профиль зависит от конкретного продукта</x:v>
      </x:c>
      <x:c r="N164" s="28" t="str">
        <x:v>прямое пересечение семейств не является единственным объяснением</x:v>
      </x:c>
      <x:c r="O164" s="28" t="str">
        <x:v>надежная общая ключевая молекула не подтверждена</x:v>
      </x:c>
      <x:c r="P164" s="28" t="str">
        <x:v>сенсорная комплементарность</x:v>
      </x:c>
      <x:c r="Q16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64" s="28" t="str">
        <x:v>минимальный</x:v>
      </x:c>
      <x:c r="S164" s="28" t="str">
        <x:v>крахмальная, сравнительно нежирная; после приготовления становится пюреобразной</x:v>
      </x:c>
      <x:c r="T164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64" s="28" t="str">
        <x:v>Каштан имеет профиль «крахмалистый, сладкий, древесный, слегка какаовый и печёный». Партнёр «трюфель»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64" s="28" t="str">
        <x:v>сырой каштан жёсткий; требуется надрез перед запеканием; водянистое пюре размывает аромат</x:v>
      </x:c>
      <x:c r="W164" s="28" t="str">
        <x:v>соль, ваниль или карамель</x:v>
      </x:c>
      <x:c r="X164" s="28" t="str">
        <x:v>пралине, паста, выпечка, гарнир, соус, молочный или коктейльный компонент с трюфель</x:v>
      </x:c>
      <x:c r="Y164" s="28" t="str">
        <x:v>десерты</x:v>
      </x:c>
      <x:c r="Z164" s="28" t="str">
        <x:v>Средняя</x:v>
      </x:c>
      <x:c r="AA164" s="28" t="str">
        <x:v>The Art &amp; Science of Foodpairing.pdf</x:v>
      </x:c>
      <x:c r="AB164" s="28" t="str">
        <x:v>The Art &amp; Science of Foodpairing.pdf: 192</x:v>
      </x:c>
      <x:c r="AC164" s="28" t="str">
        <x:v>Пара встречается как grid; научное объяснение сформировано по ароматическому профилю и пищевой матрице.</x:v>
      </x:c>
      <x:c r="AD164" s="28" t="n">
        <x:v>1</x:v>
      </x:c>
      <x:c r="AE164" s="28" t="n">
        <x:v>1</x:v>
      </x:c>
      <x:c r="AF164" s="28" t="n">
        <x:f>IF(Z164="Высокая",3,IF(Z164="Средняя",2,1))+AD164*2+MIN(AE164,3)</x:f>
        <x:v>5</x:v>
      </x:c>
    </x:row>
    <x:row r="165" ht="62" customHeight="1">
      <x:c r="A165" s="28" t="str">
        <x:v>NCT-0164</x:v>
      </x:c>
      <x:c r="B165" s="28" t="str">
        <x:v>каштан</x:v>
      </x:c>
      <x:c r="C165" s="28" t="str">
        <x:v>Еда и соусы</x:v>
      </x:c>
      <x:c r="D165" s="28" t="str">
        <x:v>каштан</x:v>
      </x:c>
      <x:c r="E165" s="28" t="str">
        <x:v>Каштаны | каштаны</x:v>
      </x:c>
      <x:c r="F165" s="28" t="str">
        <x:v>Орехи и семена</x:v>
      </x:c>
      <x:c r="G165" s="28" t="str">
        <x:v>тыква баттернат</x:v>
      </x:c>
      <x:c r="H165" s="28" t="str">
        <x:v>Тыква баттернат | тыква баттернат</x:v>
      </x:c>
      <x:c r="I165" s="28" t="str">
        <x:v>Овощи, бобовые и грибы</x:v>
      </x:c>
      <x:c r="J165" s="28" t="str">
        <x:v>крахмалистый, сладкий, древесный, слегка какаовый и печёный</x:v>
      </x:c>
      <x:c r="K165" s="28" t="str">
        <x:v>зелёный, землистый или умами</x:v>
      </x:c>
      <x:c r="L165" s="28" t="str">
        <x:v>фураны, мальтол, пиразины, альдегиды</x:v>
      </x:c>
      <x:c r="M165" s="28" t="str">
        <x:v>альдегиды, сернистые соединения</x:v>
      </x:c>
      <x:c r="N165" s="28" t="str">
        <x:v>прямое пересечение семейств не является единственным объяснением</x:v>
      </x:c>
      <x:c r="O165" s="28" t="str">
        <x:v>альдегиды</x:v>
      </x:c>
      <x:c r="P165" s="28" t="str">
        <x:v>общие ароматические соединения</x:v>
      </x:c>
      <x:c r="Q16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65" s="28" t="str">
        <x:v>минимальный</x:v>
      </x:c>
      <x:c r="S165" s="28" t="str">
        <x:v>крахмальная, сравнительно нежирная; после приготовления становится пюреобразной</x:v>
      </x:c>
      <x:c r="T165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65" s="28" t="str">
        <x:v>Каштан имеет профиль «крахмалистый, сладкий, древесный, слегка какаовый и печёный». Партнёр «тыква баттернат»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65" s="28" t="str">
        <x:v>сырой каштан жёсткий; требуется надрез перед запеканием; водянистое пюре размывает аромат</x:v>
      </x:c>
      <x:c r="W165" s="28" t="str">
        <x:v>соль, ваниль или карамель</x:v>
      </x:c>
      <x:c r="X165" s="28" t="str">
        <x:v>пралине, паста, выпечка, гарнир, соус, молочный или коктейльный компонент с тыква баттернат</x:v>
      </x:c>
      <x:c r="Y165" s="28" t="str">
        <x:v>еда, десерты, соусы/маринады</x:v>
      </x:c>
      <x:c r="Z165" s="28" t="str">
        <x:v>Средняя</x:v>
      </x:c>
      <x:c r="AA165" s="28" t="str">
        <x:v>Тезариус вкусов (Ники Сегнит)(1).pdf</x:v>
      </x:c>
      <x:c r="AB165" s="28" t="str">
        <x:v>Тезариус вкусов (Ники Сегнит)(1).pdf: 610, 620</x:v>
      </x:c>
      <x:c r="AC165" s="28" t="str">
        <x:v>Пара встречается как thesaurus; научное объяснение сформировано по ароматическому профилю и пищевой матрице.</x:v>
      </x:c>
      <x:c r="AD165" s="28" t="n">
        <x:v>1</x:v>
      </x:c>
      <x:c r="AE165" s="28" t="n">
        <x:v>2</x:v>
      </x:c>
      <x:c r="AF165" s="28" t="n">
        <x:f>IF(Z165="Высокая",3,IF(Z165="Средняя",2,1))+AD165*2+MIN(AE165,3)</x:f>
        <x:v>6</x:v>
      </x:c>
    </x:row>
    <x:row r="166" ht="62" customHeight="1">
      <x:c r="A166" s="28" t="str">
        <x:v>NCT-0165</x:v>
      </x:c>
      <x:c r="B166" s="28" t="str">
        <x:v>каштан</x:v>
      </x:c>
      <x:c r="C166" s="28" t="str">
        <x:v>Универсальные</x:v>
      </x:c>
      <x:c r="D166" s="28" t="str">
        <x:v>каштан</x:v>
      </x:c>
      <x:c r="E166" s="28" t="str">
        <x:v>Каштаны | каштаны</x:v>
      </x:c>
      <x:c r="F166" s="28" t="str">
        <x:v>Орехи и семена</x:v>
      </x:c>
      <x:c r="G166" s="28" t="str">
        <x:v>цыпленок</x:v>
      </x:c>
      <x:c r="H166" s="28" t="str">
        <x:v>Цыпленок | цыпленок</x:v>
      </x:c>
      <x:c r="I166" s="28" t="str">
        <x:v>Прочее</x:v>
      </x:c>
      <x:c r="J166" s="28" t="str">
        <x:v>крахмалистый, сладкий, древесный, слегка какаовый и печёный</x:v>
      </x:c>
      <x:c r="K166" s="28" t="str">
        <x:v>профиль зависит от конкретного продукта</x:v>
      </x:c>
      <x:c r="L166" s="28" t="str">
        <x:v>фураны, мальтол, пиразины, альдегиды</x:v>
      </x:c>
      <x:c r="M166" s="28" t="str">
        <x:v>характерный профиль зависит от конкретного продукта</x:v>
      </x:c>
      <x:c r="N166" s="28" t="str">
        <x:v>прямое пересечение семейств не является единственным объяснением</x:v>
      </x:c>
      <x:c r="O166" s="28" t="str">
        <x:v>надежная общая ключевая молекула не подтверждена</x:v>
      </x:c>
      <x:c r="P166" s="28" t="str">
        <x:v>сенсорная комплементарность</x:v>
      </x:c>
      <x:c r="Q16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66" s="28" t="str">
        <x:v>минимальный</x:v>
      </x:c>
      <x:c r="S166" s="28" t="str">
        <x:v>крахмальная, сравнительно нежирная; после приготовления становится пюреобразной</x:v>
      </x:c>
      <x:c r="T166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66" s="28" t="str">
        <x:v>Каштан имеет профиль «крахмалистый, сладкий, древесный, слегка какаовый и печёный». Партнёр «цыпленок»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66" s="28" t="str">
        <x:v>сырой каштан жёсткий; требуется надрез перед запеканием; водянистое пюре размывает аромат</x:v>
      </x:c>
      <x:c r="W166" s="28" t="str">
        <x:v>соль, ваниль или карамель</x:v>
      </x:c>
      <x:c r="X166" s="28" t="str">
        <x:v>пралине, паста, выпечка, гарнир, соус, молочный или коктейльный компонент с цыпленок</x:v>
      </x:c>
      <x:c r="Y166" s="28" t="str">
        <x:v>десерты</x:v>
      </x:c>
      <x:c r="Z166" s="28" t="str">
        <x:v>Средняя</x:v>
      </x:c>
      <x:c r="AA166" s="28" t="str">
        <x:v>Тезариус вкусов (Ники Сегнит)(1).pdf</x:v>
      </x:c>
      <x:c r="AB166" s="28" t="str">
        <x:v>Тезариус вкусов (Ники Сегнит)(1).pdf: 68, 620</x:v>
      </x:c>
      <x:c r="AC166" s="28" t="str">
        <x:v>Пара встречается как thesaurus; научное объяснение сформировано по ароматическому профилю и пищевой матрице.</x:v>
      </x:c>
      <x:c r="AD166" s="28" t="n">
        <x:v>1</x:v>
      </x:c>
      <x:c r="AE166" s="28" t="n">
        <x:v>2</x:v>
      </x:c>
      <x:c r="AF166" s="28" t="n">
        <x:f>IF(Z166="Высокая",3,IF(Z166="Средняя",2,1))+AD166*2+MIN(AE166,3)</x:f>
        <x:v>6</x:v>
      </x:c>
    </x:row>
    <x:row r="167" ht="62" customHeight="1">
      <x:c r="A167" s="28" t="str">
        <x:v>NCT-0166</x:v>
      </x:c>
      <x:c r="B167" s="28" t="str">
        <x:v>каштан</x:v>
      </x:c>
      <x:c r="C167" s="28" t="str">
        <x:v>Десерты и выпечка</x:v>
      </x:c>
      <x:c r="D167" s="28" t="str">
        <x:v>каштан</x:v>
      </x:c>
      <x:c r="E167" s="28" t="str">
        <x:v>Каштан | каштан</x:v>
      </x:c>
      <x:c r="F167" s="28" t="str">
        <x:v>Орехи и семена</x:v>
      </x:c>
      <x:c r="G167" s="28" t="str">
        <x:v>чернослив</x:v>
      </x:c>
      <x:c r="H167" s="28" t="str">
        <x:v>Чернослив | чернослив</x:v>
      </x:c>
      <x:c r="I167" s="28" t="str">
        <x:v>Фрукты и ягоды</x:v>
      </x:c>
      <x:c r="J167" s="28" t="str">
        <x:v>крахмалистый, сладкий, древесный, слегка какаовый и печёный</x:v>
      </x:c>
      <x:c r="K167" s="28" t="str">
        <x:v>фруктовый, цветочный и свежий</x:v>
      </x:c>
      <x:c r="L167" s="28" t="str">
        <x:v>фураны, мальтол, пиразины, альдегиды</x:v>
      </x:c>
      <x:c r="M167" s="28" t="str">
        <x:v>альдегиды, эфиры</x:v>
      </x:c>
      <x:c r="N167" s="28" t="str">
        <x:v>прямое пересечение семейств не является единственным объяснением</x:v>
      </x:c>
      <x:c r="O167" s="28" t="str">
        <x:v>альдегиды</x:v>
      </x:c>
      <x:c r="P167" s="28" t="str">
        <x:v>общие ароматические соединения, контраст кислоты и жирной/горькой матрицы</x:v>
      </x:c>
      <x:c r="Q16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67" s="28" t="str">
        <x:v>минимальный</x:v>
      </x:c>
      <x:c r="S167" s="28" t="str">
        <x:v>крахмальная, сравнительно нежирная; после приготовления становится пюреобразной Водная фруктовая фаза требует эмульсии или мелкого измельчения, если орех или шоколад вводится как паста.</x:v>
      </x:c>
      <x:c r="T167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67" s="28" t="str">
        <x:v>Каштан имеет профиль «крахмалистый, сладкий, древесный, слегка какаовый и печёный». Партнёр «чернослив»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67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W167" s="28" t="str">
        <x:v>ваниль, цитрус или молочный жир</x:v>
      </x:c>
      <x:c r="X167" s="28" t="str">
        <x:v>пралине, паста, выпечка, гарнир, соус, молочный или коктейльный компонент с чернослив</x:v>
      </x:c>
      <x:c r="Y167" s="28" t="str">
        <x:v>десерты</x:v>
      </x:c>
      <x:c r="Z167" s="28" t="str">
        <x:v>Гипотеза / практическая</x:v>
      </x:c>
      <x:c r="AA167" s="28" t="str">
        <x:v>Таблица сочетания(1).pdf</x:v>
      </x:c>
      <x:c r="AB167" s="28" t="str">
        <x:v>Таблица сочетания(1).pdf: 4, 18</x:v>
      </x:c>
      <x:c r="AC167" s="28" t="str">
        <x:v>Пара встречается как table; научное объяснение сформировано по ароматическому профилю и пищевой матрице.</x:v>
      </x:c>
      <x:c r="AD167" s="28" t="n">
        <x:v>1</x:v>
      </x:c>
      <x:c r="AE167" s="28" t="n">
        <x:v>2</x:v>
      </x:c>
      <x:c r="AF167" s="28" t="n">
        <x:f>IF(Z167="Высокая",3,IF(Z167="Средняя",2,1))+AD167*2+MIN(AE167,3)</x:f>
        <x:v>5</x:v>
      </x:c>
    </x:row>
    <x:row r="168" ht="62" customHeight="1">
      <x:c r="A168" s="28" t="str">
        <x:v>NCT-0167</x:v>
      </x:c>
      <x:c r="B168" s="28" t="str">
        <x:v>каштан</x:v>
      </x:c>
      <x:c r="C168" s="28" t="str">
        <x:v>Десерты и выпечка</x:v>
      </x:c>
      <x:c r="D168" s="28" t="str">
        <x:v>каштан</x:v>
      </x:c>
      <x:c r="E168" s="28" t="str">
        <x:v>Каштан | Каштаны | каштаны</x:v>
      </x:c>
      <x:c r="F168" s="28" t="str">
        <x:v>Орехи и семена</x:v>
      </x:c>
      <x:c r="G168" s="28" t="str">
        <x:v>шоколад</x:v>
      </x:c>
      <x:c r="H168" s="28" t="str">
        <x:v>Шоколад | шоколад</x:v>
      </x:c>
      <x:c r="I168" s="28" t="str">
        <x:v>Какао и шоколад</x:v>
      </x:c>
      <x:c r="J168" s="28" t="str">
        <x:v>крахмалистый, сладкий, древесный, слегка какаовый и печёный</x:v>
      </x:c>
      <x:c r="K168" s="28" t="str">
        <x:v>жареный, какаовый, фруктовый, цветочный, древесный и пряный; профиль зависит от происхождения и обжарки</x:v>
      </x:c>
      <x:c r="L168" s="28" t="str">
        <x:v>фураны, мальтол, пиразины, альдегиды</x:v>
      </x:c>
      <x:c r="M168" s="28" t="str">
        <x:v>альдегиды, пиразины, теобромин, фураны, эфиры</x:v>
      </x:c>
      <x:c r="N168" s="28" t="str">
        <x:v>какаовый</x:v>
      </x:c>
      <x:c r="O168" s="28" t="str">
        <x:v>альдегиды, пиразины, фураны</x:v>
      </x:c>
      <x:c r="P168" s="28" t="str">
        <x:v>общие ароматические соединения, пересечение ароматических семейств, жареная химия и реакции Майяра</x:v>
      </x:c>
      <x:c r="Q16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68" s="28" t="str">
        <x:v>минимальный</x:v>
      </x:c>
      <x:c r="S168" s="28" t="str">
        <x:v>крахмальная, сравнительно нежирная; после приготовления становится пюреобразной</x:v>
      </x:c>
      <x:c r="T168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68" s="28" t="str">
        <x:v>Каштан имеет профиль «крахмалистый, сладкий, древесный, слегка какаовый и печёный».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какаовый; альдегиды, пиразины, фураны.</x:v>
      </x:c>
      <x:c r="V168" s="28" t="str">
        <x:v>сырой каштан жёсткий; требуется надрез перед запеканием; водянистое пюре размывает аромат</x:v>
      </x:c>
      <x:c r="W168" s="28" t="str">
        <x:v>соль, ваниль или карамель</x:v>
      </x:c>
      <x:c r="X168" s="28" t="str">
        <x:v>пралине, паста, выпечка, гарнир, соус, молочный или коктейльный компонент с шоколад</x:v>
      </x:c>
      <x:c r="Y168" s="28" t="str">
        <x:v>десерты</x:v>
      </x:c>
      <x:c r="Z168" s="28" t="str">
        <x:v>Высокая</x:v>
      </x:c>
      <x:c r="AA168" s="28" t="str">
        <x:v>Таблица сочетания(1).pdf | Тезариус вкусов (Ники Сегнит)(1).pdf</x:v>
      </x:c>
      <x:c r="AB168" s="28" t="str">
        <x:v>Таблица сочетания(1).pdf: 4; Тезариус вкусов (Ники Сегнит)(1).pdf: 30, 621</x:v>
      </x:c>
      <x:c r="AC168" s="28" t="str">
        <x:v>Пара встречается как table, thesaurus; научное объяснение сформировано по ароматическому профилю и пищевой матрице.</x:v>
      </x:c>
      <x:c r="AD168" s="28" t="n">
        <x:v>2</x:v>
      </x:c>
      <x:c r="AE168" s="28" t="n">
        <x:v>3</x:v>
      </x:c>
      <x:c r="AF168" s="28" t="n">
        <x:f>IF(Z168="Высокая",3,IF(Z168="Средняя",2,1))+AD168*2+MIN(AE168,3)</x:f>
        <x:v>10</x:v>
      </x:c>
    </x:row>
    <x:row r="169" ht="62" customHeight="1">
      <x:c r="A169" s="28" t="str">
        <x:v>NCT-0168</x:v>
      </x:c>
      <x:c r="B169" s="28" t="str">
        <x:v>каштан</x:v>
      </x:c>
      <x:c r="C169" s="28" t="str">
        <x:v>Десерты и выпечка</x:v>
      </x:c>
      <x:c r="D169" s="28" t="str">
        <x:v>каштан</x:v>
      </x:c>
      <x:c r="E169" s="28" t="str">
        <x:v>каштан</x:v>
      </x:c>
      <x:c r="F169" s="28" t="str">
        <x:v>Орехи и семена</x:v>
      </x:c>
      <x:c r="G169" s="28" t="str">
        <x:v>яблоко</x:v>
      </x:c>
      <x:c r="H169" s="28" t="str">
        <x:v>Яблоко</x:v>
      </x:c>
      <x:c r="I169" s="28" t="str">
        <x:v>Фрукты и ягоды</x:v>
      </x:c>
      <x:c r="J169" s="28" t="str">
        <x:v>крахмалистый, сладкий, древесный, слегка какаовый и печёный</x:v>
      </x:c>
      <x:c r="K169" s="28" t="str">
        <x:v>фруктовый, цветочный и свежий</x:v>
      </x:c>
      <x:c r="L169" s="28" t="str">
        <x:v>фураны, мальтол, пиразины, альдегиды</x:v>
      </x:c>
      <x:c r="M169" s="28" t="str">
        <x:v>альдегиды, эфиры</x:v>
      </x:c>
      <x:c r="N169" s="28" t="str">
        <x:v>прямое пересечение семейств не является единственным объяснением</x:v>
      </x:c>
      <x:c r="O169" s="28" t="str">
        <x:v>альдегиды</x:v>
      </x:c>
      <x:c r="P169" s="28" t="str">
        <x:v>общие ароматические соединения, контраст кислоты и жирной/горькой матрицы</x:v>
      </x:c>
      <x:c r="Q16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69" s="28" t="str">
        <x:v>минимальный</x:v>
      </x:c>
      <x:c r="S169" s="28" t="str">
        <x:v>крахмальная, сравнительно нежирная; после приготовления становится пюреобразной Водная фруктовая фаза требует эмульсии или мелкого измельчения, если орех или шоколад вводится как паста.</x:v>
      </x:c>
      <x:c r="T169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U169" s="28" t="str">
        <x:v>Каштан имеет профиль «крахмалистый, сладкий, древесный, слегка какаовый и печёный». Партнёр «яблоко»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69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W169" s="28" t="str">
        <x:v>ваниль, цитрус или молочный жир</x:v>
      </x:c>
      <x:c r="X169" s="28" t="str">
        <x:v>пралине, паста, выпечка, гарнир, соус, молочный или коктейльный компонент с яблоко</x:v>
      </x:c>
      <x:c r="Y169" s="28" t="str">
        <x:v>десерты</x:v>
      </x:c>
      <x:c r="Z169" s="28" t="str">
        <x:v>Гипотеза / практическая</x:v>
      </x:c>
      <x:c r="AA169" s="28" t="str">
        <x:v>Таблица сочетания(1).pdf</x:v>
      </x:c>
      <x:c r="AB169" s="28" t="str">
        <x:v>Таблица сочетания(1).pdf: 1</x:v>
      </x:c>
      <x:c r="AC169" s="28" t="str">
        <x:v>Пара встречается как table; научное объяснение сформировано по ароматическому профилю и пищевой матрице.</x:v>
      </x:c>
      <x:c r="AD169" s="28" t="n">
        <x:v>1</x:v>
      </x:c>
      <x:c r="AE169" s="28" t="n">
        <x:v>2</x:v>
      </x:c>
      <x:c r="AF169" s="28" t="n">
        <x:f>IF(Z169="Высокая",3,IF(Z169="Средняя",2,1))+AD169*2+MIN(AE169,3)</x:f>
        <x:v>5</x:v>
      </x:c>
    </x:row>
    <x:row r="170" ht="62" customHeight="1">
      <x:c r="A170" s="28" t="str">
        <x:v>NCT-0169</x:v>
      </x:c>
      <x:c r="B170" s="28" t="str">
        <x:v>кедровый орех</x:v>
      </x:c>
      <x:c r="C170" s="28" t="str">
        <x:v>Еда и соусы</x:v>
      </x:c>
      <x:c r="D170" s="28" t="str">
        <x:v>кедровый орех</x:v>
      </x:c>
      <x:c r="E170" s="28" t="str">
        <x:v>pine nut</x:v>
      </x:c>
      <x:c r="F170" s="28" t="str">
        <x:v>Орехи и семена</x:v>
      </x:c>
      <x:c r="G170" s="28" t="str">
        <x:v>fish</x:v>
      </x:c>
      <x:c r="H170" s="28" t="str">
        <x:v>fish</x:v>
      </x:c>
      <x:c r="I170" s="28" t="str">
        <x:v>Рыба и морепродукты</x:v>
      </x:c>
      <x:c r="J170" s="28" t="str">
        <x:v>смолистый, сливочный, зелёный и ореховый</x:v>
      </x:c>
      <x:c r="K170" s="28" t="str">
        <x:v>морской, солоноватый и умами</x:v>
      </x:c>
      <x:c r="L170" s="28" t="str">
        <x:v>пинены, альдегиды, пиразины</x:v>
      </x:c>
      <x:c r="M170" s="28" t="str">
        <x:v>альдегиды, амины</x:v>
      </x:c>
      <x:c r="N170" s="28" t="str">
        <x:v>прямое пересечение семейств не является единственным объяснением</x:v>
      </x:c>
      <x:c r="O170" s="28" t="str">
        <x:v>альдегиды</x:v>
      </x:c>
      <x:c r="P170" s="28" t="str">
        <x:v>общие ароматические соединения, солёно-умами контраст</x:v>
      </x:c>
      <x:c r="Q17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70" s="28" t="str">
        <x:v>минимальный</x:v>
      </x:c>
      <x:c r="S170" s="28" t="str">
        <x:v>жирная нежная матрица; быстро окисляется после очистки</x:v>
      </x:c>
      <x:c r="T170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U170" s="28" t="str">
        <x:v>Кедровый орех имеет профиль «смолистый, сливочный, зелёный и ореховый».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70" s="28" t="str">
        <x:v>аллерген; прогоркание; у части партий возможен длительный горький привкус; малейшая прогорклость ореха или шоколада усиливает неприятные рыбные оттенки</x:v>
      </x:c>
      <x:c r="W170" s="28" t="str">
        <x:v>соль, соевый соус, коричневое масло или специя</x:v>
      </x:c>
      <x:c r="X170" s="28" t="str">
        <x:v>пралине, паста, выпечка, гарнир, соус, молочный или коктейльный компонент с fish</x:v>
      </x:c>
      <x:c r="Y170" s="28" t="str">
        <x:v>еда, десерты, соусы/маринады</x:v>
      </x:c>
      <x:c r="Z170" s="28" t="str">
        <x:v>Средняя</x:v>
      </x:c>
      <x:c r="AA170" s="28" t="str">
        <x:v>The Art &amp; Science of Foodpairing.pdf</x:v>
      </x:c>
      <x:c r="AB170" s="28" t="str">
        <x:v>The Art &amp; Science of Foodpairing.pdf: 104</x:v>
      </x:c>
      <x:c r="AC170" s="28" t="str">
        <x:v>Пара встречается как grid; научное объяснение сформировано по ароматическому профилю и пищевой матрице.</x:v>
      </x:c>
      <x:c r="AD170" s="28" t="n">
        <x:v>1</x:v>
      </x:c>
      <x:c r="AE170" s="28" t="n">
        <x:v>1</x:v>
      </x:c>
      <x:c r="AF170" s="28" t="n">
        <x:f>IF(Z170="Высокая",3,IF(Z170="Средняя",2,1))+AD170*2+MIN(AE170,3)</x:f>
        <x:v>5</x:v>
      </x:c>
    </x:row>
    <x:row r="171" ht="62" customHeight="1">
      <x:c r="A171" s="28" t="str">
        <x:v>NCT-0170</x:v>
      </x:c>
      <x:c r="B171" s="28" t="str">
        <x:v>кедровый орех</x:v>
      </x:c>
      <x:c r="C171" s="28" t="str">
        <x:v>Универсальные</x:v>
      </x:c>
      <x:c r="D171" s="28" t="str">
        <x:v>кедровый орех</x:v>
      </x:c>
      <x:c r="E171" s="28" t="str">
        <x:v>Кедровый орех</x:v>
      </x:c>
      <x:c r="F171" s="28" t="str">
        <x:v>Орехи и семена</x:v>
      </x:c>
      <x:c r="G171" s="28" t="str">
        <x:v>базилик</x:v>
      </x:c>
      <x:c r="H171" s="28" t="str">
        <x:v>базилик</x:v>
      </x:c>
      <x:c r="I171" s="28" t="str">
        <x:v>Травы, цветы и листья</x:v>
      </x:c>
      <x:c r="J171" s="28" t="str">
        <x:v>смолистый, сливочный, зелёный и ореховый</x:v>
      </x:c>
      <x:c r="K171" s="28" t="str">
        <x:v>зелёный, цветочный и терпеновый</x:v>
      </x:c>
      <x:c r="L171" s="28" t="str">
        <x:v>пинены, альдегиды, пиразины</x:v>
      </x:c>
      <x:c r="M171" s="28" t="str">
        <x:v>линалоол, терпены</x:v>
      </x:c>
      <x:c r="N171" s="28" t="str">
        <x:v>зелёный</x:v>
      </x:c>
      <x:c r="O171" s="28" t="str">
        <x:v>надежная общая ключевая молекула не подтверждена</x:v>
      </x:c>
      <x:c r="P171" s="28" t="str">
        <x:v>пересечение ароматических семейств</x:v>
      </x:c>
      <x:c r="Q17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71" s="28" t="str">
        <x:v>минимальный</x:v>
      </x:c>
      <x:c r="S171" s="28" t="str">
        <x:v>жирная нежная матрица; быстро окисляется после очистки</x:v>
      </x:c>
      <x:c r="T171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U171" s="28" t="str">
        <x:v>Кедровый орех имеет профиль «смолистый, сливочный, зелёный и ореховый». Партнёр «базилик» относится к группе «Травы, цветы и листья» и даёт зелёный, цветочный и терпеновый. Профили пересекаются в семействах: зелёный Ореховый жир служит носителем ароматов и создаёт текстурный контраст, но окисление быстро превращает профиль в прогорклый. Итог: зелёный; механизм не следует сводить к одной общей молекуле.</x:v>
      </x:c>
      <x:c r="V171" s="28" t="str">
        <x:v>аллерген; прогоркание; у части партий возможен длительный горький привкус</x:v>
      </x:c>
      <x:c r="W171" s="28" t="str">
        <x:v>цитрус, мёд или сливки</x:v>
      </x:c>
      <x:c r="X171" s="28" t="str">
        <x:v>пралине, паста, выпечка, гарнир, соус, молочный или коктейльный компонент с базилик</x:v>
      </x:c>
      <x:c r="Y171" s="28" t="str">
        <x:v>десерты</x:v>
      </x:c>
      <x:c r="Z171" s="28" t="str">
        <x:v>Гипотеза / практическая</x:v>
      </x:c>
      <x:c r="AA171" s="28" t="str">
        <x:v>Таблица сочетания(1).pdf</x:v>
      </x:c>
      <x:c r="AB171" s="28" t="str">
        <x:v>Таблица сочетания(1).pdf: 16</x:v>
      </x:c>
      <x:c r="AC171" s="28" t="str">
        <x:v>Пара встречается как table; научное объяснение сформировано по ароматическому профилю и пищевой матрице.</x:v>
      </x:c>
      <x:c r="AD171" s="28" t="n">
        <x:v>1</x:v>
      </x:c>
      <x:c r="AE171" s="28" t="n">
        <x:v>1</x:v>
      </x:c>
      <x:c r="AF171" s="28" t="n">
        <x:f>IF(Z171="Высокая",3,IF(Z171="Средняя",2,1))+AD171*2+MIN(AE171,3)</x:f>
        <x:v>4</x:v>
      </x:c>
    </x:row>
    <x:row r="172" ht="62" customHeight="1">
      <x:c r="A172" s="28" t="str">
        <x:v>NCT-0171</x:v>
      </x:c>
      <x:c r="B172" s="28" t="str">
        <x:v>кедровый орех</x:v>
      </x:c>
      <x:c r="C172" s="28" t="str">
        <x:v>Универсальные</x:v>
      </x:c>
      <x:c r="D172" s="28" t="str">
        <x:v>кедровый орех</x:v>
      </x:c>
      <x:c r="E172" s="28" t="str">
        <x:v>Кедровый орех</x:v>
      </x:c>
      <x:c r="F172" s="28" t="str">
        <x:v>Орехи и семена</x:v>
      </x:c>
      <x:c r="G172" s="28" t="str">
        <x:v>имбирь</x:v>
      </x:c>
      <x:c r="H172" s="28" t="str">
        <x:v>имбирь</x:v>
      </x:c>
      <x:c r="I172" s="28" t="str">
        <x:v>Специи</x:v>
      </x:c>
      <x:c r="J172" s="28" t="str">
        <x:v>смолистый, сливочный, зелёный и ореховый</x:v>
      </x:c>
      <x:c r="K172" s="28" t="str">
        <x:v>пряный, тёплый, цитрусовый</x:v>
      </x:c>
      <x:c r="L172" s="28" t="str">
        <x:v>пинены, альдегиды, пиразины</x:v>
      </x:c>
      <x:c r="M172" s="28" t="str">
        <x:v>гингеролы, цитраль</x:v>
      </x:c>
      <x:c r="N172" s="28" t="str">
        <x:v>прямое пересечение семейств не является единственным объяснением</x:v>
      </x:c>
      <x:c r="O172" s="28" t="str">
        <x:v>надежная общая ключевая молекула не подтверждена</x:v>
      </x:c>
      <x:c r="P172" s="28" t="str">
        <x:v>сенсорная комплементарность</x:v>
      </x:c>
      <x:c r="Q17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72" s="28" t="str">
        <x:v>минимальный; у острого партнёра тройничный эффект может доминировать</x:v>
      </x:c>
      <x:c r="S172" s="28" t="str">
        <x:v>жирная нежная матрица; быстро окисляется после очистки</x:v>
      </x:c>
      <x:c r="T172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U172" s="28" t="str">
        <x:v>Кедровый орех имеет профиль «смолистый, сливочный, зелёный и ореховый». Партнёр «имбирь» относится к группе «Специи» и даёт пряный, тёплый,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72" s="28" t="str">
        <x:v>аллерген; прогоркание; у части партий возможен длительный горький привкус</x:v>
      </x:c>
      <x:c r="W172" s="28" t="str">
        <x:v>ваниль, апельсин или мёд</x:v>
      </x:c>
      <x:c r="X172" s="28" t="str">
        <x:v>пралине, паста, выпечка, гарнир, соус, молочный или коктейльный компонент с имбирь</x:v>
      </x:c>
      <x:c r="Y172" s="28" t="str">
        <x:v>десерты</x:v>
      </x:c>
      <x:c r="Z172" s="28" t="str">
        <x:v>Гипотеза / практическая</x:v>
      </x:c>
      <x:c r="AA172" s="28" t="str">
        <x:v>Таблица сочетания(1).pdf</x:v>
      </x:c>
      <x:c r="AB172" s="28" t="str">
        <x:v>Таблица сочетания(1).pdf: 16</x:v>
      </x:c>
      <x:c r="AC172" s="28" t="str">
        <x:v>Пара встречается как table; научное объяснение сформировано по ароматическому профилю и пищевой матрице.</x:v>
      </x:c>
      <x:c r="AD172" s="28" t="n">
        <x:v>1</x:v>
      </x:c>
      <x:c r="AE172" s="28" t="n">
        <x:v>1</x:v>
      </x:c>
      <x:c r="AF172" s="28" t="n">
        <x:f>IF(Z172="Высокая",3,IF(Z172="Средняя",2,1))+AD172*2+MIN(AE172,3)</x:f>
        <x:v>4</x:v>
      </x:c>
    </x:row>
    <x:row r="173" ht="62" customHeight="1">
      <x:c r="A173" s="28" t="str">
        <x:v>NCT-0172</x:v>
      </x:c>
      <x:c r="B173" s="28" t="str">
        <x:v>кедровый орех</x:v>
      </x:c>
      <x:c r="C173" s="28" t="str">
        <x:v>Десерты и выпечка</x:v>
      </x:c>
      <x:c r="D173" s="28" t="str">
        <x:v>кедровый орех</x:v>
      </x:c>
      <x:c r="E173" s="28" t="str">
        <x:v>Кедровый орех</x:v>
      </x:c>
      <x:c r="F173" s="28" t="str">
        <x:v>Орехи и семена</x:v>
      </x:c>
      <x:c r="G173" s="28" t="str">
        <x:v>инжир</x:v>
      </x:c>
      <x:c r="H173" s="28" t="str">
        <x:v>инжир</x:v>
      </x:c>
      <x:c r="I173" s="28" t="str">
        <x:v>Фрукты и ягоды</x:v>
      </x:c>
      <x:c r="J173" s="28" t="str">
        <x:v>смолистый, сливочный, зелёный и ореховый</x:v>
      </x:c>
      <x:c r="K173" s="28" t="str">
        <x:v>фруктовый, цветочный и свежий</x:v>
      </x:c>
      <x:c r="L173" s="28" t="str">
        <x:v>пинены, альдегиды, пиразины</x:v>
      </x:c>
      <x:c r="M173" s="28" t="str">
        <x:v>альдегиды, эфиры</x:v>
      </x:c>
      <x:c r="N173" s="28" t="str">
        <x:v>прямое пересечение семейств не является единственным объяснением</x:v>
      </x:c>
      <x:c r="O173" s="28" t="str">
        <x:v>альдегиды</x:v>
      </x:c>
      <x:c r="P173" s="28" t="str">
        <x:v>общие ароматические соединения, контраст кислоты и жирной/горькой матрицы</x:v>
      </x:c>
      <x:c r="Q17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73" s="28" t="str">
        <x:v>минимальный</x:v>
      </x:c>
      <x:c r="S173" s="28" t="str">
        <x:v>жирная нежная матрица; быстро окисляется после очистки Водная фруктовая фаза требует эмульсии или мелкого измельчения, если орех или шоколад вводится как паста.</x:v>
      </x:c>
      <x:c r="T173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U173" s="28" t="str">
        <x:v>Кедровый орех имеет профиль «смолистый, сливочный, зелёный и ореховый». Партнёр «инжир»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73" s="28" t="str">
        <x:v>аллерген; прогоркание; у части партий возможен длительный горький привкус; избыток кислоты может сделать чай или кофе резкими и разрушить молочную эмульсию</x:v>
      </x:c>
      <x:c r="W173" s="28" t="str">
        <x:v>ваниль, цитрус или молочный жир</x:v>
      </x:c>
      <x:c r="X173" s="28" t="str">
        <x:v>пралине, паста, выпечка, гарнир, соус, молочный или коктейльный компонент с инжир</x:v>
      </x:c>
      <x:c r="Y173" s="28" t="str">
        <x:v>десерты</x:v>
      </x:c>
      <x:c r="Z173" s="28" t="str">
        <x:v>Гипотеза / практическая</x:v>
      </x:c>
      <x:c r="AA173" s="28" t="str">
        <x:v>Таблица сочетания(1).pdf</x:v>
      </x:c>
      <x:c r="AB173" s="28" t="str">
        <x:v>Таблица сочетания(1).pdf: 16</x:v>
      </x:c>
      <x:c r="AC173" s="28" t="str">
        <x:v>Пара встречается как table; научное объяснение сформировано по ароматическому профилю и пищевой матрице.</x:v>
      </x:c>
      <x:c r="AD173" s="28" t="n">
        <x:v>1</x:v>
      </x:c>
      <x:c r="AE173" s="28" t="n">
        <x:v>1</x:v>
      </x:c>
      <x:c r="AF173" s="28" t="n">
        <x:f>IF(Z173="Высокая",3,IF(Z173="Средняя",2,1))+AD173*2+MIN(AE173,3)</x:f>
        <x:v>4</x:v>
      </x:c>
    </x:row>
    <x:row r="174" ht="62" customHeight="1">
      <x:c r="A174" s="28" t="str">
        <x:v>NCT-0173</x:v>
      </x:c>
      <x:c r="B174" s="28" t="str">
        <x:v>кедровый орех</x:v>
      </x:c>
      <x:c r="C174" s="28" t="str">
        <x:v>Десерты и выпечка</x:v>
      </x:c>
      <x:c r="D174" s="28" t="str">
        <x:v>кедровый орех</x:v>
      </x:c>
      <x:c r="E174" s="28" t="str">
        <x:v>Кедровый орех</x:v>
      </x:c>
      <x:c r="F174" s="28" t="str">
        <x:v>Орехи и семена</x:v>
      </x:c>
      <x:c r="G174" s="28" t="str">
        <x:v>кленовый сироп</x:v>
      </x:c>
      <x:c r="H174" s="28" t="str">
        <x:v>кленовый сироп</x:v>
      </x:c>
      <x:c r="I174" s="28" t="str">
        <x:v>Выпечка, сахара и десерты</x:v>
      </x:c>
      <x:c r="J174" s="28" t="str">
        <x:v>смолистый, сливочный, зелёный и ореховый</x:v>
      </x:c>
      <x:c r="K174" s="28" t="str">
        <x:v>сладкий, карамельный и жареный</x:v>
      </x:c>
      <x:c r="L174" s="28" t="str">
        <x:v>пинены, альдегиды, пиразины</x:v>
      </x:c>
      <x:c r="M174" s="28" t="str">
        <x:v>мальтол, пиразины, фураны</x:v>
      </x:c>
      <x:c r="N174" s="28" t="str">
        <x:v>прямое пересечение семейств не является единственным объяснением</x:v>
      </x:c>
      <x:c r="O174" s="28" t="str">
        <x:v>пиразины</x:v>
      </x:c>
      <x:c r="P174" s="28" t="str">
        <x:v>общие ароматические соединения, жареная химия и реакции Майяра</x:v>
      </x:c>
      <x:c r="Q17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74" s="28" t="str">
        <x:v>минимальный</x:v>
      </x:c>
      <x:c r="S174" s="28" t="str">
        <x:v>жирная нежная матрица; быстро окисляется после очистки</x:v>
      </x:c>
      <x:c r="T174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U174" s="28" t="str">
        <x:v>Кедровый орех имеет профиль «смолистый, сливочный, зелёный и ореховый». Партнёр «кленовый сироп» относится к группе «Выпечка, сахара и десерты» и даёт сладкий, карамельный и жареный.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V174" s="28" t="str">
        <x:v>аллерген; прогоркание; у части партий возможен длительный горький привкус</x:v>
      </x:c>
      <x:c r="W174" s="28" t="str">
        <x:v>соль, ваниль или карамель</x:v>
      </x:c>
      <x:c r="X174" s="28" t="str">
        <x:v>пралине, паста, выпечка, гарнир, соус, молочный или коктейльный компонент с кленовый сироп</x:v>
      </x:c>
      <x:c r="Y174" s="28" t="str">
        <x:v>напитки, десерты</x:v>
      </x:c>
      <x:c r="Z174" s="28" t="str">
        <x:v>Гипотеза / практическая</x:v>
      </x:c>
      <x:c r="AA174" s="28" t="str">
        <x:v>Таблица сочетания(1).pdf</x:v>
      </x:c>
      <x:c r="AB174" s="28" t="str">
        <x:v>Таблица сочетания(1).pdf: 16</x:v>
      </x:c>
      <x:c r="AC174" s="28" t="str">
        <x:v>Пара встречается как table; научное объяснение сформировано по ароматическому профилю и пищевой матрице.</x:v>
      </x:c>
      <x:c r="AD174" s="28" t="n">
        <x:v>1</x:v>
      </x:c>
      <x:c r="AE174" s="28" t="n">
        <x:v>1</x:v>
      </x:c>
      <x:c r="AF174" s="28" t="n">
        <x:f>IF(Z174="Высокая",3,IF(Z174="Средняя",2,1))+AD174*2+MIN(AE174,3)</x:f>
        <x:v>4</x:v>
      </x:c>
    </x:row>
    <x:row r="175" ht="62" customHeight="1">
      <x:c r="A175" s="28" t="str">
        <x:v>NCT-0174</x:v>
      </x:c>
      <x:c r="B175" s="28" t="str">
        <x:v>кедровый орех</x:v>
      </x:c>
      <x:c r="C175" s="28" t="str">
        <x:v>Универсальные</x:v>
      </x:c>
      <x:c r="D175" s="28" t="str">
        <x:v>кедровый орех</x:v>
      </x:c>
      <x:c r="E175" s="28" t="str">
        <x:v>Кедровый орех</x:v>
      </x:c>
      <x:c r="F175" s="28" t="str">
        <x:v>Орехи и семена</x:v>
      </x:c>
      <x:c r="G175" s="28" t="str">
        <x:v>куркума</x:v>
      </x:c>
      <x:c r="H175" s="28" t="str">
        <x:v>куркума</x:v>
      </x:c>
      <x:c r="I175" s="28" t="str">
        <x:v>Прочее</x:v>
      </x:c>
      <x:c r="J175" s="28" t="str">
        <x:v>смолистый, сливочный, зелёный и ореховый</x:v>
      </x:c>
      <x:c r="K175" s="28" t="str">
        <x:v>профиль зависит от конкретного продукта</x:v>
      </x:c>
      <x:c r="L175" s="28" t="str">
        <x:v>пинены, альдегиды, пиразины</x:v>
      </x:c>
      <x:c r="M175" s="28" t="str">
        <x:v>характерный профиль зависит от конкретного продукта</x:v>
      </x:c>
      <x:c r="N175" s="28" t="str">
        <x:v>прямое пересечение семейств не является единственным объяснением</x:v>
      </x:c>
      <x:c r="O175" s="28" t="str">
        <x:v>надежная общая ключевая молекула не подтверждена</x:v>
      </x:c>
      <x:c r="P175" s="28" t="str">
        <x:v>сенсорная комплементарность</x:v>
      </x:c>
      <x:c r="Q17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75" s="28" t="str">
        <x:v>минимальный</x:v>
      </x:c>
      <x:c r="S175" s="28" t="str">
        <x:v>жирная нежная матрица; быстро окисляется после очистки</x:v>
      </x:c>
      <x:c r="T175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U175" s="28" t="str">
        <x:v>Кедровый орех имеет профиль «смолистый, сливочный, зелёный и ореховый». Партнёр «куркума»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75" s="28" t="str">
        <x:v>аллерген; прогоркание; у части партий возможен длительный горький привкус</x:v>
      </x:c>
      <x:c r="W175" s="28" t="str">
        <x:v>соль, ваниль или карамель</x:v>
      </x:c>
      <x:c r="X175" s="28" t="str">
        <x:v>пралине, паста, выпечка, гарнир, соус, молочный или коктейльный компонент с куркума</x:v>
      </x:c>
      <x:c r="Y175" s="28" t="str">
        <x:v>десерты</x:v>
      </x:c>
      <x:c r="Z175" s="28" t="str">
        <x:v>Гипотеза / практическая</x:v>
      </x:c>
      <x:c r="AA175" s="28" t="str">
        <x:v>Таблица сочетания(1).pdf</x:v>
      </x:c>
      <x:c r="AB175" s="28" t="str">
        <x:v>Таблица сочетания(1).pdf: 16</x:v>
      </x:c>
      <x:c r="AC175" s="28" t="str">
        <x:v>Пара встречается как table; научное объяснение сформировано по ароматическому профилю и пищевой матрице.</x:v>
      </x:c>
      <x:c r="AD175" s="28" t="n">
        <x:v>1</x:v>
      </x:c>
      <x:c r="AE175" s="28" t="n">
        <x:v>1</x:v>
      </x:c>
      <x:c r="AF175" s="28" t="n">
        <x:f>IF(Z175="Высокая",3,IF(Z175="Средняя",2,1))+AD175*2+MIN(AE175,3)</x:f>
        <x:v>4</x:v>
      </x:c>
    </x:row>
    <x:row r="176" ht="62" customHeight="1">
      <x:c r="A176" s="28" t="str">
        <x:v>NCT-0175</x:v>
      </x:c>
      <x:c r="B176" s="28" t="str">
        <x:v>кедровый орех</x:v>
      </x:c>
      <x:c r="C176" s="28" t="str">
        <x:v>Десерты и выпечка</x:v>
      </x:c>
      <x:c r="D176" s="28" t="str">
        <x:v>кедровый орех</x:v>
      </x:c>
      <x:c r="E176" s="28" t="str">
        <x:v>Кедровый орех | кедровый орех</x:v>
      </x:c>
      <x:c r="F176" s="28" t="str">
        <x:v>Орехи и семена</x:v>
      </x:c>
      <x:c r="G176" s="28" t="str">
        <x:v>лимон</x:v>
      </x:c>
      <x:c r="H176" s="28" t="str">
        <x:v>Лимон | лимон</x:v>
      </x:c>
      <x:c r="I176" s="28" t="str">
        <x:v>Фрукты и ягоды</x:v>
      </x:c>
      <x:c r="J176" s="28" t="str">
        <x:v>смолистый, сливочный, зелёный и ореховый</x:v>
      </x:c>
      <x:c r="K176" s="28" t="str">
        <x:v>кислый, цитрусовый</x:v>
      </x:c>
      <x:c r="L176" s="28" t="str">
        <x:v>пинены, альдегиды, пиразины</x:v>
      </x:c>
      <x:c r="M176" s="28" t="str">
        <x:v>лимонен, цитраль</x:v>
      </x:c>
      <x:c r="N176" s="28" t="str">
        <x:v>прямое пересечение семейств не является единственным объяснением</x:v>
      </x:c>
      <x:c r="O176" s="28" t="str">
        <x:v>надежная общая ключевая молекула не подтверждена</x:v>
      </x:c>
      <x:c r="P176" s="28" t="str">
        <x:v>контраст кислоты и жирной/горькой матрицы</x:v>
      </x:c>
      <x:c r="Q17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76" s="28" t="str">
        <x:v>минимальный</x:v>
      </x:c>
      <x:c r="S176" s="28" t="str">
        <x:v>жирная нежная матрица; быстро окисляется после очистки Водная фруктовая фаза требует эмульсии или мелкого измельчения, если орех или шоколад вводится как паста.</x:v>
      </x:c>
      <x:c r="T176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U176" s="28" t="str">
        <x:v>Кедровый орех имеет профиль «смолистый, сливочный, зелёный и ореховый».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76" s="28" t="str">
        <x:v>аллерген; прогоркание; у части партий возможен длительный горький привкус; избыток кислоты может сделать чай или кофе резкими и разрушить молочную эмульсию</x:v>
      </x:c>
      <x:c r="W176" s="28" t="str">
        <x:v>ваниль, цитрус или молочный жир</x:v>
      </x:c>
      <x:c r="X176" s="28" t="str">
        <x:v>пралине, паста, выпечка, гарнир, соус, молочный или коктейльный компонент с лимон</x:v>
      </x:c>
      <x:c r="Y176" s="28" t="str">
        <x:v>десерты</x:v>
      </x:c>
      <x:c r="Z176" s="28" t="str">
        <x:v>Гипотеза / практическая</x:v>
      </x:c>
      <x:c r="AA176" s="28" t="str">
        <x:v>Таблица сочетания(1).pdf</x:v>
      </x:c>
      <x:c r="AB176" s="28" t="str">
        <x:v>Таблица сочетания(1).pdf: 11, 16</x:v>
      </x:c>
      <x:c r="AC176" s="28" t="str">
        <x:v>Пара встречается как table; научное объяснение сформировано по ароматическому профилю и пищевой матрице.</x:v>
      </x:c>
      <x:c r="AD176" s="28" t="n">
        <x:v>1</x:v>
      </x:c>
      <x:c r="AE176" s="28" t="n">
        <x:v>2</x:v>
      </x:c>
      <x:c r="AF176" s="28" t="n">
        <x:f>IF(Z176="Высокая",3,IF(Z176="Средняя",2,1))+AD176*2+MIN(AE176,3)</x:f>
        <x:v>5</x:v>
      </x:c>
    </x:row>
    <x:row r="177" ht="62" customHeight="1">
      <x:c r="A177" s="28" t="str">
        <x:v>NCT-0176</x:v>
      </x:c>
      <x:c r="B177" s="28" t="str">
        <x:v>кедровый орех</x:v>
      </x:c>
      <x:c r="C177" s="28" t="str">
        <x:v>Десерты и выпечка</x:v>
      </x:c>
      <x:c r="D177" s="28" t="str">
        <x:v>кедровый орех</x:v>
      </x:c>
      <x:c r="E177" s="28" t="str">
        <x:v>pine nut</x:v>
      </x:c>
      <x:c r="F177" s="28" t="str">
        <x:v>Орехи и семена</x:v>
      </x:c>
      <x:c r="G177" s="28" t="str">
        <x:v>манго</x:v>
      </x:c>
      <x:c r="H177" s="28" t="str">
        <x:v>mango</x:v>
      </x:c>
      <x:c r="I177" s="28" t="str">
        <x:v>Фрукты и ягоды</x:v>
      </x:c>
      <x:c r="J177" s="28" t="str">
        <x:v>смолистый, сливочный, зелёный и ореховый</x:v>
      </x:c>
      <x:c r="K177" s="28" t="str">
        <x:v>фруктовый, цветочный и свежий</x:v>
      </x:c>
      <x:c r="L177" s="28" t="str">
        <x:v>пинены, альдегиды, пиразины</x:v>
      </x:c>
      <x:c r="M177" s="28" t="str">
        <x:v>альдегиды, эфиры</x:v>
      </x:c>
      <x:c r="N177" s="28" t="str">
        <x:v>прямое пересечение семейств не является единственным объяснением</x:v>
      </x:c>
      <x:c r="O177" s="28" t="str">
        <x:v>альдегиды</x:v>
      </x:c>
      <x:c r="P177" s="28" t="str">
        <x:v>общие ароматические соединения, контраст кислоты и жирной/горькой матрицы</x:v>
      </x:c>
      <x:c r="Q17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77" s="28" t="str">
        <x:v>минимальный</x:v>
      </x:c>
      <x:c r="S177" s="28" t="str">
        <x:v>жирная нежная матрица; быстро окисляется после очистки Водная фруктовая фаза требует эмульсии или мелкого измельчения, если орех или шоколад вводится как паста.</x:v>
      </x:c>
      <x:c r="T177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U177" s="28" t="str">
        <x:v>Кедровый орех имеет профиль «смолистый, сливочный, зелёный и ореховый». Партнёр «манго»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77" s="28" t="str">
        <x:v>аллерген; прогоркание; у части партий возможен длительный горький привкус; избыток кислоты может сделать чай или кофе резкими и разрушить молочную эмульсию</x:v>
      </x:c>
      <x:c r="W177" s="28" t="str">
        <x:v>ваниль, цитрус или молочный жир</x:v>
      </x:c>
      <x:c r="X177" s="28" t="str">
        <x:v>пралине, паста, выпечка, гарнир, соус, молочный или коктейльный компонент с манго</x:v>
      </x:c>
      <x:c r="Y177" s="28" t="str">
        <x:v>десерты</x:v>
      </x:c>
      <x:c r="Z177" s="28" t="str">
        <x:v>Средняя</x:v>
      </x:c>
      <x:c r="AA177" s="28" t="str">
        <x:v>The Art &amp; Science of Foodpairing.pdf</x:v>
      </x:c>
      <x:c r="AB177" s="28" t="str">
        <x:v>The Art &amp; Science of Foodpairing.pdf: 312</x:v>
      </x:c>
      <x:c r="AC177" s="28" t="str">
        <x:v>Пара встречается как grid; научное объяснение сформировано по ароматическому профилю и пищевой матрице.</x:v>
      </x:c>
      <x:c r="AD177" s="28" t="n">
        <x:v>1</x:v>
      </x:c>
      <x:c r="AE177" s="28" t="n">
        <x:v>1</x:v>
      </x:c>
      <x:c r="AF177" s="28" t="n">
        <x:f>IF(Z177="Высокая",3,IF(Z177="Средняя",2,1))+AD177*2+MIN(AE177,3)</x:f>
        <x:v>5</x:v>
      </x:c>
    </x:row>
    <x:row r="178" ht="62" customHeight="1">
      <x:c r="A178" s="28" t="str">
        <x:v>NCT-0177</x:v>
      </x:c>
      <x:c r="B178" s="28" t="str">
        <x:v>кедровый орех</x:v>
      </x:c>
      <x:c r="C178" s="28" t="str">
        <x:v>Универсальные</x:v>
      </x:c>
      <x:c r="D178" s="28" t="str">
        <x:v>кедровый орех</x:v>
      </x:c>
      <x:c r="E178" s="28" t="str">
        <x:v>Кедровый орех</x:v>
      </x:c>
      <x:c r="F178" s="28" t="str">
        <x:v>Орехи и семена</x:v>
      </x:c>
      <x:c r="G178" s="28" t="str">
        <x:v>орегано</x:v>
      </x:c>
      <x:c r="H178" s="28" t="str">
        <x:v>орегано</x:v>
      </x:c>
      <x:c r="I178" s="28" t="str">
        <x:v>Прочее</x:v>
      </x:c>
      <x:c r="J178" s="28" t="str">
        <x:v>смолистый, сливочный, зелёный и ореховый</x:v>
      </x:c>
      <x:c r="K178" s="28" t="str">
        <x:v>профиль зависит от конкретного продукта</x:v>
      </x:c>
      <x:c r="L178" s="28" t="str">
        <x:v>пинены, альдегиды, пиразины</x:v>
      </x:c>
      <x:c r="M178" s="28" t="str">
        <x:v>характерный профиль зависит от конкретного продукта</x:v>
      </x:c>
      <x:c r="N178" s="28" t="str">
        <x:v>прямое пересечение семейств не является единственным объяснением</x:v>
      </x:c>
      <x:c r="O178" s="28" t="str">
        <x:v>надежная общая ключевая молекула не подтверждена</x:v>
      </x:c>
      <x:c r="P178" s="28" t="str">
        <x:v>сенсорная комплементарность</x:v>
      </x:c>
      <x:c r="Q17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78" s="28" t="str">
        <x:v>минимальный</x:v>
      </x:c>
      <x:c r="S178" s="28" t="str">
        <x:v>жирная нежная матрица; быстро окисляется после очистки</x:v>
      </x:c>
      <x:c r="T178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U178" s="28" t="str">
        <x:v>Кедровый орех имеет профиль «смолистый, сливочный, зелёный и ореховый». Партнёр «орегано»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78" s="28" t="str">
        <x:v>аллерген; прогоркание; у части партий возможен длительный горький привкус</x:v>
      </x:c>
      <x:c r="W178" s="28" t="str">
        <x:v>соль, ваниль или карамель</x:v>
      </x:c>
      <x:c r="X178" s="28" t="str">
        <x:v>пралине, паста, выпечка, гарнир, соус, молочный или коктейльный компонент с орегано</x:v>
      </x:c>
      <x:c r="Y178" s="28" t="str">
        <x:v>десерты</x:v>
      </x:c>
      <x:c r="Z178" s="28" t="str">
        <x:v>Гипотеза / практическая</x:v>
      </x:c>
      <x:c r="AA178" s="28" t="str">
        <x:v>Таблица сочетания(1).pdf</x:v>
      </x:c>
      <x:c r="AB178" s="28" t="str">
        <x:v>Таблица сочетания(1).pdf: 17</x:v>
      </x:c>
      <x:c r="AC178" s="28" t="str">
        <x:v>Пара встречается как table; научное объяснение сформировано по ароматическому профилю и пищевой матрице.</x:v>
      </x:c>
      <x:c r="AD178" s="28" t="n">
        <x:v>1</x:v>
      </x:c>
      <x:c r="AE178" s="28" t="n">
        <x:v>1</x:v>
      </x:c>
      <x:c r="AF178" s="28" t="n">
        <x:f>IF(Z178="Высокая",3,IF(Z178="Средняя",2,1))+AD178*2+MIN(AE178,3)</x:f>
        <x:v>4</x:v>
      </x:c>
    </x:row>
    <x:row r="179" ht="62" customHeight="1">
      <x:c r="A179" s="28" t="str">
        <x:v>NCT-0178</x:v>
      </x:c>
      <x:c r="B179" s="28" t="str">
        <x:v>кедровый орех</x:v>
      </x:c>
      <x:c r="C179" s="28" t="str">
        <x:v>Десерты и выпечка</x:v>
      </x:c>
      <x:c r="D179" s="28" t="str">
        <x:v>кедровый орех</x:v>
      </x:c>
      <x:c r="E179" s="28" t="str">
        <x:v>Кедровый орех</x:v>
      </x:c>
      <x:c r="F179" s="28" t="str">
        <x:v>Орехи и семена</x:v>
      </x:c>
      <x:c r="G179" s="28" t="str">
        <x:v>персик</x:v>
      </x:c>
      <x:c r="H179" s="28" t="str">
        <x:v>персик</x:v>
      </x:c>
      <x:c r="I179" s="28" t="str">
        <x:v>Фрукты и ягоды</x:v>
      </x:c>
      <x:c r="J179" s="28" t="str">
        <x:v>смолистый, сливочный, зелёный и ореховый</x:v>
      </x:c>
      <x:c r="K179" s="28" t="str">
        <x:v>лактонный, фруктовый, цветочный</x:v>
      </x:c>
      <x:c r="L179" s="28" t="str">
        <x:v>пинены, альдегиды, пиразины</x:v>
      </x:c>
      <x:c r="M179" s="28" t="str">
        <x:v>лактоны, линалоол</x:v>
      </x:c>
      <x:c r="N179" s="28" t="str">
        <x:v>прямое пересечение семейств не является единственным объяснением</x:v>
      </x:c>
      <x:c r="O179" s="28" t="str">
        <x:v>надежная общая ключевая молекула не подтверждена</x:v>
      </x:c>
      <x:c r="P179" s="28" t="str">
        <x:v>контраст кислоты и жирной/горькой матрицы</x:v>
      </x:c>
      <x:c r="Q17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79" s="28" t="str">
        <x:v>минимальный</x:v>
      </x:c>
      <x:c r="S179" s="28" t="str">
        <x:v>жирная нежная матрица; быстро окисляется после очистки Водная фруктовая фаза требует эмульсии или мелкого измельчения, если орех или шоколад вводится как паста.</x:v>
      </x:c>
      <x:c r="T179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U179" s="28" t="str">
        <x:v>Кедровый орех имеет профиль «смолистый, сливочный, зелёный и ореховый». Партнёр «персик» относится к группе «Фрукты и ягоды» и даёт лактонный, фруктовый, цветочный.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79" s="28" t="str">
        <x:v>аллерген; прогоркание; у части партий возможен длительный горький привкус; избыток кислоты может сделать чай или кофе резкими и разрушить молочную эмульсию</x:v>
      </x:c>
      <x:c r="W179" s="28" t="str">
        <x:v>ваниль, цитрус или молочный жир</x:v>
      </x:c>
      <x:c r="X179" s="28" t="str">
        <x:v>пралине, паста, выпечка, гарнир, соус, молочный или коктейльный компонент с персик</x:v>
      </x:c>
      <x:c r="Y179" s="28" t="str">
        <x:v>десерты</x:v>
      </x:c>
      <x:c r="Z179" s="28" t="str">
        <x:v>Гипотеза / практическая</x:v>
      </x:c>
      <x:c r="AA179" s="28" t="str">
        <x:v>Таблица сочетания(1).pdf</x:v>
      </x:c>
      <x:c r="AB179" s="28" t="str">
        <x:v>Таблица сочетания(1).pdf: 16</x:v>
      </x:c>
      <x:c r="AC179" s="28" t="str">
        <x:v>Пара встречается как table; научное объяснение сформировано по ароматическому профилю и пищевой матрице.</x:v>
      </x:c>
      <x:c r="AD179" s="28" t="n">
        <x:v>1</x:v>
      </x:c>
      <x:c r="AE179" s="28" t="n">
        <x:v>1</x:v>
      </x:c>
      <x:c r="AF179" s="28" t="n">
        <x:f>IF(Z179="Высокая",3,IF(Z179="Средняя",2,1))+AD179*2+MIN(AE179,3)</x:f>
        <x:v>4</x:v>
      </x:c>
    </x:row>
    <x:row r="180" ht="62" customHeight="1">
      <x:c r="A180" s="28" t="str">
        <x:v>NCT-0179</x:v>
      </x:c>
      <x:c r="B180" s="28" t="str">
        <x:v>кедровый орех</x:v>
      </x:c>
      <x:c r="C180" s="28" t="str">
        <x:v>Универсальные</x:v>
      </x:c>
      <x:c r="D180" s="28" t="str">
        <x:v>кедровый орех</x:v>
      </x:c>
      <x:c r="E180" s="28" t="str">
        <x:v>Кедровый орех</x:v>
      </x:c>
      <x:c r="F180" s="28" t="str">
        <x:v>Орехи и семена</x:v>
      </x:c>
      <x:c r="G180" s="28" t="str">
        <x:v>розмарин</x:v>
      </x:c>
      <x:c r="H180" s="28" t="str">
        <x:v>розмарин</x:v>
      </x:c>
      <x:c r="I180" s="28" t="str">
        <x:v>Травы, цветы и листья</x:v>
      </x:c>
      <x:c r="J180" s="28" t="str">
        <x:v>смолистый, сливочный, зелёный и ореховый</x:v>
      </x:c>
      <x:c r="K180" s="28" t="str">
        <x:v>зелёный, цветочный и терпеновый</x:v>
      </x:c>
      <x:c r="L180" s="28" t="str">
        <x:v>пинены, альдегиды, пиразины</x:v>
      </x:c>
      <x:c r="M180" s="28" t="str">
        <x:v>линалоол, терпены</x:v>
      </x:c>
      <x:c r="N180" s="28" t="str">
        <x:v>зелёный</x:v>
      </x:c>
      <x:c r="O180" s="28" t="str">
        <x:v>надежная общая ключевая молекула не подтверждена</x:v>
      </x:c>
      <x:c r="P180" s="28" t="str">
        <x:v>пересечение ароматических семейств</x:v>
      </x:c>
      <x:c r="Q18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80" s="28" t="str">
        <x:v>минимальный</x:v>
      </x:c>
      <x:c r="S180" s="28" t="str">
        <x:v>жирная нежная матрица; быстро окисляется после очистки</x:v>
      </x:c>
      <x:c r="T180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U180" s="28" t="str">
        <x:v>Кедровый орех имеет профиль «смолистый, сливочный, зелёный и ореховый». Партнёр «розмарин» относится к группе «Травы, цветы и листья» и даёт зелёный, цветочный и терпеновый. Профили пересекаются в семействах: зелёный Ореховый жир служит носителем ароматов и создаёт текстурный контраст, но окисление быстро превращает профиль в прогорклый. Итог: зелёный; механизм не следует сводить к одной общей молекуле.</x:v>
      </x:c>
      <x:c r="V180" s="28" t="str">
        <x:v>аллерген; прогоркание; у части партий возможен длительный горький привкус</x:v>
      </x:c>
      <x:c r="W180" s="28" t="str">
        <x:v>цитрус, мёд или сливки</x:v>
      </x:c>
      <x:c r="X180" s="28" t="str">
        <x:v>пралине, паста, выпечка, гарнир, соус, молочный или коктейльный компонент с розмарин</x:v>
      </x:c>
      <x:c r="Y180" s="28" t="str">
        <x:v>десерты</x:v>
      </x:c>
      <x:c r="Z180" s="28" t="str">
        <x:v>Гипотеза / практическая</x:v>
      </x:c>
      <x:c r="AA180" s="28" t="str">
        <x:v>Таблица сочетания(1).pdf</x:v>
      </x:c>
      <x:c r="AB180" s="28" t="str">
        <x:v>Таблица сочетания(1).pdf: 17</x:v>
      </x:c>
      <x:c r="AC180" s="28" t="str">
        <x:v>Пара встречается как table; научное объяснение сформировано по ароматическому профилю и пищевой матрице.</x:v>
      </x:c>
      <x:c r="AD180" s="28" t="n">
        <x:v>1</x:v>
      </x:c>
      <x:c r="AE180" s="28" t="n">
        <x:v>1</x:v>
      </x:c>
      <x:c r="AF180" s="28" t="n">
        <x:f>IF(Z180="Высокая",3,IF(Z180="Средняя",2,1))+AD180*2+MIN(AE180,3)</x:f>
        <x:v>4</x:v>
      </x:c>
    </x:row>
    <x:row r="181" ht="62" customHeight="1">
      <x:c r="A181" s="28" t="str">
        <x:v>NCT-0180</x:v>
      </x:c>
      <x:c r="B181" s="28" t="str">
        <x:v>кедровый орех</x:v>
      </x:c>
      <x:c r="C181" s="28" t="str">
        <x:v>Десерты и выпечка</x:v>
      </x:c>
      <x:c r="D181" s="28" t="str">
        <x:v>кедровый орех</x:v>
      </x:c>
      <x:c r="E181" s="28" t="str">
        <x:v>Кедровый орех</x:v>
      </x:c>
      <x:c r="F181" s="28" t="str">
        <x:v>Орехи и семена</x:v>
      </x:c>
      <x:c r="G181" s="28" t="str">
        <x:v>слива</x:v>
      </x:c>
      <x:c r="H181" s="28" t="str">
        <x:v>слива</x:v>
      </x:c>
      <x:c r="I181" s="28" t="str">
        <x:v>Фрукты и ягоды</x:v>
      </x:c>
      <x:c r="J181" s="28" t="str">
        <x:v>смолистый, сливочный, зелёный и ореховый</x:v>
      </x:c>
      <x:c r="K181" s="28" t="str">
        <x:v>фруктовый, цветочный и свежий</x:v>
      </x:c>
      <x:c r="L181" s="28" t="str">
        <x:v>пинены, альдегиды, пиразины</x:v>
      </x:c>
      <x:c r="M181" s="28" t="str">
        <x:v>альдегиды, эфиры</x:v>
      </x:c>
      <x:c r="N181" s="28" t="str">
        <x:v>прямое пересечение семейств не является единственным объяснением</x:v>
      </x:c>
      <x:c r="O181" s="28" t="str">
        <x:v>альдегиды</x:v>
      </x:c>
      <x:c r="P181" s="28" t="str">
        <x:v>общие ароматические соединения, контраст кислоты и жирной/горькой матрицы</x:v>
      </x:c>
      <x:c r="Q18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81" s="28" t="str">
        <x:v>минимальный</x:v>
      </x:c>
      <x:c r="S181" s="28" t="str">
        <x:v>жирная нежная матрица; быстро окисляется после очистки Водная фруктовая фаза требует эмульсии или мелкого измельчения, если орех или шоколад вводится как паста.</x:v>
      </x:c>
      <x:c r="T181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U181" s="28" t="str">
        <x:v>Кедровый орех имеет профиль «смолистый, сливочный, зелёный и ореховый». Партнёр «слива»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81" s="28" t="str">
        <x:v>аллерген; прогоркание; у части партий возможен длительный горький привкус; избыток кислоты может сделать чай или кофе резкими и разрушить молочную эмульсию</x:v>
      </x:c>
      <x:c r="W181" s="28" t="str">
        <x:v>ваниль, цитрус или молочный жир</x:v>
      </x:c>
      <x:c r="X181" s="28" t="str">
        <x:v>пралине, паста, выпечка, гарнир, соус, молочный или коктейльный компонент с слива</x:v>
      </x:c>
      <x:c r="Y181" s="28" t="str">
        <x:v>десерты</x:v>
      </x:c>
      <x:c r="Z181" s="28" t="str">
        <x:v>Гипотеза / практическая</x:v>
      </x:c>
      <x:c r="AA181" s="28" t="str">
        <x:v>Таблица сочетания(1).pdf</x:v>
      </x:c>
      <x:c r="AB181" s="28" t="str">
        <x:v>Таблица сочетания(1).pdf: 16</x:v>
      </x:c>
      <x:c r="AC181" s="28" t="str">
        <x:v>Пара встречается как table; научное объяснение сформировано по ароматическому профилю и пищевой матрице.</x:v>
      </x:c>
      <x:c r="AD181" s="28" t="n">
        <x:v>1</x:v>
      </x:c>
      <x:c r="AE181" s="28" t="n">
        <x:v>1</x:v>
      </x:c>
      <x:c r="AF181" s="28" t="n">
        <x:f>IF(Z181="Высокая",3,IF(Z181="Средняя",2,1))+AD181*2+MIN(AE181,3)</x:f>
        <x:v>4</x:v>
      </x:c>
    </x:row>
    <x:row r="182" ht="62" customHeight="1">
      <x:c r="A182" s="28" t="str">
        <x:v>NCT-0181</x:v>
      </x:c>
      <x:c r="B182" s="28" t="str">
        <x:v>кешью</x:v>
      </x:c>
      <x:c r="C182" s="28" t="str">
        <x:v>Еда и соусы</x:v>
      </x:c>
      <x:c r="D182" s="28" t="str">
        <x:v>кешью</x:v>
      </x:c>
      <x:c r="E182" s="28" t="str">
        <x:v>roasted cashew nut</x:v>
      </x:c>
      <x:c r="F182" s="28" t="str">
        <x:v>Орехи и семена</x:v>
      </x:c>
      <x:c r="G182" s="28" t="str">
        <x:v>balsamic vinegar</x:v>
      </x:c>
      <x:c r="H182" s="28" t="str">
        <x:v>balsamic vinegar</x:v>
      </x:c>
      <x:c r="I182" s="28" t="str">
        <x:v>Ферментированные продукты и соусы</x:v>
      </x:c>
      <x:c r="J182" s="28" t="str">
        <x:v>сливочный, мягко-ореховый, сладковатый и жареный</x:v>
      </x:c>
      <x:c r="K182" s="28" t="str">
        <x:v>ферментированный, умами и сложный</x:v>
      </x:c>
      <x:c r="L182" s="28" t="str">
        <x:v>пиразины, фураны, альдегиды, лактоны</x:v>
      </x:c>
      <x:c r="M182" s="28" t="str">
        <x:v>пиразины, фураны, эфиры</x:v>
      </x:c>
      <x:c r="N182" s="28" t="str">
        <x:v>жареный</x:v>
      </x:c>
      <x:c r="O182" s="28" t="str">
        <x:v>пиразины, фураны</x:v>
      </x:c>
      <x:c r="P182" s="28" t="str">
        <x:v>общие ароматические соединения, пересечение ароматических семейств, солёно-умами контраст</x:v>
      </x:c>
      <x:c r="Q18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82" s="28" t="str">
        <x:v>минимальный</x:v>
      </x:c>
      <x:c r="S182" s="28" t="str">
        <x:v>кремовая жирно-белковая матрица; легко образует эмульсии и пасты</x:v>
      </x:c>
      <x:c r="T182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182" s="28" t="str">
        <x:v>Кешью имеет профиль «сливочный, мягко-ореховый, сладковатый и жареный». Партнёр «balsamic vinegar»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V182" s="28" t="str">
        <x:v>аллерген; оболочка сырого ореха содержит раздражающие вещества, поэтому используется обработанный пищевой продукт</x:v>
      </x:c>
      <x:c r="W182" s="28" t="str">
        <x:v>карамелизированный лук, грибы или сливочное масло</x:v>
      </x:c>
      <x:c r="X182" s="28" t="str">
        <x:v>пралине, паста, выпечка, гарнир, соус, молочный или коктейльный компонент с balsamic vinegar</x:v>
      </x:c>
      <x:c r="Y182" s="28" t="str">
        <x:v>еда, десерты, соусы/маринады</x:v>
      </x:c>
      <x:c r="Z182" s="28" t="str">
        <x:v>Средняя</x:v>
      </x:c>
      <x:c r="AA182" s="28" t="str">
        <x:v>The Art &amp; Science of Foodpairing.pdf</x:v>
      </x:c>
      <x:c r="AB182" s="28" t="str">
        <x:v>The Art &amp; Science of Foodpairing.pdf: 316</x:v>
      </x:c>
      <x:c r="AC182" s="28" t="str">
        <x:v>Пара встречается как grid; научное объяснение сформировано по ароматическому профилю и пищевой матрице.</x:v>
      </x:c>
      <x:c r="AD182" s="28" t="n">
        <x:v>1</x:v>
      </x:c>
      <x:c r="AE182" s="28" t="n">
        <x:v>1</x:v>
      </x:c>
      <x:c r="AF182" s="28" t="n">
        <x:f>IF(Z182="Высокая",3,IF(Z182="Средняя",2,1))+AD182*2+MIN(AE182,3)</x:f>
        <x:v>5</x:v>
      </x:c>
    </x:row>
    <x:row r="183" ht="62" customHeight="1">
      <x:c r="A183" s="28" t="str">
        <x:v>NCT-0182</x:v>
      </x:c>
      <x:c r="B183" s="28" t="str">
        <x:v>кешью</x:v>
      </x:c>
      <x:c r="C183" s="28" t="str">
        <x:v>Еда и соусы</x:v>
      </x:c>
      <x:c r="D183" s="28" t="str">
        <x:v>кешью</x:v>
      </x:c>
      <x:c r="E183" s="28" t="str">
        <x:v>roasted cashew nut</x:v>
      </x:c>
      <x:c r="F183" s="28" t="str">
        <x:v>Орехи и семена</x:v>
      </x:c>
      <x:c r="G183" s="28" t="str">
        <x:v>cucumber</x:v>
      </x:c>
      <x:c r="H183" s="28" t="str">
        <x:v>cucumber</x:v>
      </x:c>
      <x:c r="I183" s="28" t="str">
        <x:v>Овощи, бобовые и грибы</x:v>
      </x:c>
      <x:c r="J183" s="28" t="str">
        <x:v>сливочный, мягко-ореховый, сладковатый и жареный</x:v>
      </x:c>
      <x:c r="K183" s="28" t="str">
        <x:v>зелёный, землистый или умами</x:v>
      </x:c>
      <x:c r="L183" s="28" t="str">
        <x:v>пиразины, фураны, альдегиды, лактоны</x:v>
      </x:c>
      <x:c r="M183" s="28" t="str">
        <x:v>альдегиды, сернистые соединения</x:v>
      </x:c>
      <x:c r="N183" s="28" t="str">
        <x:v>прямое пересечение семейств не является единственным объяснением</x:v>
      </x:c>
      <x:c r="O183" s="28" t="str">
        <x:v>альдегиды</x:v>
      </x:c>
      <x:c r="P183" s="28" t="str">
        <x:v>общие ароматические соединения</x:v>
      </x:c>
      <x:c r="Q18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83" s="28" t="str">
        <x:v>минимальный</x:v>
      </x:c>
      <x:c r="S183" s="28" t="str">
        <x:v>кремовая жирно-белковая матрица; легко образует эмульсии и пасты</x:v>
      </x:c>
      <x:c r="T183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183" s="28" t="str">
        <x:v>Кешью имеет профиль «сливочный, мягко-ореховый, сладковатый и жареный». Партнёр «cucumber»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83" s="28" t="str">
        <x:v>аллерген; оболочка сырого ореха содержит раздражающие вещества, поэтому используется обработанный пищевой продукт</x:v>
      </x:c>
      <x:c r="W183" s="28" t="str">
        <x:v>соль, ваниль или карамель</x:v>
      </x:c>
      <x:c r="X183" s="28" t="str">
        <x:v>пралине, паста, выпечка, гарнир, соус, молочный или коктейльный компонент с cucumber</x:v>
      </x:c>
      <x:c r="Y183" s="28" t="str">
        <x:v>еда, десерты, соусы/маринады</x:v>
      </x:c>
      <x:c r="Z183" s="28" t="str">
        <x:v>Средняя</x:v>
      </x:c>
      <x:c r="AA183" s="28" t="str">
        <x:v>The Art &amp; Science of Foodpairing.pdf</x:v>
      </x:c>
      <x:c r="AB183" s="28" t="str">
        <x:v>The Art &amp; Science of Foodpairing.pdf: 268</x:v>
      </x:c>
      <x:c r="AC183" s="28" t="str">
        <x:v>Пара встречается как grid; научное объяснение сформировано по ароматическому профилю и пищевой матрице.</x:v>
      </x:c>
      <x:c r="AD183" s="28" t="n">
        <x:v>1</x:v>
      </x:c>
      <x:c r="AE183" s="28" t="n">
        <x:v>1</x:v>
      </x:c>
      <x:c r="AF183" s="28" t="n">
        <x:f>IF(Z183="Высокая",3,IF(Z183="Средняя",2,1))+AD183*2+MIN(AE183,3)</x:f>
        <x:v>5</x:v>
      </x:c>
    </x:row>
    <x:row r="184" ht="62" customHeight="1">
      <x:c r="A184" s="28" t="str">
        <x:v>NCT-0183</x:v>
      </x:c>
      <x:c r="B184" s="28" t="str">
        <x:v>кешью</x:v>
      </x:c>
      <x:c r="C184" s="28" t="str">
        <x:v>Еда и соусы</x:v>
      </x:c>
      <x:c r="D184" s="28" t="str">
        <x:v>кешью</x:v>
      </x:c>
      <x:c r="E184" s="28" t="str">
        <x:v>roasted cashew nut</x:v>
      </x:c>
      <x:c r="F184" s="28" t="str">
        <x:v>Орехи и семена</x:v>
      </x:c>
      <x:c r="G184" s="28" t="str">
        <x:v>fish</x:v>
      </x:c>
      <x:c r="H184" s="28" t="str">
        <x:v>fish</x:v>
      </x:c>
      <x:c r="I184" s="28" t="str">
        <x:v>Рыба и морепродукты</x:v>
      </x:c>
      <x:c r="J184" s="28" t="str">
        <x:v>сливочный, мягко-ореховый, сладковатый и жареный</x:v>
      </x:c>
      <x:c r="K184" s="28" t="str">
        <x:v>морской, солоноватый и умами</x:v>
      </x:c>
      <x:c r="L184" s="28" t="str">
        <x:v>пиразины, фураны, альдегиды, лактоны</x:v>
      </x:c>
      <x:c r="M184" s="28" t="str">
        <x:v>альдегиды, амины</x:v>
      </x:c>
      <x:c r="N184" s="28" t="str">
        <x:v>прямое пересечение семейств не является единственным объяснением</x:v>
      </x:c>
      <x:c r="O184" s="28" t="str">
        <x:v>альдегиды</x:v>
      </x:c>
      <x:c r="P184" s="28" t="str">
        <x:v>общие ароматические соединения, солёно-умами контраст</x:v>
      </x:c>
      <x:c r="Q18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84" s="28" t="str">
        <x:v>минимальный</x:v>
      </x:c>
      <x:c r="S184" s="28" t="str">
        <x:v>кремовая жирно-белковая матрица; легко образует эмульсии и пасты</x:v>
      </x:c>
      <x:c r="T184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184" s="28" t="str">
        <x:v>Кешью имеет профиль «сливочный, мягко-ореховый, сладковатый и жареный».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84" s="28" t="str">
        <x:v>аллерген; оболочка сырого ореха содержит раздражающие вещества, поэтому используется обработанный пищевой продукт; малейшая прогорклость ореха или шоколада усиливает неприятные рыбные оттенки</x:v>
      </x:c>
      <x:c r="W184" s="28" t="str">
        <x:v>соль, соевый соус, коричневое масло или специя</x:v>
      </x:c>
      <x:c r="X184" s="28" t="str">
        <x:v>пралине, паста, выпечка, гарнир, соус, молочный или коктейльный компонент с fish</x:v>
      </x:c>
      <x:c r="Y184" s="28" t="str">
        <x:v>еда, десерты, соусы/маринады</x:v>
      </x:c>
      <x:c r="Z184" s="28" t="str">
        <x:v>Средняя</x:v>
      </x:c>
      <x:c r="AA184" s="28" t="str">
        <x:v>The Art &amp; Science of Foodpairing.pdf</x:v>
      </x:c>
      <x:c r="AB184" s="28" t="str">
        <x:v>The Art &amp; Science of Foodpairing.pdf: 104</x:v>
      </x:c>
      <x:c r="AC184" s="28" t="str">
        <x:v>Пара встречается как grid; научное объяснение сформировано по ароматическому профилю и пищевой матрице.</x:v>
      </x:c>
      <x:c r="AD184" s="28" t="n">
        <x:v>1</x:v>
      </x:c>
      <x:c r="AE184" s="28" t="n">
        <x:v>1</x:v>
      </x:c>
      <x:c r="AF184" s="28" t="n">
        <x:f>IF(Z184="Высокая",3,IF(Z184="Средняя",2,1))+AD184*2+MIN(AE184,3)</x:f>
        <x:v>5</x:v>
      </x:c>
    </x:row>
    <x:row r="185" ht="62" customHeight="1">
      <x:c r="A185" s="28" t="str">
        <x:v>NCT-0184</x:v>
      </x:c>
      <x:c r="B185" s="28" t="str">
        <x:v>кешью</x:v>
      </x:c>
      <x:c r="C185" s="28" t="str">
        <x:v>Универсальные</x:v>
      </x:c>
      <x:c r="D185" s="28" t="str">
        <x:v>кешью</x:v>
      </x:c>
      <x:c r="E185" s="28" t="str">
        <x:v>cashew nut</x:v>
      </x:c>
      <x:c r="F185" s="28" t="str">
        <x:v>Орехи и семена</x:v>
      </x:c>
      <x:c r="G185" s="28" t="str">
        <x:v>goats' cheese and milk</x:v>
      </x:c>
      <x:c r="H185" s="28" t="str">
        <x:v>goats' cheese and milk</x:v>
      </x:c>
      <x:c r="I185" s="28" t="str">
        <x:v>Молочные продукты и сыры</x:v>
      </x:c>
      <x:c r="J185" s="28" t="str">
        <x:v>сливочный, мягко-ореховый, сладковатый и жареный</x:v>
      </x:c>
      <x:c r="K185" s="28" t="str">
        <x:v>молочный, сливочный и ферментированный</x:v>
      </x:c>
      <x:c r="L185" s="28" t="str">
        <x:v>пиразины, фураны, альдегиды, лактоны</x:v>
      </x:c>
      <x:c r="M185" s="28" t="str">
        <x:v>диацетил, жирные кислоты, лактоны</x:v>
      </x:c>
      <x:c r="N185" s="28" t="str">
        <x:v>сливочный</x:v>
      </x:c>
      <x:c r="O185" s="28" t="str">
        <x:v>лактоны</x:v>
      </x:c>
      <x:c r="P185" s="28" t="str">
        <x:v>общие ароматические соединения, пересечение ароматических семейств, жировая экстракция и связывание полифенолов белком</x:v>
      </x:c>
      <x:c r="Q18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85" s="28" t="str">
        <x:v>минимальный</x:v>
      </x:c>
      <x:c r="S185" s="28" t="str">
        <x:v>кремовая жирно-белковая матрица; легко образует эмульсии и пасты Совпадающие жирные фазы облегчают перенос аромата, но могут сделать продукт тяжёлым.</x:v>
      </x:c>
      <x:c r="T185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185" s="28" t="str">
        <x:v>Кешью имеет профиль «сливочный, мягко-ореховый, сладковатый и жареный». Партнёр «goats' cheese and milk» относится к группе «Молочные продукты и сыры» и даёт молочный, сливочный и ферментированный. Молекулярный мост создают лактоны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сливочный; лактоны.</x:v>
      </x:c>
      <x:c r="V185" s="28" t="str">
        <x:v>аллерген; оболочка сырого ореха содержит раздражающие вещества, поэтому используется обработанный пищевой продукт; жир способен приглушить тонкую ароматику; белок связывает полифенолы</x:v>
      </x:c>
      <x:c r="W185" s="28" t="str">
        <x:v>мёд, карамель или фруктовая кислота</x:v>
      </x:c>
      <x:c r="X185" s="28" t="str">
        <x:v>пралине, паста, выпечка, гарнир, соус, молочный или коктейльный компонент с goats' cheese and milk</x:v>
      </x:c>
      <x:c r="Y185" s="28" t="str">
        <x:v>десерты</x:v>
      </x:c>
      <x:c r="Z185" s="28" t="str">
        <x:v>Средняя</x:v>
      </x:c>
      <x:c r="AA185" s="28" t="str">
        <x:v>The Art &amp; Science of Foodpairing.pdf</x:v>
      </x:c>
      <x:c r="AB185" s="28" t="str">
        <x:v>The Art &amp; Science of Foodpairing.pdf: 200</x:v>
      </x:c>
      <x:c r="AC185" s="28" t="str">
        <x:v>Пара встречается как grid; научное объяснение сформировано по ароматическому профилю и пищевой матрице.</x:v>
      </x:c>
      <x:c r="AD185" s="28" t="n">
        <x:v>1</x:v>
      </x:c>
      <x:c r="AE185" s="28" t="n">
        <x:v>1</x:v>
      </x:c>
      <x:c r="AF185" s="28" t="n">
        <x:f>IF(Z185="Высокая",3,IF(Z185="Средняя",2,1))+AD185*2+MIN(AE185,3)</x:f>
        <x:v>5</x:v>
      </x:c>
    </x:row>
    <x:row r="186" ht="62" customHeight="1">
      <x:c r="A186" s="28" t="str">
        <x:v>NCT-0185</x:v>
      </x:c>
      <x:c r="B186" s="28" t="str">
        <x:v>кешью</x:v>
      </x:c>
      <x:c r="C186" s="28" t="str">
        <x:v>Еда и соусы</x:v>
      </x:c>
      <x:c r="D186" s="28" t="str">
        <x:v>кешью</x:v>
      </x:c>
      <x:c r="E186" s="28" t="str">
        <x:v>cashew nut</x:v>
      </x:c>
      <x:c r="F186" s="28" t="str">
        <x:v>Орехи и семена</x:v>
      </x:c>
      <x:c r="G186" s="28" t="str">
        <x:v>lberico ham</x:v>
      </x:c>
      <x:c r="H186" s="28" t="str">
        <x:v>lberico ham</x:v>
      </x:c>
      <x:c r="I186" s="28" t="str">
        <x:v>Мясо и птица</x:v>
      </x:c>
      <x:c r="J186" s="28" t="str">
        <x:v>сливочный, мягко-ореховый, сладковатый и жареный</x:v>
      </x:c>
      <x:c r="K186" s="28" t="str">
        <x:v>жареный, мясной и умами</x:v>
      </x:c>
      <x:c r="L186" s="28" t="str">
        <x:v>пиразины, фураны, альдегиды, лактоны</x:v>
      </x:c>
      <x:c r="M186" s="28" t="str">
        <x:v>пиразины, сернистые соединения</x:v>
      </x:c>
      <x:c r="N186" s="28" t="str">
        <x:v>жареный</x:v>
      </x:c>
      <x:c r="O186" s="28" t="str">
        <x:v>пиразины</x:v>
      </x:c>
      <x:c r="P186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18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86" s="28" t="str">
        <x:v>минимальный</x:v>
      </x:c>
      <x:c r="S186" s="28" t="str">
        <x:v>кремовая жирно-белковая матрица; легко образует эмульсии и пасты</x:v>
      </x:c>
      <x:c r="T186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186" s="28" t="str">
        <x:v>Кешью имеет профиль «сливочный, мягко-ореховый, сладковатый и жареный».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V186" s="28" t="str">
        <x:v>аллерген; оболочка сырого ореха содержит раздражающие вещества, поэтому используется обработанный пищевой продукт</x:v>
      </x:c>
      <x:c r="W186" s="28" t="str">
        <x:v>соль, соевый соус, коричневое масло или специя</x:v>
      </x:c>
      <x:c r="X186" s="28" t="str">
        <x:v>пралине, паста, выпечка, гарнир, соус, молочный или коктейльный компонент с lberico ham</x:v>
      </x:c>
      <x:c r="Y186" s="28" t="str">
        <x:v>еда, десерты, соусы/маринады</x:v>
      </x:c>
      <x:c r="Z186" s="28" t="str">
        <x:v>Средняя</x:v>
      </x:c>
      <x:c r="AA186" s="28" t="str">
        <x:v>The Art &amp; Science of Foodpairing.pdf</x:v>
      </x:c>
      <x:c r="AB186" s="28" t="str">
        <x:v>The Art &amp; Science of Foodpairing.pdf: 278</x:v>
      </x:c>
      <x:c r="AC186" s="28" t="str">
        <x:v>Пара встречается как grid; научное объяснение сформировано по ароматическому профилю и пищевой матрице.</x:v>
      </x:c>
      <x:c r="AD186" s="28" t="n">
        <x:v>1</x:v>
      </x:c>
      <x:c r="AE186" s="28" t="n">
        <x:v>1</x:v>
      </x:c>
      <x:c r="AF186" s="28" t="n">
        <x:f>IF(Z186="Высокая",3,IF(Z186="Средняя",2,1))+AD186*2+MIN(AE186,3)</x:f>
        <x:v>5</x:v>
      </x:c>
    </x:row>
    <x:row r="187" ht="62" customHeight="1">
      <x:c r="A187" s="28" t="str">
        <x:v>NCT-0186</x:v>
      </x:c>
      <x:c r="B187" s="28" t="str">
        <x:v>кешью</x:v>
      </x:c>
      <x:c r="C187" s="28" t="str">
        <x:v>Еда и соусы</x:v>
      </x:c>
      <x:c r="D187" s="28" t="str">
        <x:v>кешью</x:v>
      </x:c>
      <x:c r="E187" s="28" t="str">
        <x:v>cashew nut | roasted cashew nut</x:v>
      </x:c>
      <x:c r="F187" s="28" t="str">
        <x:v>Орехи и семена</x:v>
      </x:c>
      <x:c r="G187" s="28" t="str">
        <x:v>tomato and tomato puree</x:v>
      </x:c>
      <x:c r="H187" s="28" t="str">
        <x:v>tomato and tomato puree</x:v>
      </x:c>
      <x:c r="I187" s="28" t="str">
        <x:v>Овощи, бобовые и грибы</x:v>
      </x:c>
      <x:c r="J187" s="28" t="str">
        <x:v>сливочный, мягко-ореховый, сладковатый и жареный</x:v>
      </x:c>
      <x:c r="K187" s="28" t="str">
        <x:v>зелёный, землистый или умами</x:v>
      </x:c>
      <x:c r="L187" s="28" t="str">
        <x:v>пиразины, фураны, альдегиды, лактоны</x:v>
      </x:c>
      <x:c r="M187" s="28" t="str">
        <x:v>альдегиды, сернистые соединения</x:v>
      </x:c>
      <x:c r="N187" s="28" t="str">
        <x:v>прямое пересечение семейств не является единственным объяснением</x:v>
      </x:c>
      <x:c r="O187" s="28" t="str">
        <x:v>альдегиды</x:v>
      </x:c>
      <x:c r="P187" s="28" t="str">
        <x:v>общие ароматические соединения</x:v>
      </x:c>
      <x:c r="Q18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87" s="28" t="str">
        <x:v>минимальный</x:v>
      </x:c>
      <x:c r="S187" s="28" t="str">
        <x:v>кремовая жирно-белковая матрица; легко образует эмульсии и пасты</x:v>
      </x:c>
      <x:c r="T187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187" s="28" t="str">
        <x:v>Кешью имеет профиль «сливочный, мягко-ореховый, сладковатый и жареный». Партнёр «tomato and tomato puree»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87" s="28" t="str">
        <x:v>аллерген; оболочка сырого ореха содержит раздражающие вещества, поэтому используется обработанный пищевой продукт</x:v>
      </x:c>
      <x:c r="W187" s="28" t="str">
        <x:v>соль, ваниль или карамель</x:v>
      </x:c>
      <x:c r="X187" s="28" t="str">
        <x:v>пралине, паста, выпечка, гарнир, соус, молочный или коктейльный компонент с tomato and tomato puree</x:v>
      </x:c>
      <x:c r="Y187" s="28" t="str">
        <x:v>еда, десерты, соусы/маринады</x:v>
      </x:c>
      <x:c r="Z187" s="28" t="str">
        <x:v>Средняя</x:v>
      </x:c>
      <x:c r="AA187" s="28" t="str">
        <x:v>The Art &amp; Science of Foodpairing.pdf</x:v>
      </x:c>
      <x:c r="AB187" s="28" t="str">
        <x:v>The Art &amp; Science of Foodpairing.pdf: 161</x:v>
      </x:c>
      <x:c r="AC187" s="28" t="str">
        <x:v>Пара встречается как grid; научное объяснение сформировано по ароматическому профилю и пищевой матрице.</x:v>
      </x:c>
      <x:c r="AD187" s="28" t="n">
        <x:v>1</x:v>
      </x:c>
      <x:c r="AE187" s="28" t="n">
        <x:v>2</x:v>
      </x:c>
      <x:c r="AF187" s="28" t="n">
        <x:f>IF(Z187="Высокая",3,IF(Z187="Средняя",2,1))+AD187*2+MIN(AE187,3)</x:f>
        <x:v>6</x:v>
      </x:c>
    </x:row>
    <x:row r="188" ht="62" customHeight="1">
      <x:c r="A188" s="28" t="str">
        <x:v>NCT-0187</x:v>
      </x:c>
      <x:c r="B188" s="28" t="str">
        <x:v>кешью</x:v>
      </x:c>
      <x:c r="C188" s="28" t="str">
        <x:v>Десерты и выпечка</x:v>
      </x:c>
      <x:c r="D188" s="28" t="str">
        <x:v>кешью</x:v>
      </x:c>
      <x:c r="E188" s="28" t="str">
        <x:v>cashews</x:v>
      </x:c>
      <x:c r="F188" s="28" t="str">
        <x:v>Орехи и семена</x:v>
      </x:c>
      <x:c r="G188" s="28" t="str">
        <x:v>watermelon</x:v>
      </x:c>
      <x:c r="H188" s="28" t="str">
        <x:v>watermelon</x:v>
      </x:c>
      <x:c r="I188" s="28" t="str">
        <x:v>Фрукты и ягоды</x:v>
      </x:c>
      <x:c r="J188" s="28" t="str">
        <x:v>сливочный, мягко-ореховый, сладковатый и жареный</x:v>
      </x:c>
      <x:c r="K188" s="28" t="str">
        <x:v>фруктовый, цветочный и свежий</x:v>
      </x:c>
      <x:c r="L188" s="28" t="str">
        <x:v>пиразины, фураны, альдегиды, лактоны</x:v>
      </x:c>
      <x:c r="M188" s="28" t="str">
        <x:v>альдегиды, эфиры</x:v>
      </x:c>
      <x:c r="N188" s="28" t="str">
        <x:v>прямое пересечение семейств не является единственным объяснением</x:v>
      </x:c>
      <x:c r="O188" s="28" t="str">
        <x:v>альдегиды</x:v>
      </x:c>
      <x:c r="P188" s="28" t="str">
        <x:v>общие ароматические соединения, контраст кислоты и жирной/горькой матрицы</x:v>
      </x:c>
      <x:c r="Q18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88" s="28" t="str">
        <x:v>минимальный</x:v>
      </x:c>
      <x:c r="S188" s="28" t="str">
        <x:v>кремовая жирно-белковая матрица; легко образует эмульсии и пасты Водная фруктовая фаза требует эмульсии или мелкого измельчения, если орех или шоколад вводится как паста.</x:v>
      </x:c>
      <x:c r="T188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188" s="28" t="str">
        <x:v>Кешью имеет профиль «сливочный, мягко-ореховый, сладковатый и жареный». Партнёр «watermelon»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88" s="28" t="str">
        <x:v>аллерген; оболочка сырого ореха содержит раздражающие вещества, поэтому используется обработанный пищевой продукт; избыток кислоты может сделать чай или кофе резкими и разрушить молочную эмульсию</x:v>
      </x:c>
      <x:c r="W188" s="28" t="str">
        <x:v>ваниль, цитрус или молочный жир</x:v>
      </x:c>
      <x:c r="X188" s="28" t="str">
        <x:v>пралине, паста, выпечка, гарнир, соус, молочный или коктейльный компонент с watermelon</x:v>
      </x:c>
      <x:c r="Y188" s="28" t="str">
        <x:v>десерты</x:v>
      </x:c>
      <x:c r="Z188" s="28" t="str">
        <x:v>Высокая</x:v>
      </x:c>
      <x:c r="AA188" s="28" t="str">
        <x:v>The Art &amp; Science of Foodpairing.pdf</x:v>
      </x:c>
      <x:c r="AB188" s="28" t="str">
        <x:v>The Art &amp; Science of Foodpairing.pdf: 79</x:v>
      </x:c>
      <x:c r="AC188" s="28" t="str">
        <x:v>Пара встречается как potential; научное объяснение сформировано по ароматическому профилю и пищевой матрице.</x:v>
      </x:c>
      <x:c r="AD188" s="28" t="n">
        <x:v>1</x:v>
      </x:c>
      <x:c r="AE188" s="28" t="n">
        <x:v>1</x:v>
      </x:c>
      <x:c r="AF188" s="28" t="n">
        <x:f>IF(Z188="Высокая",3,IF(Z188="Средняя",2,1))+AD188*2+MIN(AE188,3)</x:f>
        <x:v>6</x:v>
      </x:c>
    </x:row>
    <x:row r="189" ht="62" customHeight="1">
      <x:c r="A189" s="28" t="str">
        <x:v>NCT-0188</x:v>
      </x:c>
      <x:c r="B189" s="28" t="str">
        <x:v>кешью</x:v>
      </x:c>
      <x:c r="C189" s="28" t="str">
        <x:v>Универсальные</x:v>
      </x:c>
      <x:c r="D189" s="28" t="str">
        <x:v>кешью</x:v>
      </x:c>
      <x:c r="E189" s="28" t="str">
        <x:v>Кешью</x:v>
      </x:c>
      <x:c r="F189" s="28" t="str">
        <x:v>Орехи и семена</x:v>
      </x:c>
      <x:c r="G189" s="28" t="str">
        <x:v>ананас</x:v>
      </x:c>
      <x:c r="H189" s="28" t="str">
        <x:v>ананас</x:v>
      </x:c>
      <x:c r="I189" s="28" t="str">
        <x:v>Прочее</x:v>
      </x:c>
      <x:c r="J189" s="28" t="str">
        <x:v>сливочный, мягко-ореховый, сладковатый и жареный</x:v>
      </x:c>
      <x:c r="K189" s="28" t="str">
        <x:v>профиль зависит от конкретного продукта</x:v>
      </x:c>
      <x:c r="L189" s="28" t="str">
        <x:v>пиразины, фураны, альдегиды, лактоны</x:v>
      </x:c>
      <x:c r="M189" s="28" t="str">
        <x:v>характерный профиль зависит от конкретного продукта</x:v>
      </x:c>
      <x:c r="N189" s="28" t="str">
        <x:v>прямое пересечение семейств не является единственным объяснением</x:v>
      </x:c>
      <x:c r="O189" s="28" t="str">
        <x:v>надежная общая ключевая молекула не подтверждена</x:v>
      </x:c>
      <x:c r="P189" s="28" t="str">
        <x:v>сенсорная комплементарность</x:v>
      </x:c>
      <x:c r="Q18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89" s="28" t="str">
        <x:v>минимальный</x:v>
      </x:c>
      <x:c r="S189" s="28" t="str">
        <x:v>кремовая жирно-белковая матрица; легко образует эмульсии и пасты</x:v>
      </x:c>
      <x:c r="T189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189" s="28" t="str">
        <x:v>Кешью имеет профиль «сливочный, мягко-ореховый, сладковатый и жареный». Партнёр «ананас»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89" s="28" t="str">
        <x:v>аллерген; оболочка сырого ореха содержит раздражающие вещества, поэтому используется обработанный пищевой продукт</x:v>
      </x:c>
      <x:c r="W189" s="28" t="str">
        <x:v>соль, ваниль или карамель</x:v>
      </x:c>
      <x:c r="X189" s="28" t="str">
        <x:v>пралине, паста, выпечка, гарнир, соус, молочный или коктейльный компонент с ананас</x:v>
      </x:c>
      <x:c r="Y189" s="28" t="str">
        <x:v>десерты</x:v>
      </x:c>
      <x:c r="Z189" s="28" t="str">
        <x:v>Гипотеза / практическая</x:v>
      </x:c>
      <x:c r="AA189" s="28" t="str">
        <x:v>Таблица сочетания(1).pdf</x:v>
      </x:c>
      <x:c r="AB189" s="28" t="str">
        <x:v>Таблица сочетания(1).pdf: 4</x:v>
      </x:c>
      <x:c r="AC189" s="28" t="str">
        <x:v>Пара встречается как table; научное объяснение сформировано по ароматическому профилю и пищевой матрице.</x:v>
      </x:c>
      <x:c r="AD189" s="28" t="n">
        <x:v>1</x:v>
      </x:c>
      <x:c r="AE189" s="28" t="n">
        <x:v>1</x:v>
      </x:c>
      <x:c r="AF189" s="28" t="n">
        <x:f>IF(Z189="Высокая",3,IF(Z189="Средняя",2,1))+AD189*2+MIN(AE189,3)</x:f>
        <x:v>4</x:v>
      </x:c>
    </x:row>
    <x:row r="190" ht="62" customHeight="1">
      <x:c r="A190" s="28" t="str">
        <x:v>NCT-0189</x:v>
      </x:c>
      <x:c r="B190" s="28" t="str">
        <x:v>кешью</x:v>
      </x:c>
      <x:c r="C190" s="28" t="str">
        <x:v>Десерты и выпечка</x:v>
      </x:c>
      <x:c r="D190" s="28" t="str">
        <x:v>кешью</x:v>
      </x:c>
      <x:c r="E190" s="28" t="str">
        <x:v>roasted cashew nut | Кешью</x:v>
      </x:c>
      <x:c r="F190" s="28" t="str">
        <x:v>Орехи и семена</x:v>
      </x:c>
      <x:c r="G190" s="28" t="str">
        <x:v>груша</x:v>
      </x:c>
      <x:c r="H190" s="28" t="str">
        <x:v>pear | груша</x:v>
      </x:c>
      <x:c r="I190" s="28" t="str">
        <x:v>Фрукты и ягоды</x:v>
      </x:c>
      <x:c r="J190" s="28" t="str">
        <x:v>сливочный, мягко-ореховый, сладковатый и жареный</x:v>
      </x:c>
      <x:c r="K190" s="28" t="str">
        <x:v>фруктовый, цветочный и свежий</x:v>
      </x:c>
      <x:c r="L190" s="28" t="str">
        <x:v>пиразины, фураны, альдегиды, лактоны</x:v>
      </x:c>
      <x:c r="M190" s="28" t="str">
        <x:v>альдегиды, эфиры</x:v>
      </x:c>
      <x:c r="N190" s="28" t="str">
        <x:v>прямое пересечение семейств не является единственным объяснением</x:v>
      </x:c>
      <x:c r="O190" s="28" t="str">
        <x:v>альдегиды</x:v>
      </x:c>
      <x:c r="P190" s="28" t="str">
        <x:v>общие ароматические соединения, контраст кислоты и жирной/горькой матрицы</x:v>
      </x:c>
      <x:c r="Q19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90" s="28" t="str">
        <x:v>минимальный</x:v>
      </x:c>
      <x:c r="S190" s="28" t="str">
        <x:v>кремовая жирно-белковая матрица; легко образует эмульсии и пасты Водная фруктовая фаза требует эмульсии или мелкого измельчения, если орех или шоколад вводится как паста.</x:v>
      </x:c>
      <x:c r="T190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190" s="28" t="str">
        <x:v>Кешью имеет профиль «сливочный, мягко-ореховый, сладковатый и жареный». Партнёр «груша»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190" s="28" t="str">
        <x:v>аллерген; оболочка сырого ореха содержит раздражающие вещества, поэтому используется обработанный пищевой продукт; избыток кислоты может сделать чай или кофе резкими и разрушить молочную эмульсию</x:v>
      </x:c>
      <x:c r="W190" s="28" t="str">
        <x:v>ваниль, цитрус или молочный жир</x:v>
      </x:c>
      <x:c r="X190" s="28" t="str">
        <x:v>пралине, паста, выпечка, гарнир, соус, молочный или коктейльный компонент с груша</x:v>
      </x:c>
      <x:c r="Y190" s="28" t="str">
        <x:v>десерты</x:v>
      </x:c>
      <x:c r="Z190" s="28" t="str">
        <x:v>Высокая</x:v>
      </x:c>
      <x:c r="AA190" s="28" t="str">
        <x:v>The Art &amp; Science of Foodpairing.pdf | Таблица сочетания(1).pdf</x:v>
      </x:c>
      <x:c r="AB190" s="28" t="str">
        <x:v>The Art &amp; Science of Foodpairing.pdf: 350; Таблица сочетания(1).pdf: 4</x:v>
      </x:c>
      <x:c r="AC190" s="28" t="str">
        <x:v>Пара встречается как grid, table; научное объяснение сформировано по ароматическому профилю и пищевой матрице.</x:v>
      </x:c>
      <x:c r="AD190" s="28" t="n">
        <x:v>2</x:v>
      </x:c>
      <x:c r="AE190" s="28" t="n">
        <x:v>2</x:v>
      </x:c>
      <x:c r="AF190" s="28" t="n">
        <x:f>IF(Z190="Высокая",3,IF(Z190="Средняя",2,1))+AD190*2+MIN(AE190,3)</x:f>
        <x:v>9</x:v>
      </x:c>
    </x:row>
    <x:row r="191" ht="62" customHeight="1">
      <x:c r="A191" s="28" t="str">
        <x:v>NCT-0190</x:v>
      </x:c>
      <x:c r="B191" s="28" t="str">
        <x:v>кешью</x:v>
      </x:c>
      <x:c r="C191" s="28" t="str">
        <x:v>Универсальные</x:v>
      </x:c>
      <x:c r="D191" s="28" t="str">
        <x:v>кешью</x:v>
      </x:c>
      <x:c r="E191" s="28" t="str">
        <x:v>Кешью</x:v>
      </x:c>
      <x:c r="F191" s="28" t="str">
        <x:v>Орехи и семена</x:v>
      </x:c>
      <x:c r="G191" s="28" t="str">
        <x:v>имбирь</x:v>
      </x:c>
      <x:c r="H191" s="28" t="str">
        <x:v>имбирь</x:v>
      </x:c>
      <x:c r="I191" s="28" t="str">
        <x:v>Специи</x:v>
      </x:c>
      <x:c r="J191" s="28" t="str">
        <x:v>сливочный, мягко-ореховый, сладковатый и жареный</x:v>
      </x:c>
      <x:c r="K191" s="28" t="str">
        <x:v>пряный, тёплый, цитрусовый</x:v>
      </x:c>
      <x:c r="L191" s="28" t="str">
        <x:v>пиразины, фураны, альдегиды, лактоны</x:v>
      </x:c>
      <x:c r="M191" s="28" t="str">
        <x:v>гингеролы, цитраль</x:v>
      </x:c>
      <x:c r="N191" s="28" t="str">
        <x:v>прямое пересечение семейств не является единственным объяснением</x:v>
      </x:c>
      <x:c r="O191" s="28" t="str">
        <x:v>надежная общая ключевая молекула не подтверждена</x:v>
      </x:c>
      <x:c r="P191" s="28" t="str">
        <x:v>сенсорная комплементарность</x:v>
      </x:c>
      <x:c r="Q19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91" s="28" t="str">
        <x:v>минимальный; у острого партнёра тройничный эффект может доминировать</x:v>
      </x:c>
      <x:c r="S191" s="28" t="str">
        <x:v>кремовая жирно-белковая матрица; легко образует эмульсии и пасты</x:v>
      </x:c>
      <x:c r="T191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191" s="28" t="str">
        <x:v>Кешью имеет профиль «сливочный, мягко-ореховый, сладковатый и жареный». Партнёр «имбирь» относится к группе «Специи» и даёт пряный, тёплый,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91" s="28" t="str">
        <x:v>аллерген; оболочка сырого ореха содержит раздражающие вещества, поэтому используется обработанный пищевой продукт</x:v>
      </x:c>
      <x:c r="W191" s="28" t="str">
        <x:v>ваниль, апельсин или мёд</x:v>
      </x:c>
      <x:c r="X191" s="28" t="str">
        <x:v>пралине, паста, выпечка, гарнир, соус, молочный или коктейльный компонент с имбирь</x:v>
      </x:c>
      <x:c r="Y191" s="28" t="str">
        <x:v>десерты</x:v>
      </x:c>
      <x:c r="Z191" s="28" t="str">
        <x:v>Гипотеза / практическая</x:v>
      </x:c>
      <x:c r="AA191" s="28" t="str">
        <x:v>Таблица сочетания(1).pdf</x:v>
      </x:c>
      <x:c r="AB191" s="28" t="str">
        <x:v>Таблица сочетания(1).pdf: 4</x:v>
      </x:c>
      <x:c r="AC191" s="28" t="str">
        <x:v>Пара встречается как table; научное объяснение сформировано по ароматическому профилю и пищевой матрице.</x:v>
      </x:c>
      <x:c r="AD191" s="28" t="n">
        <x:v>1</x:v>
      </x:c>
      <x:c r="AE191" s="28" t="n">
        <x:v>1</x:v>
      </x:c>
      <x:c r="AF191" s="28" t="n">
        <x:f>IF(Z191="Высокая",3,IF(Z191="Средняя",2,1))+AD191*2+MIN(AE191,3)</x:f>
        <x:v>4</x:v>
      </x:c>
    </x:row>
    <x:row r="192" ht="62" customHeight="1">
      <x:c r="A192" s="28" t="str">
        <x:v>NCT-0191</x:v>
      </x:c>
      <x:c r="B192" s="28" t="str">
        <x:v>кешью</x:v>
      </x:c>
      <x:c r="C192" s="28" t="str">
        <x:v>Десерты и выпечка</x:v>
      </x:c>
      <x:c r="D192" s="28" t="str">
        <x:v>кешью</x:v>
      </x:c>
      <x:c r="E192" s="28" t="str">
        <x:v>Кешью</x:v>
      </x:c>
      <x:c r="F192" s="28" t="str">
        <x:v>Орехи и семена</x:v>
      </x:c>
      <x:c r="G192" s="28" t="str">
        <x:v>карамель</x:v>
      </x:c>
      <x:c r="H192" s="28" t="str">
        <x:v>карамель</x:v>
      </x:c>
      <x:c r="I192" s="28" t="str">
        <x:v>Выпечка, сахара и десерты</x:v>
      </x:c>
      <x:c r="J192" s="28" t="str">
        <x:v>сливочный, мягко-ореховый, сладковатый и жареный</x:v>
      </x:c>
      <x:c r="K192" s="28" t="str">
        <x:v>жареный, карамельный</x:v>
      </x:c>
      <x:c r="L192" s="28" t="str">
        <x:v>пиразины, фураны, альдегиды, лактоны</x:v>
      </x:c>
      <x:c r="M192" s="28" t="str">
        <x:v>мальтол, фураны</x:v>
      </x:c>
      <x:c r="N192" s="28" t="str">
        <x:v>жареный</x:v>
      </x:c>
      <x:c r="O192" s="28" t="str">
        <x:v>фураны</x:v>
      </x:c>
      <x:c r="P192" s="28" t="str">
        <x:v>общие ароматические соединения, пересечение ароматических семейств, жареная химия и реакции Майяра</x:v>
      </x:c>
      <x:c r="Q19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92" s="28" t="str">
        <x:v>минимальный</x:v>
      </x:c>
      <x:c r="S192" s="28" t="str">
        <x:v>кремовая жирно-белковая матрица; легко образует эмульсии и пасты</x:v>
      </x:c>
      <x:c r="T192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192" s="28" t="str">
        <x:v>Кешью имеет профиль «сливочный, мягко-ореховый, сладковатый и жареный». Партнёр «карамель» относится к группе «Выпечка, сахара и десерты» и даёт жареный, карамельный. Молекулярный мост создают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фураны.</x:v>
      </x:c>
      <x:c r="V192" s="28" t="str">
        <x:v>аллерген; оболочка сырого ореха содержит раздражающие вещества, поэтому используется обработанный пищевой продукт</x:v>
      </x:c>
      <x:c r="W192" s="28" t="str">
        <x:v>соль, ваниль или карамель</x:v>
      </x:c>
      <x:c r="X192" s="28" t="str">
        <x:v>пралине, паста, выпечка, гарнир, соус, молочный или коктейльный компонент с карамель</x:v>
      </x:c>
      <x:c r="Y192" s="28" t="str">
        <x:v>десерты</x:v>
      </x:c>
      <x:c r="Z192" s="28" t="str">
        <x:v>Гипотеза / практическая</x:v>
      </x:c>
      <x:c r="AA192" s="28" t="str">
        <x:v>Таблица сочетания(1).pdf</x:v>
      </x:c>
      <x:c r="AB192" s="28" t="str">
        <x:v>Таблица сочетания(1).pdf: 4</x:v>
      </x:c>
      <x:c r="AC192" s="28" t="str">
        <x:v>Пара встречается как table; научное объяснение сформировано по ароматическому профилю и пищевой матрице.</x:v>
      </x:c>
      <x:c r="AD192" s="28" t="n">
        <x:v>1</x:v>
      </x:c>
      <x:c r="AE192" s="28" t="n">
        <x:v>1</x:v>
      </x:c>
      <x:c r="AF192" s="28" t="n">
        <x:f>IF(Z192="Высокая",3,IF(Z192="Средняя",2,1))+AD192*2+MIN(AE192,3)</x:f>
        <x:v>4</x:v>
      </x:c>
    </x:row>
    <x:row r="193" ht="62" customHeight="1">
      <x:c r="A193" s="28" t="str">
        <x:v>NCT-0192</x:v>
      </x:c>
      <x:c r="B193" s="28" t="str">
        <x:v>кешью</x:v>
      </x:c>
      <x:c r="C193" s="28" t="str">
        <x:v>Универсальные</x:v>
      </x:c>
      <x:c r="D193" s="28" t="str">
        <x:v>кешью</x:v>
      </x:c>
      <x:c r="E193" s="28" t="str">
        <x:v>Кешью</x:v>
      </x:c>
      <x:c r="F193" s="28" t="str">
        <x:v>Орехи и семена</x:v>
      </x:c>
      <x:c r="G193" s="28" t="str">
        <x:v>корица</x:v>
      </x:c>
      <x:c r="H193" s="28" t="str">
        <x:v>корица</x:v>
      </x:c>
      <x:c r="I193" s="28" t="str">
        <x:v>Специи</x:v>
      </x:c>
      <x:c r="J193" s="28" t="str">
        <x:v>сливочный, мягко-ореховый, сладковатый и жареный</x:v>
      </x:c>
      <x:c r="K193" s="28" t="str">
        <x:v>древесный, пряный</x:v>
      </x:c>
      <x:c r="L193" s="28" t="str">
        <x:v>пиразины, фураны, альдегиды, лактоны</x:v>
      </x:c>
      <x:c r="M193" s="28" t="str">
        <x:v>циннамальдегид, эвгенол</x:v>
      </x:c>
      <x:c r="N193" s="28" t="str">
        <x:v>прямое пересечение семейств не является единственным объяснением</x:v>
      </x:c>
      <x:c r="O193" s="28" t="str">
        <x:v>надежная общая ключевая молекула не подтверждена</x:v>
      </x:c>
      <x:c r="P193" s="28" t="str">
        <x:v>сенсорная комплементарность</x:v>
      </x:c>
      <x:c r="Q19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93" s="28" t="str">
        <x:v>минимальный</x:v>
      </x:c>
      <x:c r="S193" s="28" t="str">
        <x:v>кремовая жирно-белковая матрица; легко образует эмульсии и пасты</x:v>
      </x:c>
      <x:c r="T193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193" s="28" t="str">
        <x:v>Кешью имеет профиль «сливочный, мягко-ореховый, сладковатый и жареный». Партнёр «корица» относится к группе «Специи» и даёт древесный, пряный.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93" s="28" t="str">
        <x:v>аллерген; оболочка сырого ореха содержит раздражающие вещества, поэтому используется обработанный пищевой продукт</x:v>
      </x:c>
      <x:c r="W193" s="28" t="str">
        <x:v>ваниль, апельсин или мёд</x:v>
      </x:c>
      <x:c r="X193" s="28" t="str">
        <x:v>пралине, паста, выпечка, гарнир, соус, молочный или коктейльный компонент с корица</x:v>
      </x:c>
      <x:c r="Y193" s="28" t="str">
        <x:v>десерты</x:v>
      </x:c>
      <x:c r="Z193" s="28" t="str">
        <x:v>Гипотеза / практическая</x:v>
      </x:c>
      <x:c r="AA193" s="28" t="str">
        <x:v>Таблица сочетания(1).pdf</x:v>
      </x:c>
      <x:c r="AB193" s="28" t="str">
        <x:v>Таблица сочетания(1).pdf: 4</x:v>
      </x:c>
      <x:c r="AC193" s="28" t="str">
        <x:v>Пара встречается как table; научное объяснение сформировано по ароматическому профилю и пищевой матрице.</x:v>
      </x:c>
      <x:c r="AD193" s="28" t="n">
        <x:v>1</x:v>
      </x:c>
      <x:c r="AE193" s="28" t="n">
        <x:v>1</x:v>
      </x:c>
      <x:c r="AF193" s="28" t="n">
        <x:f>IF(Z193="Высокая",3,IF(Z193="Средняя",2,1))+AD193*2+MIN(AE193,3)</x:f>
        <x:v>4</x:v>
      </x:c>
    </x:row>
    <x:row r="194" ht="62" customHeight="1">
      <x:c r="A194" s="28" t="str">
        <x:v>NCT-0193</x:v>
      </x:c>
      <x:c r="B194" s="28" t="str">
        <x:v>кешью</x:v>
      </x:c>
      <x:c r="C194" s="28" t="str">
        <x:v>Напитки</x:v>
      </x:c>
      <x:c r="D194" s="28" t="str">
        <x:v>кешью</x:v>
      </x:c>
      <x:c r="E194" s="28" t="str">
        <x:v>roasted cashew nut</x:v>
      </x:c>
      <x:c r="F194" s="28" t="str">
        <x:v>Орехи и семена</x:v>
      </x:c>
      <x:c r="G194" s="28" t="str">
        <x:v>кофе</x:v>
      </x:c>
      <x:c r="H194" s="28" t="str">
        <x:v>coffee</x:v>
      </x:c>
      <x:c r="I194" s="28" t="str">
        <x:v>Кофе</x:v>
      </x:c>
      <x:c r="J194" s="28" t="str">
        <x:v>сливочный, мягко-ореховый, сладковатый и жареный</x:v>
      </x:c>
      <x:c r="K194" s="28" t="str">
        <x:v>жареный, ореховый, карамельный, цветочный, фруктовый, фенольный и древесный</x:v>
      </x:c>
      <x:c r="L194" s="28" t="str">
        <x:v>пиразины, фураны, альдегиды, лактоны</x:v>
      </x:c>
      <x:c r="M194" s="28" t="str">
        <x:v>2-фурфурилтиол, гваякол, диацетил, пиразины, фураны</x:v>
      </x:c>
      <x:c r="N194" s="28" t="str">
        <x:v>жареный, ореховый</x:v>
      </x:c>
      <x:c r="O194" s="28" t="str">
        <x:v>пиразины, фураны</x:v>
      </x:c>
      <x:c r="P194" s="28" t="str">
        <x:v>общие ароматические соединения, пересечение ароматических семейств, жареная химия и реакции Майяра</x:v>
      </x:c>
      <x:c r="Q19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94" s="28" t="str">
        <x:v>минимальный</x:v>
      </x:c>
      <x:c r="S194" s="28" t="str">
        <x:v>кремовая жирно-белковая матрица; легко образует эмульсии и пасты</x:v>
      </x:c>
      <x:c r="T194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194" s="28" t="str">
        <x:v>Кешью имеет профиль «сливочный, мягко-ореховый, сладковатый и жареный».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ореховый; пиразины, фураны.</x:v>
      </x:c>
      <x:c r="V194" s="28" t="str">
        <x:v>аллерген; оболочка сырого ореха содержит раздражающие вещества, поэтому используется обработанный пищевой продукт</x:v>
      </x:c>
      <x:c r="W194" s="28" t="str">
        <x:v>соль, ваниль или карамель</x:v>
      </x:c>
      <x:c r="X194" s="28" t="str">
        <x:v>пралине, паста, выпечка, гарнир, соус, молочный или коктейльный компонент с кофе</x:v>
      </x:c>
      <x:c r="Y194" s="28" t="str">
        <x:v>напитки, десерты</x:v>
      </x:c>
      <x:c r="Z194" s="28" t="str">
        <x:v>Средняя</x:v>
      </x:c>
      <x:c r="AA194" s="28" t="str">
        <x:v>The Art &amp; Science of Foodpairing.pdf</x:v>
      </x:c>
      <x:c r="AB194" s="28" t="str">
        <x:v>The Art &amp; Science of Foodpairing.pdf: 297</x:v>
      </x:c>
      <x:c r="AC194" s="28" t="str">
        <x:v>Пара встречается как grid; научное объяснение сформировано по ароматическому профилю и пищевой матрице.</x:v>
      </x:c>
      <x:c r="AD194" s="28" t="n">
        <x:v>1</x:v>
      </x:c>
      <x:c r="AE194" s="28" t="n">
        <x:v>1</x:v>
      </x:c>
      <x:c r="AF194" s="28" t="n">
        <x:f>IF(Z194="Высокая",3,IF(Z194="Средняя",2,1))+AD194*2+MIN(AE194,3)</x:f>
        <x:v>5</x:v>
      </x:c>
    </x:row>
    <x:row r="195" ht="62" customHeight="1">
      <x:c r="A195" s="28" t="str">
        <x:v>NCT-0194</x:v>
      </x:c>
      <x:c r="B195" s="28" t="str">
        <x:v>кешью</x:v>
      </x:c>
      <x:c r="C195" s="28" t="str">
        <x:v>Десерты и выпечка</x:v>
      </x:c>
      <x:c r="D195" s="28" t="str">
        <x:v>кешью</x:v>
      </x:c>
      <x:c r="E195" s="28" t="str">
        <x:v>Кешью</x:v>
      </x:c>
      <x:c r="F195" s="28" t="str">
        <x:v>Орехи и семена</x:v>
      </x:c>
      <x:c r="G195" s="28" t="str">
        <x:v>мускатный орех</x:v>
      </x:c>
      <x:c r="H195" s="28" t="str">
        <x:v>мускатный орех</x:v>
      </x:c>
      <x:c r="I195" s="28" t="str">
        <x:v>Орехи и семена</x:v>
      </x:c>
      <x:c r="J195" s="28" t="str">
        <x:v>сливочный, мягко-ореховый, сладковатый и жареный</x:v>
      </x:c>
      <x:c r="K195" s="28" t="str">
        <x:v>камфорный, ореховый, пряный</x:v>
      </x:c>
      <x:c r="L195" s="28" t="str">
        <x:v>пиразины, фураны, альдегиды, лактоны</x:v>
      </x:c>
      <x:c r="M195" s="28" t="str">
        <x:v>пинены, сабинен</x:v>
      </x:c>
      <x:c r="N195" s="28" t="str">
        <x:v>ореховый</x:v>
      </x:c>
      <x:c r="O195" s="28" t="str">
        <x:v>надежная общая ключевая молекула не подтверждена</x:v>
      </x:c>
      <x:c r="P195" s="28" t="str">
        <x:v>пересечение ароматических семейств, жареная химия и реакции Майяра</x:v>
      </x:c>
      <x:c r="Q19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95" s="28" t="str">
        <x:v>минимальный</x:v>
      </x:c>
      <x:c r="S195" s="28" t="str">
        <x:v>кремовая жирно-белковая матрица; легко образует эмульсии и пасты</x:v>
      </x:c>
      <x:c r="T195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195" s="28" t="str">
        <x:v>Кешью имеет профиль «сливочный, мягко-ореховый, сладковатый и жареный».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механизм не следует сводить к одной общей молекуле.</x:v>
      </x:c>
      <x:c r="V195" s="28" t="str">
        <x:v>аллерген; оболочка сырого ореха содержит раздражающие вещества, поэтому используется обработанный пищевой продукт</x:v>
      </x:c>
      <x:c r="W195" s="28" t="str">
        <x:v>соль, ваниль или карамель</x:v>
      </x:c>
      <x:c r="X195" s="28" t="str">
        <x:v>пралине, паста, выпечка, гарнир, соус, молочный или коктейльный компонент с мускатный орех</x:v>
      </x:c>
      <x:c r="Y195" s="28" t="str">
        <x:v>десерты</x:v>
      </x:c>
      <x:c r="Z195" s="28" t="str">
        <x:v>Гипотеза / практическая</x:v>
      </x:c>
      <x:c r="AA195" s="28" t="str">
        <x:v>Таблица сочетания(1).pdf</x:v>
      </x:c>
      <x:c r="AB195" s="28" t="str">
        <x:v>Таблица сочетания(1).pdf: 4</x:v>
      </x:c>
      <x:c r="AC195" s="28" t="str">
        <x:v>Пара встречается как table; научное объяснение сформировано по ароматическому профилю и пищевой матрице.</x:v>
      </x:c>
      <x:c r="AD195" s="28" t="n">
        <x:v>1</x:v>
      </x:c>
      <x:c r="AE195" s="28" t="n">
        <x:v>1</x:v>
      </x:c>
      <x:c r="AF195" s="28" t="n">
        <x:f>IF(Z195="Высокая",3,IF(Z195="Средняя",2,1))+AD195*2+MIN(AE195,3)</x:f>
        <x:v>4</x:v>
      </x:c>
    </x:row>
    <x:row r="196" ht="62" customHeight="1">
      <x:c r="A196" s="28" t="str">
        <x:v>NCT-0195</x:v>
      </x:c>
      <x:c r="B196" s="28" t="str">
        <x:v>кешью</x:v>
      </x:c>
      <x:c r="C196" s="28" t="str">
        <x:v>Десерты и выпечка</x:v>
      </x:c>
      <x:c r="D196" s="28" t="str">
        <x:v>кешью</x:v>
      </x:c>
      <x:c r="E196" s="28" t="str">
        <x:v>Кешью</x:v>
      </x:c>
      <x:c r="F196" s="28" t="str">
        <x:v>Орехи и семена</x:v>
      </x:c>
      <x:c r="G196" s="28" t="str">
        <x:v>мёд</x:v>
      </x:c>
      <x:c r="H196" s="28" t="str">
        <x:v>мёд</x:v>
      </x:c>
      <x:c r="I196" s="28" t="str">
        <x:v>Выпечка, сахара и десерты</x:v>
      </x:c>
      <x:c r="J196" s="28" t="str">
        <x:v>сливочный, мягко-ореховый, сладковатый и жареный</x:v>
      </x:c>
      <x:c r="K196" s="28" t="str">
        <x:v>медовый, цветочный</x:v>
      </x:c>
      <x:c r="L196" s="28" t="str">
        <x:v>пиразины, фураны, альдегиды, лактоны</x:v>
      </x:c>
      <x:c r="M196" s="28" t="str">
        <x:v>норизопреноиды, фенилуксусная кислота</x:v>
      </x:c>
      <x:c r="N196" s="28" t="str">
        <x:v>прямое пересечение семейств не является единственным объяснением</x:v>
      </x:c>
      <x:c r="O196" s="28" t="str">
        <x:v>надежная общая ключевая молекула не подтверждена</x:v>
      </x:c>
      <x:c r="P196" s="28" t="str">
        <x:v>жареная химия и реакции Майяра</x:v>
      </x:c>
      <x:c r="Q19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96" s="28" t="str">
        <x:v>минимальный</x:v>
      </x:c>
      <x:c r="S196" s="28" t="str">
        <x:v>кремовая жирно-белковая матрица; легко образует эмульсии и пасты</x:v>
      </x:c>
      <x:c r="T196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196" s="28" t="str">
        <x:v>Кешью имеет профиль «сливочный, мягко-ореховый, сладковатый и жареный». Партнёр «мёд» относится к группе «Выпечка, сахара и десерты» и даёт медовый, цветочный.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96" s="28" t="str">
        <x:v>аллерген; оболочка сырого ореха содержит раздражающие вещества, поэтому используется обработанный пищевой продукт</x:v>
      </x:c>
      <x:c r="W196" s="28" t="str">
        <x:v>соль, ваниль или карамель</x:v>
      </x:c>
      <x:c r="X196" s="28" t="str">
        <x:v>пралине, паста, выпечка, гарнир, соус, молочный или коктейльный компонент с мёд</x:v>
      </x:c>
      <x:c r="Y196" s="28" t="str">
        <x:v>десерты</x:v>
      </x:c>
      <x:c r="Z196" s="28" t="str">
        <x:v>Гипотеза / практическая</x:v>
      </x:c>
      <x:c r="AA196" s="28" t="str">
        <x:v>Таблица сочетания(1).pdf</x:v>
      </x:c>
      <x:c r="AB196" s="28" t="str">
        <x:v>Таблица сочетания(1).pdf: 4</x:v>
      </x:c>
      <x:c r="AC196" s="28" t="str">
        <x:v>Пара встречается как table; научное объяснение сформировано по ароматическому профилю и пищевой матрице.</x:v>
      </x:c>
      <x:c r="AD196" s="28" t="n">
        <x:v>1</x:v>
      </x:c>
      <x:c r="AE196" s="28" t="n">
        <x:v>1</x:v>
      </x:c>
      <x:c r="AF196" s="28" t="n">
        <x:f>IF(Z196="Высокая",3,IF(Z196="Средняя",2,1))+AD196*2+MIN(AE196,3)</x:f>
        <x:v>4</x:v>
      </x:c>
    </x:row>
    <x:row r="197" ht="62" customHeight="1">
      <x:c r="A197" s="28" t="str">
        <x:v>NCT-0196</x:v>
      </x:c>
      <x:c r="B197" s="28" t="str">
        <x:v>кешью</x:v>
      </x:c>
      <x:c r="C197" s="28" t="str">
        <x:v>Универсальные</x:v>
      </x:c>
      <x:c r="D197" s="28" t="str">
        <x:v>кешью</x:v>
      </x:c>
      <x:c r="E197" s="28" t="str">
        <x:v>Кешью</x:v>
      </x:c>
      <x:c r="F197" s="28" t="str">
        <x:v>Орехи и семена</x:v>
      </x:c>
      <x:c r="G197" s="28" t="str">
        <x:v>петрушка</x:v>
      </x:c>
      <x:c r="H197" s="28" t="str">
        <x:v>петрушка</x:v>
      </x:c>
      <x:c r="I197" s="28" t="str">
        <x:v>Травы, цветы и листья</x:v>
      </x:c>
      <x:c r="J197" s="28" t="str">
        <x:v>сливочный, мягко-ореховый, сладковатый и жареный</x:v>
      </x:c>
      <x:c r="K197" s="28" t="str">
        <x:v>зелёный, цветочный и терпеновый</x:v>
      </x:c>
      <x:c r="L197" s="28" t="str">
        <x:v>пиразины, фураны, альдегиды, лактоны</x:v>
      </x:c>
      <x:c r="M197" s="28" t="str">
        <x:v>линалоол, терпены</x:v>
      </x:c>
      <x:c r="N197" s="28" t="str">
        <x:v>прямое пересечение семейств не является единственным объяснением</x:v>
      </x:c>
      <x:c r="O197" s="28" t="str">
        <x:v>надежная общая ключевая молекула не подтверждена</x:v>
      </x:c>
      <x:c r="P197" s="28" t="str">
        <x:v>сенсорная комплементарность</x:v>
      </x:c>
      <x:c r="Q19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97" s="28" t="str">
        <x:v>минимальный</x:v>
      </x:c>
      <x:c r="S197" s="28" t="str">
        <x:v>кремовая жирно-белковая матрица; легко образует эмульсии и пасты</x:v>
      </x:c>
      <x:c r="T197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197" s="28" t="str">
        <x:v>Кешью имеет профиль «сливочный, мягко-ореховый, сладковатый и жареный». Партнёр «петрушка»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97" s="28" t="str">
        <x:v>аллерген; оболочка сырого ореха содержит раздражающие вещества, поэтому используется обработанный пищевой продукт</x:v>
      </x:c>
      <x:c r="W197" s="28" t="str">
        <x:v>цитрус, мёд или сливки</x:v>
      </x:c>
      <x:c r="X197" s="28" t="str">
        <x:v>пралине, паста, выпечка, гарнир, соус, молочный или коктейльный компонент с петрушка</x:v>
      </x:c>
      <x:c r="Y197" s="28" t="str">
        <x:v>десерты</x:v>
      </x:c>
      <x:c r="Z197" s="28" t="str">
        <x:v>Гипотеза / практическая</x:v>
      </x:c>
      <x:c r="AA197" s="28" t="str">
        <x:v>Таблица сочетания(1).pdf</x:v>
      </x:c>
      <x:c r="AB197" s="28" t="str">
        <x:v>Таблица сочетания(1).pdf: 4</x:v>
      </x:c>
      <x:c r="AC197" s="28" t="str">
        <x:v>Пара встречается как table; научное объяснение сформировано по ароматическому профилю и пищевой матрице.</x:v>
      </x:c>
      <x:c r="AD197" s="28" t="n">
        <x:v>1</x:v>
      </x:c>
      <x:c r="AE197" s="28" t="n">
        <x:v>1</x:v>
      </x:c>
      <x:c r="AF197" s="28" t="n">
        <x:f>IF(Z197="Высокая",3,IF(Z197="Средняя",2,1))+AD197*2+MIN(AE197,3)</x:f>
        <x:v>4</x:v>
      </x:c>
    </x:row>
    <x:row r="198" ht="62" customHeight="1">
      <x:c r="A198" s="28" t="str">
        <x:v>NCT-0197</x:v>
      </x:c>
      <x:c r="B198" s="28" t="str">
        <x:v>кешью</x:v>
      </x:c>
      <x:c r="C198" s="28" t="str">
        <x:v>Универсальные</x:v>
      </x:c>
      <x:c r="D198" s="28" t="str">
        <x:v>кешью</x:v>
      </x:c>
      <x:c r="E198" s="28" t="str">
        <x:v>roasted cashew nut</x:v>
      </x:c>
      <x:c r="F198" s="28" t="str">
        <x:v>Орехи и семена</x:v>
      </x:c>
      <x:c r="G198" s="28" t="str">
        <x:v>сельдерей корневой</x:v>
      </x:c>
      <x:c r="H198" s="28" t="str">
        <x:v>celeriac</x:v>
      </x:c>
      <x:c r="I198" s="28" t="str">
        <x:v>Прочее</x:v>
      </x:c>
      <x:c r="J198" s="28" t="str">
        <x:v>сливочный, мягко-ореховый, сладковатый и жареный</x:v>
      </x:c>
      <x:c r="K198" s="28" t="str">
        <x:v>профиль зависит от конкретного продукта</x:v>
      </x:c>
      <x:c r="L198" s="28" t="str">
        <x:v>пиразины, фураны, альдегиды, лактоны</x:v>
      </x:c>
      <x:c r="M198" s="28" t="str">
        <x:v>характерный профиль зависит от конкретного продукта</x:v>
      </x:c>
      <x:c r="N198" s="28" t="str">
        <x:v>прямое пересечение семейств не является единственным объяснением</x:v>
      </x:c>
      <x:c r="O198" s="28" t="str">
        <x:v>надежная общая ключевая молекула не подтверждена</x:v>
      </x:c>
      <x:c r="P198" s="28" t="str">
        <x:v>сенсорная комплементарность</x:v>
      </x:c>
      <x:c r="Q19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98" s="28" t="str">
        <x:v>минимальный</x:v>
      </x:c>
      <x:c r="S198" s="28" t="str">
        <x:v>кремовая жирно-белковая матрица; легко образует эмульсии и пасты</x:v>
      </x:c>
      <x:c r="T198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198" s="28" t="str">
        <x:v>Кешью имеет профиль «сливочный, мягко-ореховый, сладковатый и жареный». Партнёр «сельдерей корневой»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98" s="28" t="str">
        <x:v>аллерген; оболочка сырого ореха содержит раздражающие вещества, поэтому используется обработанный пищевой продукт</x:v>
      </x:c>
      <x:c r="W198" s="28" t="str">
        <x:v>соль, ваниль или карамель</x:v>
      </x:c>
      <x:c r="X198" s="28" t="str">
        <x:v>пралине, паста, выпечка, гарнир, соус, молочный или коктейльный компонент с сельдерей корневой</x:v>
      </x:c>
      <x:c r="Y198" s="28" t="str">
        <x:v>десерты</x:v>
      </x:c>
      <x:c r="Z198" s="28" t="str">
        <x:v>Средняя</x:v>
      </x:c>
      <x:c r="AA198" s="28" t="str">
        <x:v>The Art &amp; Science of Foodpairing.pdf</x:v>
      </x:c>
      <x:c r="AB198" s="28" t="str">
        <x:v>The Art &amp; Science of Foodpairing.pdf: 52</x:v>
      </x:c>
      <x:c r="AC198" s="28" t="str">
        <x:v>Пара встречается как grid; научное объяснение сформировано по ароматическому профилю и пищевой матрице.</x:v>
      </x:c>
      <x:c r="AD198" s="28" t="n">
        <x:v>1</x:v>
      </x:c>
      <x:c r="AE198" s="28" t="n">
        <x:v>1</x:v>
      </x:c>
      <x:c r="AF198" s="28" t="n">
        <x:f>IF(Z198="Высокая",3,IF(Z198="Средняя",2,1))+AD198*2+MIN(AE198,3)</x:f>
        <x:v>5</x:v>
      </x:c>
    </x:row>
    <x:row r="199" ht="62" customHeight="1">
      <x:c r="A199" s="28" t="str">
        <x:v>NCT-0198</x:v>
      </x:c>
      <x:c r="B199" s="28" t="str">
        <x:v>кешью</x:v>
      </x:c>
      <x:c r="C199" s="28" t="str">
        <x:v>Универсальные</x:v>
      </x:c>
      <x:c r="D199" s="28" t="str">
        <x:v>кешью</x:v>
      </x:c>
      <x:c r="E199" s="28" t="str">
        <x:v>Кешью</x:v>
      </x:c>
      <x:c r="F199" s="28" t="str">
        <x:v>Орехи и семена</x:v>
      </x:c>
      <x:c r="G199" s="28" t="str">
        <x:v>укроп</x:v>
      </x:c>
      <x:c r="H199" s="28" t="str">
        <x:v>укроп</x:v>
      </x:c>
      <x:c r="I199" s="28" t="str">
        <x:v>Прочее</x:v>
      </x:c>
      <x:c r="J199" s="28" t="str">
        <x:v>сливочный, мягко-ореховый, сладковатый и жареный</x:v>
      </x:c>
      <x:c r="K199" s="28" t="str">
        <x:v>профиль зависит от конкретного продукта</x:v>
      </x:c>
      <x:c r="L199" s="28" t="str">
        <x:v>пиразины, фураны, альдегиды, лактоны</x:v>
      </x:c>
      <x:c r="M199" s="28" t="str">
        <x:v>характерный профиль зависит от конкретного продукта</x:v>
      </x:c>
      <x:c r="N199" s="28" t="str">
        <x:v>прямое пересечение семейств не является единственным объяснением</x:v>
      </x:c>
      <x:c r="O199" s="28" t="str">
        <x:v>надежная общая ключевая молекула не подтверждена</x:v>
      </x:c>
      <x:c r="P199" s="28" t="str">
        <x:v>сенсорная комплементарность</x:v>
      </x:c>
      <x:c r="Q19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199" s="28" t="str">
        <x:v>минимальный</x:v>
      </x:c>
      <x:c r="S199" s="28" t="str">
        <x:v>кремовая жирно-белковая матрица; легко образует эмульсии и пасты</x:v>
      </x:c>
      <x:c r="T199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199" s="28" t="str">
        <x:v>Кешью имеет профиль «сливочный, мягко-ореховый, сладковатый и жареный». Партнёр «укроп»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199" s="28" t="str">
        <x:v>аллерген; оболочка сырого ореха содержит раздражающие вещества, поэтому используется обработанный пищевой продукт</x:v>
      </x:c>
      <x:c r="W199" s="28" t="str">
        <x:v>соль, ваниль или карамель</x:v>
      </x:c>
      <x:c r="X199" s="28" t="str">
        <x:v>пралине, паста, выпечка, гарнир, соус, молочный или коктейльный компонент с укроп</x:v>
      </x:c>
      <x:c r="Y199" s="28" t="str">
        <x:v>десерты</x:v>
      </x:c>
      <x:c r="Z199" s="28" t="str">
        <x:v>Гипотеза / практическая</x:v>
      </x:c>
      <x:c r="AA199" s="28" t="str">
        <x:v>Таблица сочетания(1).pdf</x:v>
      </x:c>
      <x:c r="AB199" s="28" t="str">
        <x:v>Таблица сочетания(1).pdf: 4</x:v>
      </x:c>
      <x:c r="AC199" s="28" t="str">
        <x:v>Пара встречается как table; научное объяснение сформировано по ароматическому профилю и пищевой матрице.</x:v>
      </x:c>
      <x:c r="AD199" s="28" t="n">
        <x:v>1</x:v>
      </x:c>
      <x:c r="AE199" s="28" t="n">
        <x:v>1</x:v>
      </x:c>
      <x:c r="AF199" s="28" t="n">
        <x:f>IF(Z199="Высокая",3,IF(Z199="Средняя",2,1))+AD199*2+MIN(AE199,3)</x:f>
        <x:v>4</x:v>
      </x:c>
    </x:row>
    <x:row r="200" ht="62" customHeight="1">
      <x:c r="A200" s="28" t="str">
        <x:v>NCT-0199</x:v>
      </x:c>
      <x:c r="B200" s="28" t="str">
        <x:v>кешью</x:v>
      </x:c>
      <x:c r="C200" s="28" t="str">
        <x:v>Десерты и выпечка</x:v>
      </x:c>
      <x:c r="D200" s="28" t="str">
        <x:v>кешью</x:v>
      </x:c>
      <x:c r="E200" s="28" t="str">
        <x:v>Кешью</x:v>
      </x:c>
      <x:c r="F200" s="28" t="str">
        <x:v>Орехи и семена</x:v>
      </x:c>
      <x:c r="G200" s="28" t="str">
        <x:v>яблоко</x:v>
      </x:c>
      <x:c r="H200" s="28" t="str">
        <x:v>яблоко</x:v>
      </x:c>
      <x:c r="I200" s="28" t="str">
        <x:v>Фрукты и ягоды</x:v>
      </x:c>
      <x:c r="J200" s="28" t="str">
        <x:v>сливочный, мягко-ореховый, сладковатый и жареный</x:v>
      </x:c>
      <x:c r="K200" s="28" t="str">
        <x:v>фруктовый, цветочный и свежий</x:v>
      </x:c>
      <x:c r="L200" s="28" t="str">
        <x:v>пиразины, фураны, альдегиды, лактоны</x:v>
      </x:c>
      <x:c r="M200" s="28" t="str">
        <x:v>альдегиды, эфиры</x:v>
      </x:c>
      <x:c r="N200" s="28" t="str">
        <x:v>прямое пересечение семейств не является единственным объяснением</x:v>
      </x:c>
      <x:c r="O200" s="28" t="str">
        <x:v>альдегиды</x:v>
      </x:c>
      <x:c r="P200" s="28" t="str">
        <x:v>общие ароматические соединения, контраст кислоты и жирной/горькой матрицы</x:v>
      </x:c>
      <x:c r="Q20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200" s="28" t="str">
        <x:v>минимальный</x:v>
      </x:c>
      <x:c r="S200" s="28" t="str">
        <x:v>кремовая жирно-белковая матрица; легко образует эмульсии и пасты Водная фруктовая фаза требует эмульсии или мелкого измельчения, если орех или шоколад вводится как паста.</x:v>
      </x:c>
      <x:c r="T200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200" s="28" t="str">
        <x:v>Кешью имеет профиль «сливочный, мягко-ореховый, сладковатый и жареный». Партнёр «яблоко»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200" s="28" t="str">
        <x:v>аллерген; оболочка сырого ореха содержит раздражающие вещества, поэтому используется обработанный пищевой продукт; избыток кислоты может сделать чай или кофе резкими и разрушить молочную эмульсию</x:v>
      </x:c>
      <x:c r="W200" s="28" t="str">
        <x:v>ваниль, цитрус или молочный жир</x:v>
      </x:c>
      <x:c r="X200" s="28" t="str">
        <x:v>пралине, паста, выпечка, гарнир, соус, молочный или коктейльный компонент с яблоко</x:v>
      </x:c>
      <x:c r="Y200" s="28" t="str">
        <x:v>десерты</x:v>
      </x:c>
      <x:c r="Z200" s="28" t="str">
        <x:v>Гипотеза / практическая</x:v>
      </x:c>
      <x:c r="AA200" s="28" t="str">
        <x:v>Таблица сочетания(1).pdf</x:v>
      </x:c>
      <x:c r="AB200" s="28" t="str">
        <x:v>Таблица сочетания(1).pdf: 4</x:v>
      </x:c>
      <x:c r="AC200" s="28" t="str">
        <x:v>Пара встречается как table; научное объяснение сформировано по ароматическому профилю и пищевой матрице.</x:v>
      </x:c>
      <x:c r="AD200" s="28" t="n">
        <x:v>1</x:v>
      </x:c>
      <x:c r="AE200" s="28" t="n">
        <x:v>1</x:v>
      </x:c>
      <x:c r="AF200" s="28" t="n">
        <x:f>IF(Z200="Высокая",3,IF(Z200="Средняя",2,1))+AD200*2+MIN(AE200,3)</x:f>
        <x:v>4</x:v>
      </x:c>
    </x:row>
    <x:row r="201" ht="62" customHeight="1">
      <x:c r="A201" s="28" t="str">
        <x:v>NCT-0200</x:v>
      </x:c>
      <x:c r="B201" s="28" t="str">
        <x:v>кешью</x:v>
      </x:c>
      <x:c r="C201" s="28" t="str">
        <x:v>Десерты и выпечка</x:v>
      </x:c>
      <x:c r="D201" s="28" t="str">
        <x:v>кешью</x:v>
      </x:c>
      <x:c r="E201" s="28" t="str">
        <x:v>кешью</x:v>
      </x:c>
      <x:c r="F201" s="28" t="str">
        <x:v>Орехи и семена</x:v>
      </x:c>
      <x:c r="G201" s="28" t="str">
        <x:v>ягоды годжи</x:v>
      </x:c>
      <x:c r="H201" s="28" t="str">
        <x:v>Ягоды годжи</x:v>
      </x:c>
      <x:c r="I201" s="28" t="str">
        <x:v>Фрукты и ягоды</x:v>
      </x:c>
      <x:c r="J201" s="28" t="str">
        <x:v>сливочный, мягко-ореховый, сладковатый и жареный</x:v>
      </x:c>
      <x:c r="K201" s="28" t="str">
        <x:v>фруктовый, цветочный и свежий</x:v>
      </x:c>
      <x:c r="L201" s="28" t="str">
        <x:v>пиразины, фураны, альдегиды, лактоны</x:v>
      </x:c>
      <x:c r="M201" s="28" t="str">
        <x:v>альдегиды, эфиры</x:v>
      </x:c>
      <x:c r="N201" s="28" t="str">
        <x:v>прямое пересечение семейств не является единственным объяснением</x:v>
      </x:c>
      <x:c r="O201" s="28" t="str">
        <x:v>альдегиды</x:v>
      </x:c>
      <x:c r="P201" s="28" t="str">
        <x:v>общие ароматические соединения, контраст кислоты и жирной/горькой матрицы</x:v>
      </x:c>
      <x:c r="Q20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201" s="28" t="str">
        <x:v>минимальный</x:v>
      </x:c>
      <x:c r="S201" s="28" t="str">
        <x:v>кремовая жирно-белковая матрица; легко образует эмульсии и пасты Водная фруктовая фаза требует эмульсии или мелкого измельчения, если орех или шоколад вводится как паста.</x:v>
      </x:c>
      <x:c r="T201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U201" s="28" t="str">
        <x:v>Кешью имеет профиль «сливочный, мягко-ореховый, сладковатый и жареный». Партнёр «ягоды годжи»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201" s="28" t="str">
        <x:v>аллерген; оболочка сырого ореха содержит раздражающие вещества, поэтому используется обработанный пищевой продукт; избыток кислоты может сделать чай или кофе резкими и разрушить молочную эмульсию</x:v>
      </x:c>
      <x:c r="W201" s="28" t="str">
        <x:v>ваниль, цитрус или молочный жир</x:v>
      </x:c>
      <x:c r="X201" s="28" t="str">
        <x:v>пралине, паста, выпечка, гарнир, соус, молочный или коктейльный компонент с ягоды годжи</x:v>
      </x:c>
      <x:c r="Y201" s="28" t="str">
        <x:v>десерты</x:v>
      </x:c>
      <x:c r="Z201" s="28" t="str">
        <x:v>Гипотеза / практическая</x:v>
      </x:c>
      <x:c r="AA201" s="28" t="str">
        <x:v>Таблица сочетания(1).pdf</x:v>
      </x:c>
      <x:c r="AB201" s="28" t="str">
        <x:v>Таблица сочетания(1).pdf: 8</x:v>
      </x:c>
      <x:c r="AC201" s="28" t="str">
        <x:v>Пара встречается как table; научное объяснение сформировано по ароматическому профилю и пищевой матрице.</x:v>
      </x:c>
      <x:c r="AD201" s="28" t="n">
        <x:v>1</x:v>
      </x:c>
      <x:c r="AE201" s="28" t="n">
        <x:v>1</x:v>
      </x:c>
      <x:c r="AF201" s="28" t="n">
        <x:f>IF(Z201="Высокая",3,IF(Z201="Средняя",2,1))+AD201*2+MIN(AE201,3)</x:f>
        <x:v>4</x:v>
      </x:c>
    </x:row>
    <x:row r="202" ht="62" customHeight="1">
      <x:c r="A202" s="28" t="str">
        <x:v>NCT-0201</x:v>
      </x:c>
      <x:c r="B202" s="28" t="str">
        <x:v>кофе</x:v>
      </x:c>
      <x:c r="C202" s="28" t="str">
        <x:v>Десерты и выпечка</x:v>
      </x:c>
      <x:c r="D202" s="28" t="str">
        <x:v>кофе</x:v>
      </x:c>
      <x:c r="E202" s="28" t="str">
        <x:v>roasted Arabica coffee bean</x:v>
      </x:c>
      <x:c r="F202" s="28" t="str">
        <x:v>Кофе</x:v>
      </x:c>
      <x:c r="G202" s="28" t="str">
        <x:v>apple and apple sauce</x:v>
      </x:c>
      <x:c r="H202" s="28" t="str">
        <x:v>apple and apple sauce</x:v>
      </x:c>
      <x:c r="I202" s="28" t="str">
        <x:v>Фрукты и ягоды</x:v>
      </x:c>
      <x:c r="J202" s="28" t="str">
        <x:v>жареный, ореховый, карамельный, цветочный, фруктовый, фенольный и древесный</x:v>
      </x:c>
      <x:c r="K202" s="28" t="str">
        <x:v>фруктовый, цветочный и свежий</x:v>
      </x:c>
      <x:c r="L202" s="28" t="str">
        <x:v>пиразины, фураны, гваякол, 2-фурфурилтиол, диацетил</x:v>
      </x:c>
      <x:c r="M202" s="28" t="str">
        <x:v>альдегиды, эфиры</x:v>
      </x:c>
      <x:c r="N202" s="28" t="str">
        <x:v>цветочный</x:v>
      </x:c>
      <x:c r="O202" s="28" t="str">
        <x:v>надежная общая ключевая молекула не подтверждена</x:v>
      </x:c>
      <x:c r="P202" s="28" t="str">
        <x:v>пересечение ароматических семейств, контраст кислоты и жирной/горькой матрицы</x:v>
      </x:c>
      <x:c r="Q202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02" s="28" t="str">
        <x:v>сухость и горечь; кофеин не имеет сильного запаха, но влияет на вкус и физиологию</x:v>
      </x:c>
      <x:c r="S202" s="28" t="str">
        <x:v>водный напиток с растворёнными кислотами, меланоидинами и маслами; в зерне — пористая обжаренная матрица Водная фруктовая фаза требует эмульсии или мелкого измельчения, если орех или шоколад вводится как паста.</x:v>
      </x:c>
      <x:c r="T20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02" s="28" t="str">
        <x:v>Кофе имеет профиль «жареный, ореховый, карамельный, цветочный, фруктовый, фенольный и древесный». Партнёр «apple and apple sauce»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V20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W202" s="28" t="str">
        <x:v>ваниль, цитрус или молочный жир</x:v>
      </x:c>
      <x:c r="X202" s="28" t="str">
        <x:v>кофейный напиток, холодный кофе, крем, сироп, десерт или соус с apple and apple sauce</x:v>
      </x:c>
      <x:c r="Y202" s="28" t="str">
        <x:v>напитки, десерты</x:v>
      </x:c>
      <x:c r="Z202" s="28" t="str">
        <x:v>Средняя</x:v>
      </x:c>
      <x:c r="AA202" s="28" t="str">
        <x:v>The Art &amp; Science of Foodpairing.pdf</x:v>
      </x:c>
      <x:c r="AB202" s="28" t="str">
        <x:v>The Art &amp; Science of Foodpairing.pdf: 47</x:v>
      </x:c>
      <x:c r="AC202" s="28" t="str">
        <x:v>Пара встречается как grid; научное объяснение сформировано по ароматическому профилю и пищевой матрице.</x:v>
      </x:c>
      <x:c r="AD202" s="28" t="n">
        <x:v>1</x:v>
      </x:c>
      <x:c r="AE202" s="28" t="n">
        <x:v>1</x:v>
      </x:c>
      <x:c r="AF202" s="28" t="n">
        <x:f>IF(Z202="Высокая",3,IF(Z202="Средняя",2,1))+AD202*2+MIN(AE202,3)</x:f>
        <x:v>5</x:v>
      </x:c>
    </x:row>
    <x:row r="203" ht="62" customHeight="1">
      <x:c r="A203" s="28" t="str">
        <x:v>NCT-0202</x:v>
      </x:c>
      <x:c r="B203" s="28" t="str">
        <x:v>кофе</x:v>
      </x:c>
      <x:c r="C203" s="28" t="str">
        <x:v>Еда и соусы</x:v>
      </x:c>
      <x:c r="D203" s="28" t="str">
        <x:v>кофе</x:v>
      </x:c>
      <x:c r="E203" s="28" t="str">
        <x:v>coffee</x:v>
      </x:c>
      <x:c r="F203" s="28" t="str">
        <x:v>Кофе</x:v>
      </x:c>
      <x:c r="G203" s="28" t="str">
        <x:v>bayonne ham</x:v>
      </x:c>
      <x:c r="H203" s="28" t="str">
        <x:v>Bayonne ham</x:v>
      </x:c>
      <x:c r="I203" s="28" t="str">
        <x:v>Мясо и птица</x:v>
      </x:c>
      <x:c r="J203" s="28" t="str">
        <x:v>жареный, ореховый, карамельный, цветочный, фруктовый, фенольный и древесный</x:v>
      </x:c>
      <x:c r="K203" s="28" t="str">
        <x:v>жареный, мясной и умами</x:v>
      </x:c>
      <x:c r="L203" s="28" t="str">
        <x:v>пиразины, фураны, гваякол, 2-фурфурилтиол, диацетил</x:v>
      </x:c>
      <x:c r="M203" s="28" t="str">
        <x:v>пиразины, сернистые соединения</x:v>
      </x:c>
      <x:c r="N203" s="28" t="str">
        <x:v>жареный</x:v>
      </x:c>
      <x:c r="O203" s="28" t="str">
        <x:v>пиразины</x:v>
      </x:c>
      <x:c r="P203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203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03" s="28" t="str">
        <x:v>сухость и горечь; кофеин не имеет сильного запаха, но влияет на вкус и физиологию</x:v>
      </x:c>
      <x:c r="S203" s="28" t="str">
        <x:v>водный напиток с растворёнными кислотами, меланоидинами и маслами; в зерне — пористая обжаренная матрица</x:v>
      </x:c>
      <x:c r="T20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03" s="28" t="str">
        <x:v>Кофе имеет профиль «жареный, ореховый, карамельный, цветочный, фруктовый, фенольный и древесный». Партнёр «bayonne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V20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03" s="28" t="str">
        <x:v>соль, соевый соус, коричневое масло или специя</x:v>
      </x:c>
      <x:c r="X203" s="28" t="str">
        <x:v>кофейный напиток, холодный кофе, крем, сироп, десерт или соус с bayonne ham</x:v>
      </x:c>
      <x:c r="Y203" s="28" t="str">
        <x:v>напитки, еда, соусы/маринады</x:v>
      </x:c>
      <x:c r="Z203" s="28" t="str">
        <x:v>Средняя</x:v>
      </x:c>
      <x:c r="AA203" s="28" t="str">
        <x:v>The Art &amp; Science of Foodpairing.pdf</x:v>
      </x:c>
      <x:c r="AB203" s="28" t="str">
        <x:v>The Art &amp; Science of Foodpairing.pdf: 297</x:v>
      </x:c>
      <x:c r="AC203" s="28" t="str">
        <x:v>Пара встречается как grid; научное объяснение сформировано по ароматическому профилю и пищевой матрице.</x:v>
      </x:c>
      <x:c r="AD203" s="28" t="n">
        <x:v>1</x:v>
      </x:c>
      <x:c r="AE203" s="28" t="n">
        <x:v>1</x:v>
      </x:c>
      <x:c r="AF203" s="28" t="n">
        <x:f>IF(Z203="Высокая",3,IF(Z203="Средняя",2,1))+AD203*2+MIN(AE203,3)</x:f>
        <x:v>5</x:v>
      </x:c>
    </x:row>
    <x:row r="204" ht="62" customHeight="1">
      <x:c r="A204" s="28" t="str">
        <x:v>NCT-0203</x:v>
      </x:c>
      <x:c r="B204" s="28" t="str">
        <x:v>кофе</x:v>
      </x:c>
      <x:c r="C204" s="28" t="str">
        <x:v>Еда и соусы</x:v>
      </x:c>
      <x:c r="D204" s="28" t="str">
        <x:v>кофе</x:v>
      </x:c>
      <x:c r="E204" s="28" t="str">
        <x:v>coffee</x:v>
      </x:c>
      <x:c r="F204" s="28" t="str">
        <x:v>Кофе</x:v>
      </x:c>
      <x:c r="G204" s="28" t="str">
        <x:v>boiled carrot</x:v>
      </x:c>
      <x:c r="H204" s="28" t="str">
        <x:v>boiled carrot</x:v>
      </x:c>
      <x:c r="I204" s="28" t="str">
        <x:v>Овощи, бобовые и грибы</x:v>
      </x:c>
      <x:c r="J204" s="28" t="str">
        <x:v>жареный, ореховый, карамельный, цветочный, фруктовый, фенольный и древесный</x:v>
      </x:c>
      <x:c r="K204" s="28" t="str">
        <x:v>зелёный, землистый или умами</x:v>
      </x:c>
      <x:c r="L204" s="28" t="str">
        <x:v>пиразины, фураны, гваякол, 2-фурфурилтиол, диацетил</x:v>
      </x:c>
      <x:c r="M204" s="28" t="str">
        <x:v>альдегиды, сернистые соединения</x:v>
      </x:c>
      <x:c r="N204" s="28" t="str">
        <x:v>прямое пересечение семейств не является единственным объяснением</x:v>
      </x:c>
      <x:c r="O204" s="28" t="str">
        <x:v>надежная общая ключевая молекула не подтверждена</x:v>
      </x:c>
      <x:c r="P204" s="28" t="str">
        <x:v>сенсорная комплементарность</x:v>
      </x:c>
      <x:c r="Q204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04" s="28" t="str">
        <x:v>сухость и горечь; кофеин не имеет сильного запаха, но влияет на вкус и физиологию</x:v>
      </x:c>
      <x:c r="S204" s="28" t="str">
        <x:v>водный напиток с растворёнными кислотами, меланоидинами и маслами; в зерне — пористая обжаренная матрица</x:v>
      </x:c>
      <x:c r="T20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04" s="28" t="str">
        <x:v>Кофе имеет профиль «жареный, ореховый, карамельный, цветочный, фруктовый, фенольный и древесный». Партнёр «boiled carrot»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0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04" s="28" t="str">
        <x:v>соль, ваниль или карамель</x:v>
      </x:c>
      <x:c r="X204" s="28" t="str">
        <x:v>кофейный напиток, холодный кофе, крем, сироп, десерт или соус с boiled carrot</x:v>
      </x:c>
      <x:c r="Y204" s="28" t="str">
        <x:v>напитки, еда, соусы/маринады</x:v>
      </x:c>
      <x:c r="Z204" s="28" t="str">
        <x:v>Средняя</x:v>
      </x:c>
      <x:c r="AA204" s="28" t="str">
        <x:v>The Art &amp; Science of Foodpairing.pdf</x:v>
      </x:c>
      <x:c r="AB204" s="28" t="str">
        <x:v>The Art &amp; Science of Foodpairing.pdf: 297</x:v>
      </x:c>
      <x:c r="AC204" s="28" t="str">
        <x:v>Пара встречается как grid; научное объяснение сформировано по ароматическому профилю и пищевой матрице.</x:v>
      </x:c>
      <x:c r="AD204" s="28" t="n">
        <x:v>1</x:v>
      </x:c>
      <x:c r="AE204" s="28" t="n">
        <x:v>1</x:v>
      </x:c>
      <x:c r="AF204" s="28" t="n">
        <x:f>IF(Z204="Высокая",3,IF(Z204="Средняя",2,1))+AD204*2+MIN(AE204,3)</x:f>
        <x:v>5</x:v>
      </x:c>
    </x:row>
    <x:row r="205" ht="62" customHeight="1">
      <x:c r="A205" s="28" t="str">
        <x:v>NCT-0204</x:v>
      </x:c>
      <x:c r="B205" s="28" t="str">
        <x:v>кофе</x:v>
      </x:c>
      <x:c r="C205" s="28" t="str">
        <x:v>Универсальные</x:v>
      </x:c>
      <x:c r="D205" s="28" t="str">
        <x:v>кофе</x:v>
      </x:c>
      <x:c r="E205" s="28" t="str">
        <x:v>coffee</x:v>
      </x:c>
      <x:c r="F205" s="28" t="str">
        <x:v>Кофе</x:v>
      </x:c>
      <x:c r="G205" s="28" t="str">
        <x:v>boiled tomatillo</x:v>
      </x:c>
      <x:c r="H205" s="28" t="str">
        <x:v>boiled tomatillo</x:v>
      </x:c>
      <x:c r="I205" s="28" t="str">
        <x:v>Масла и жиры</x:v>
      </x:c>
      <x:c r="J205" s="28" t="str">
        <x:v>жареный, ореховый, карамельный, цветочный, фруктовый, фенольный и древесный</x:v>
      </x:c>
      <x:c r="K205" s="28" t="str">
        <x:v>жирный и мягкий</x:v>
      </x:c>
      <x:c r="L205" s="28" t="str">
        <x:v>пиразины, фураны, гваякол, 2-фурфурилтиол, диацетил</x:v>
      </x:c>
      <x:c r="M205" s="28" t="str">
        <x:v>альдегиды, лактоны</x:v>
      </x:c>
      <x:c r="N205" s="28" t="str">
        <x:v>прямое пересечение семейств не является единственным объяснением</x:v>
      </x:c>
      <x:c r="O205" s="28" t="str">
        <x:v>надежная общая ключевая молекула не подтверждена</x:v>
      </x:c>
      <x:c r="P205" s="28" t="str">
        <x:v>сенсорная комплементарность</x:v>
      </x:c>
      <x:c r="Q205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05" s="28" t="str">
        <x:v>сухость и горечь; кофеин не имеет сильного запаха, но влияет на вкус и физиологию</x:v>
      </x:c>
      <x:c r="S205" s="28" t="str">
        <x:v>водный напиток с растворёнными кислотами, меланоидинами и маслами; в зерне — пористая обжаренная матрица</x:v>
      </x:c>
      <x:c r="T20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05" s="28" t="str">
        <x:v>Кофе имеет профиль «жареный, ореховый, карамельный, цветочный, фруктовый, фенольный и древесный». Партнёр «boiled tomatillo» относится к группе «Масла и жиры» и даёт жирный и мягкий.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0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05" s="28" t="str">
        <x:v>соль, ваниль или карамель</x:v>
      </x:c>
      <x:c r="X205" s="28" t="str">
        <x:v>кофейный напиток, холодный кофе, крем, сироп, десерт или соус с boiled tomatillo</x:v>
      </x:c>
      <x:c r="Y205" s="28" t="str">
        <x:v>напитки</x:v>
      </x:c>
      <x:c r="Z205" s="28" t="str">
        <x:v>Средняя</x:v>
      </x:c>
      <x:c r="AA205" s="28" t="str">
        <x:v>The Art &amp; Science of Foodpairing.pdf</x:v>
      </x:c>
      <x:c r="AB205" s="28" t="str">
        <x:v>The Art &amp; Science of Foodpairing.pdf: 297</x:v>
      </x:c>
      <x:c r="AC205" s="28" t="str">
        <x:v>Пара встречается как grid; научное объяснение сформировано по ароматическому профилю и пищевой матрице.</x:v>
      </x:c>
      <x:c r="AD205" s="28" t="n">
        <x:v>1</x:v>
      </x:c>
      <x:c r="AE205" s="28" t="n">
        <x:v>1</x:v>
      </x:c>
      <x:c r="AF205" s="28" t="n">
        <x:f>IF(Z205="Высокая",3,IF(Z205="Средняя",2,1))+AD205*2+MIN(AE205,3)</x:f>
        <x:v>5</x:v>
      </x:c>
    </x:row>
    <x:row r="206" ht="62" customHeight="1">
      <x:c r="A206" s="28" t="str">
        <x:v>NCT-0205</x:v>
      </x:c>
      <x:c r="B206" s="28" t="str">
        <x:v>кофе</x:v>
      </x:c>
      <x:c r="C206" s="28" t="str">
        <x:v>Десерты и выпечка</x:v>
      </x:c>
      <x:c r="D206" s="28" t="str">
        <x:v>кофе</x:v>
      </x:c>
      <x:c r="E206" s="28" t="str">
        <x:v>coffee</x:v>
      </x:c>
      <x:c r="F206" s="28" t="str">
        <x:v>Кофе</x:v>
      </x:c>
      <x:c r="G206" s="28" t="str">
        <x:v>buckwheat bread</x:v>
      </x:c>
      <x:c r="H206" s="28" t="str">
        <x:v>buckwheat bread</x:v>
      </x:c>
      <x:c r="I206" s="28" t="str">
        <x:v>Выпечка, сахара и десерты</x:v>
      </x:c>
      <x:c r="J206" s="28" t="str">
        <x:v>жареный, ореховый, карамельный, цветочный, фруктовый, фенольный и древесный</x:v>
      </x:c>
      <x:c r="K206" s="28" t="str">
        <x:v>сладкий, карамельный и жареный</x:v>
      </x:c>
      <x:c r="L206" s="28" t="str">
        <x:v>пиразины, фураны, гваякол, 2-фурфурилтиол, диацетил</x:v>
      </x:c>
      <x:c r="M206" s="28" t="str">
        <x:v>мальтол, пиразины, фураны</x:v>
      </x:c>
      <x:c r="N206" s="28" t="str">
        <x:v>жареный, карамельный</x:v>
      </x:c>
      <x:c r="O206" s="28" t="str">
        <x:v>пиразины, фураны</x:v>
      </x:c>
      <x:c r="P206" s="28" t="str">
        <x:v>общие ароматические соединения, пересечение ароматических семейств, жареная химия и реакции Майяра</x:v>
      </x:c>
      <x:c r="Q206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06" s="28" t="str">
        <x:v>сухость и горечь; кофеин не имеет сильного запаха, но влияет на вкус и физиологию</x:v>
      </x:c>
      <x:c r="S206" s="28" t="str">
        <x:v>водный напиток с растворёнными кислотами, меланоидинами и маслами; в зерне — пористая обжаренная матрица</x:v>
      </x:c>
      <x:c r="T20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06" s="28" t="str">
        <x:v>Кофе имеет профиль «жареный, ореховый, карамельный, цветочный, фруктовый, фенольный и древесный». Партнёр «buckwheat bread»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жареный, карамельный; пиразины, фураны.</x:v>
      </x:c>
      <x:c r="V20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06" s="28" t="str">
        <x:v>соль, ваниль или карамель</x:v>
      </x:c>
      <x:c r="X206" s="28" t="str">
        <x:v>кофейный напиток, холодный кофе, крем, сироп, десерт или соус с buckwheat bread</x:v>
      </x:c>
      <x:c r="Y206" s="28" t="str">
        <x:v>напитки, десерты</x:v>
      </x:c>
      <x:c r="Z206" s="28" t="str">
        <x:v>Средняя</x:v>
      </x:c>
      <x:c r="AA206" s="28" t="str">
        <x:v>The Art &amp; Science of Foodpairing.pdf</x:v>
      </x:c>
      <x:c r="AB206" s="28" t="str">
        <x:v>The Art &amp; Science of Foodpairing.pdf: 297</x:v>
      </x:c>
      <x:c r="AC206" s="28" t="str">
        <x:v>Пара встречается как grid; научное объяснение сформировано по ароматическому профилю и пищевой матрице.</x:v>
      </x:c>
      <x:c r="AD206" s="28" t="n">
        <x:v>1</x:v>
      </x:c>
      <x:c r="AE206" s="28" t="n">
        <x:v>1</x:v>
      </x:c>
      <x:c r="AF206" s="28" t="n">
        <x:f>IF(Z206="Высокая",3,IF(Z206="Средняя",2,1))+AD206*2+MIN(AE206,3)</x:f>
        <x:v>5</x:v>
      </x:c>
    </x:row>
    <x:row r="207" ht="62" customHeight="1">
      <x:c r="A207" s="28" t="str">
        <x:v>NCT-0206</x:v>
      </x:c>
      <x:c r="B207" s="28" t="str">
        <x:v>кофе</x:v>
      </x:c>
      <x:c r="C207" s="28" t="str">
        <x:v>Универсальные</x:v>
      </x:c>
      <x:c r="D207" s="28" t="str">
        <x:v>кофе</x:v>
      </x:c>
      <x:c r="E207" s="28" t="str">
        <x:v>coffee</x:v>
      </x:c>
      <x:c r="F207" s="28" t="str">
        <x:v>Кофе</x:v>
      </x:c>
      <x:c r="G207" s="28" t="str">
        <x:v>buffalo mozzarella</x:v>
      </x:c>
      <x:c r="H207" s="28" t="str">
        <x:v>buffalo mozzarella</x:v>
      </x:c>
      <x:c r="I207" s="28" t="str">
        <x:v>Молочные продукты и сыры</x:v>
      </x:c>
      <x:c r="J207" s="28" t="str">
        <x:v>жареный, ореховый, карамельный, цветочный, фруктовый, фенольный и древесный</x:v>
      </x:c>
      <x:c r="K207" s="28" t="str">
        <x:v>молочный, сливочный и ферментированный</x:v>
      </x:c>
      <x:c r="L207" s="28" t="str">
        <x:v>пиразины, фураны, гваякол, 2-фурфурилтиол, диацетил</x:v>
      </x:c>
      <x:c r="M207" s="28" t="str">
        <x:v>диацетил, жирные кислоты, лактоны</x:v>
      </x:c>
      <x:c r="N207" s="28" t="str">
        <x:v>прямое пересечение семейств не является единственным объяснением</x:v>
      </x:c>
      <x:c r="O207" s="28" t="str">
        <x:v>диацетил</x:v>
      </x:c>
      <x:c r="P207" s="28" t="str">
        <x:v>общие ароматические соединения, жировая экстракция и связывание полифенолов белком</x:v>
      </x:c>
      <x:c r="Q207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07" s="28" t="str">
        <x:v>сухость и горечь; кофеин не имеет сильного запаха, но влияет на вкус и физиологию</x:v>
      </x:c>
      <x:c r="S207" s="28" t="str">
        <x:v>водный напиток с растворёнными кислотами, меланоидинами и маслами; в зерне — пористая обжаренная матрица Совпадающие жирные фазы облегчают перенос аромата, но могут сделать продукт тяжёлым.</x:v>
      </x:c>
      <x:c r="T20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07" s="28" t="str">
        <x:v>Кофе имеет профиль «жареный, ореховый, карамельный, цветочный, фруктовый, фенольный и древесный». Партнёр «buffalo mozzarella»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V20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W207" s="28" t="str">
        <x:v>мёд, карамель или фруктовая кислота</x:v>
      </x:c>
      <x:c r="X207" s="28" t="str">
        <x:v>кофейный напиток, холодный кофе, крем, сироп, десерт или соус с buffalo mozzarella</x:v>
      </x:c>
      <x:c r="Y207" s="28" t="str">
        <x:v>напитки, десерты</x:v>
      </x:c>
      <x:c r="Z207" s="28" t="str">
        <x:v>Средняя</x:v>
      </x:c>
      <x:c r="AA207" s="28" t="str">
        <x:v>The Art &amp; Science of Foodpairing.pdf</x:v>
      </x:c>
      <x:c r="AB207" s="28" t="str">
        <x:v>The Art &amp; Science of Foodpairing.pdf: 297</x:v>
      </x:c>
      <x:c r="AC207" s="28" t="str">
        <x:v>Пара встречается как grid; научное объяснение сформировано по ароматическому профилю и пищевой матрице.</x:v>
      </x:c>
      <x:c r="AD207" s="28" t="n">
        <x:v>1</x:v>
      </x:c>
      <x:c r="AE207" s="28" t="n">
        <x:v>1</x:v>
      </x:c>
      <x:c r="AF207" s="28" t="n">
        <x:f>IF(Z207="Высокая",3,IF(Z207="Средняя",2,1))+AD207*2+MIN(AE207,3)</x:f>
        <x:v>5</x:v>
      </x:c>
    </x:row>
    <x:row r="208" ht="62" customHeight="1">
      <x:c r="A208" s="28" t="str">
        <x:v>NCT-0207</x:v>
      </x:c>
      <x:c r="B208" s="28" t="str">
        <x:v>кофе</x:v>
      </x:c>
      <x:c r="C208" s="28" t="str">
        <x:v>Универсальные</x:v>
      </x:c>
      <x:c r="D208" s="28" t="str">
        <x:v>кофе</x:v>
      </x:c>
      <x:c r="E208" s="28" t="str">
        <x:v>coffee</x:v>
      </x:c>
      <x:c r="F208" s="28" t="str">
        <x:v>Кофе</x:v>
      </x:c>
      <x:c r="G208" s="28" t="str">
        <x:v>camembert</x:v>
      </x:c>
      <x:c r="H208" s="28" t="str">
        <x:v>Camembert</x:v>
      </x:c>
      <x:c r="I208" s="28" t="str">
        <x:v>Молочные продукты и сыры</x:v>
      </x:c>
      <x:c r="J208" s="28" t="str">
        <x:v>жареный, ореховый, карамельный, цветочный, фруктовый, фенольный и древесный</x:v>
      </x:c>
      <x:c r="K208" s="28" t="str">
        <x:v>молочный, сливочный и ферментированный</x:v>
      </x:c>
      <x:c r="L208" s="28" t="str">
        <x:v>пиразины, фураны, гваякол, 2-фурфурилтиол, диацетил</x:v>
      </x:c>
      <x:c r="M208" s="28" t="str">
        <x:v>диацетил, жирные кислоты, лактоны</x:v>
      </x:c>
      <x:c r="N208" s="28" t="str">
        <x:v>прямое пересечение семейств не является единственным объяснением</x:v>
      </x:c>
      <x:c r="O208" s="28" t="str">
        <x:v>диацетил</x:v>
      </x:c>
      <x:c r="P208" s="28" t="str">
        <x:v>общие ароматические соединения, жировая экстракция и связывание полифенолов белком</x:v>
      </x:c>
      <x:c r="Q208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08" s="28" t="str">
        <x:v>сухость и горечь; кофеин не имеет сильного запаха, но влияет на вкус и физиологию</x:v>
      </x:c>
      <x:c r="S208" s="28" t="str">
        <x:v>водный напиток с растворёнными кислотами, меланоидинами и маслами; в зерне — пористая обжаренная матрица Совпадающие жирные фазы облегчают перенос аромата, но могут сделать продукт тяжёлым.</x:v>
      </x:c>
      <x:c r="T20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08" s="28" t="str">
        <x:v>Кофе имеет профиль «жареный, ореховый, карамельный, цветочный, фруктовый, фенольный и древесный». Партнёр «camembert»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V20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W208" s="28" t="str">
        <x:v>мёд, карамель или фруктовая кислота</x:v>
      </x:c>
      <x:c r="X208" s="28" t="str">
        <x:v>кофейный напиток, холодный кофе, крем, сироп, десерт или соус с camembert</x:v>
      </x:c>
      <x:c r="Y208" s="28" t="str">
        <x:v>напитки, десерты</x:v>
      </x:c>
      <x:c r="Z208" s="28" t="str">
        <x:v>Средняя</x:v>
      </x:c>
      <x:c r="AA208" s="28" t="str">
        <x:v>The Art &amp; Science of Foodpairing.pdf</x:v>
      </x:c>
      <x:c r="AB208" s="28" t="str">
        <x:v>The Art &amp; Science of Foodpairing.pdf: 297</x:v>
      </x:c>
      <x:c r="AC208" s="28" t="str">
        <x:v>Пара встречается как grid; научное объяснение сформировано по ароматическому профилю и пищевой матрице.</x:v>
      </x:c>
      <x:c r="AD208" s="28" t="n">
        <x:v>1</x:v>
      </x:c>
      <x:c r="AE208" s="28" t="n">
        <x:v>1</x:v>
      </x:c>
      <x:c r="AF208" s="28" t="n">
        <x:f>IF(Z208="Высокая",3,IF(Z208="Средняя",2,1))+AD208*2+MIN(AE208,3)</x:f>
        <x:v>5</x:v>
      </x:c>
    </x:row>
    <x:row r="209" ht="62" customHeight="1">
      <x:c r="A209" s="28" t="str">
        <x:v>NCT-0208</x:v>
      </x:c>
      <x:c r="B209" s="28" t="str">
        <x:v>кофе</x:v>
      </x:c>
      <x:c r="C209" s="28" t="str">
        <x:v>Универсальные</x:v>
      </x:c>
      <x:c r="D209" s="28" t="str">
        <x:v>кофе</x:v>
      </x:c>
      <x:c r="E209" s="28" t="str">
        <x:v>coffee</x:v>
      </x:c>
      <x:c r="F209" s="28" t="str">
        <x:v>Кофе</x:v>
      </x:c>
      <x:c r="G209" s="28" t="str">
        <x:v>cottage cheese</x:v>
      </x:c>
      <x:c r="H209" s="28" t="str">
        <x:v>cottage cheese</x:v>
      </x:c>
      <x:c r="I209" s="28" t="str">
        <x:v>Молочные продукты и сыры</x:v>
      </x:c>
      <x:c r="J209" s="28" t="str">
        <x:v>жареный, ореховый, карамельный, цветочный, фруктовый, фенольный и древесный</x:v>
      </x:c>
      <x:c r="K209" s="28" t="str">
        <x:v>молочный, сливочный и ферментированный</x:v>
      </x:c>
      <x:c r="L209" s="28" t="str">
        <x:v>пиразины, фураны, гваякол, 2-фурфурилтиол, диацетил</x:v>
      </x:c>
      <x:c r="M209" s="28" t="str">
        <x:v>диацетил, жирные кислоты, лактоны</x:v>
      </x:c>
      <x:c r="N209" s="28" t="str">
        <x:v>прямое пересечение семейств не является единственным объяснением</x:v>
      </x:c>
      <x:c r="O209" s="28" t="str">
        <x:v>диацетил</x:v>
      </x:c>
      <x:c r="P209" s="28" t="str">
        <x:v>общие ароматические соединения, жировая экстракция и связывание полифенолов белком</x:v>
      </x:c>
      <x:c r="Q209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09" s="28" t="str">
        <x:v>сухость и горечь; кофеин не имеет сильного запаха, но влияет на вкус и физиологию</x:v>
      </x:c>
      <x:c r="S209" s="28" t="str">
        <x:v>водный напиток с растворёнными кислотами, меланоидинами и маслами; в зерне — пористая обжаренная матрица Совпадающие жирные фазы облегчают перенос аромата, но могут сделать продукт тяжёлым.</x:v>
      </x:c>
      <x:c r="T20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09" s="28" t="str">
        <x:v>Кофе имеет профиль «жареный, ореховый, карамельный, цветочный, фруктовый, фенольный и древесный». Партнёр «cottage cheese»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V20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W209" s="28" t="str">
        <x:v>мёд, карамель или фруктовая кислота</x:v>
      </x:c>
      <x:c r="X209" s="28" t="str">
        <x:v>кофейный напиток, холодный кофе, крем, сироп, десерт или соус с cottage cheese</x:v>
      </x:c>
      <x:c r="Y209" s="28" t="str">
        <x:v>напитки, десерты</x:v>
      </x:c>
      <x:c r="Z209" s="28" t="str">
        <x:v>Средняя</x:v>
      </x:c>
      <x:c r="AA209" s="28" t="str">
        <x:v>The Art &amp; Science of Foodpairing.pdf</x:v>
      </x:c>
      <x:c r="AB209" s="28" t="str">
        <x:v>The Art &amp; Science of Foodpairing.pdf: 297</x:v>
      </x:c>
      <x:c r="AC209" s="28" t="str">
        <x:v>Пара встречается как grid; научное объяснение сформировано по ароматическому профилю и пищевой матрице.</x:v>
      </x:c>
      <x:c r="AD209" s="28" t="n">
        <x:v>1</x:v>
      </x:c>
      <x:c r="AE209" s="28" t="n">
        <x:v>1</x:v>
      </x:c>
      <x:c r="AF209" s="28" t="n">
        <x:f>IF(Z209="Высокая",3,IF(Z209="Средняя",2,1))+AD209*2+MIN(AE209,3)</x:f>
        <x:v>5</x:v>
      </x:c>
    </x:row>
    <x:row r="210" ht="62" customHeight="1">
      <x:c r="A210" s="28" t="str">
        <x:v>NCT-0209</x:v>
      </x:c>
      <x:c r="B210" s="28" t="str">
        <x:v>кофе</x:v>
      </x:c>
      <x:c r="C210" s="28" t="str">
        <x:v>Еда и соусы</x:v>
      </x:c>
      <x:c r="D210" s="28" t="str">
        <x:v>кофе</x:v>
      </x:c>
      <x:c r="E210" s="28" t="str">
        <x:v>coffee</x:v>
      </x:c>
      <x:c r="F210" s="28" t="str">
        <x:v>Кофе</x:v>
      </x:c>
      <x:c r="G210" s="28" t="str">
        <x:v>douchi</x:v>
      </x:c>
      <x:c r="H210" s="28" t="str">
        <x:v>douchi</x:v>
      </x:c>
      <x:c r="I210" s="28" t="str">
        <x:v>Ферментированные продукты и соусы</x:v>
      </x:c>
      <x:c r="J210" s="28" t="str">
        <x:v>жареный, ореховый, карамельный, цветочный, фруктовый, фенольный и древесный</x:v>
      </x:c>
      <x:c r="K210" s="28" t="str">
        <x:v>ферментированный, умами и сложный</x:v>
      </x:c>
      <x:c r="L210" s="28" t="str">
        <x:v>пиразины, фураны, гваякол, 2-фурфурилтиол, диацетил</x:v>
      </x:c>
      <x:c r="M210" s="28" t="str">
        <x:v>пиразины, фураны, эфиры</x:v>
      </x:c>
      <x:c r="N210" s="28" t="str">
        <x:v>жареный</x:v>
      </x:c>
      <x:c r="O210" s="28" t="str">
        <x:v>пиразины, фураны</x:v>
      </x:c>
      <x:c r="P210" s="28" t="str">
        <x:v>общие ароматические соединения, пересечение ароматических семейств, солёно-умами контраст</x:v>
      </x:c>
      <x:c r="Q210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10" s="28" t="str">
        <x:v>сухость и горечь; кофеин не имеет сильного запаха, но влияет на вкус и физиологию</x:v>
      </x:c>
      <x:c r="S210" s="28" t="str">
        <x:v>водный напиток с растворёнными кислотами, меланоидинами и маслами; в зерне — пористая обжаренная матрица</x:v>
      </x:c>
      <x:c r="T21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10" s="28" t="str">
        <x:v>Кофе имеет профиль «жареный, ореховый, карамельный, цветочный, фруктовый, фенольный и древесный». Партнёр «douchi»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пиразины, фураны.</x:v>
      </x:c>
      <x:c r="V21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10" s="28" t="str">
        <x:v>карамелизированный лук, грибы или сливочное масло</x:v>
      </x:c>
      <x:c r="X210" s="28" t="str">
        <x:v>кофейный напиток, холодный кофе, крем, сироп, десерт или соус с douchi</x:v>
      </x:c>
      <x:c r="Y210" s="28" t="str">
        <x:v>напитки, еда, соусы/маринады</x:v>
      </x:c>
      <x:c r="Z210" s="28" t="str">
        <x:v>Средняя</x:v>
      </x:c>
      <x:c r="AA210" s="28" t="str">
        <x:v>The Art &amp; Science of Foodpairing.pdf</x:v>
      </x:c>
      <x:c r="AB210" s="28" t="str">
        <x:v>The Art &amp; Science of Foodpairing.pdf: 297</x:v>
      </x:c>
      <x:c r="AC210" s="28" t="str">
        <x:v>Пара встречается как grid; научное объяснение сформировано по ароматическому профилю и пищевой матрице.</x:v>
      </x:c>
      <x:c r="AD210" s="28" t="n">
        <x:v>1</x:v>
      </x:c>
      <x:c r="AE210" s="28" t="n">
        <x:v>1</x:v>
      </x:c>
      <x:c r="AF210" s="28" t="n">
        <x:f>IF(Z210="Высокая",3,IF(Z210="Средняя",2,1))+AD210*2+MIN(AE210,3)</x:f>
        <x:v>5</x:v>
      </x:c>
    </x:row>
    <x:row r="211" ht="62" customHeight="1">
      <x:c r="A211" s="28" t="str">
        <x:v>NCT-0210</x:v>
      </x:c>
      <x:c r="B211" s="28" t="str">
        <x:v>кофе</x:v>
      </x:c>
      <x:c r="C211" s="28" t="str">
        <x:v>Универсальные</x:v>
      </x:c>
      <x:c r="D211" s="28" t="str">
        <x:v>кофе</x:v>
      </x:c>
      <x:c r="E211" s="28" t="str">
        <x:v>coffee</x:v>
      </x:c>
      <x:c r="F211" s="28" t="str">
        <x:v>Кофе</x:v>
      </x:c>
      <x:c r="G211" s="28" t="str">
        <x:v>flat-leaf parsley</x:v>
      </x:c>
      <x:c r="H211" s="28" t="str">
        <x:v>flat-leaf parsley</x:v>
      </x:c>
      <x:c r="I211" s="28" t="str">
        <x:v>Травы, цветы и листья</x:v>
      </x:c>
      <x:c r="J211" s="28" t="str">
        <x:v>жареный, ореховый, карамельный, цветочный, фруктовый, фенольный и древесный</x:v>
      </x:c>
      <x:c r="K211" s="28" t="str">
        <x:v>зелёный, цветочный и терпеновый</x:v>
      </x:c>
      <x:c r="L211" s="28" t="str">
        <x:v>пиразины, фураны, гваякол, 2-фурфурилтиол, диацетил</x:v>
      </x:c>
      <x:c r="M211" s="28" t="str">
        <x:v>линалоол, терпены</x:v>
      </x:c>
      <x:c r="N211" s="28" t="str">
        <x:v>цветочный</x:v>
      </x:c>
      <x:c r="O211" s="28" t="str">
        <x:v>надежная общая ключевая молекула не подтверждена</x:v>
      </x:c>
      <x:c r="P211" s="28" t="str">
        <x:v>пересечение ароматических семейств</x:v>
      </x:c>
      <x:c r="Q211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11" s="28" t="str">
        <x:v>сухость и горечь; кофеин не имеет сильного запаха, но влияет на вкус и физиологию</x:v>
      </x:c>
      <x:c r="S211" s="28" t="str">
        <x:v>водный напиток с растворёнными кислотами, меланоидинами и маслами; в зерне — пористая обжаренная матрица</x:v>
      </x:c>
      <x:c r="T21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11" s="28" t="str">
        <x:v>Кофе имеет профиль «жареный, ореховый, карамельный, цветочный, фруктовый, фенольный и древесный». Партнёр «flat-leaf parsley» относится к группе «Травы, цветы и листья» и даёт зелёный, цветочный и терпеновый. Профили пересекаются в семействах: цветочный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V21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11" s="28" t="str">
        <x:v>цитрус, мёд или сливки</x:v>
      </x:c>
      <x:c r="X211" s="28" t="str">
        <x:v>кофейный напиток, холодный кофе, крем, сироп, десерт или соус с flat-leaf parsley</x:v>
      </x:c>
      <x:c r="Y211" s="28" t="str">
        <x:v>напитки</x:v>
      </x:c>
      <x:c r="Z211" s="28" t="str">
        <x:v>Средняя</x:v>
      </x:c>
      <x:c r="AA211" s="28" t="str">
        <x:v>The Art &amp; Science of Foodpairing.pdf</x:v>
      </x:c>
      <x:c r="AB211" s="28" t="str">
        <x:v>The Art &amp; Science of Foodpairing.pdf: 297</x:v>
      </x:c>
      <x:c r="AC211" s="28" t="str">
        <x:v>Пара встречается как grid; научное объяснение сформировано по ароматическому профилю и пищевой матрице.</x:v>
      </x:c>
      <x:c r="AD211" s="28" t="n">
        <x:v>1</x:v>
      </x:c>
      <x:c r="AE211" s="28" t="n">
        <x:v>1</x:v>
      </x:c>
      <x:c r="AF211" s="28" t="n">
        <x:f>IF(Z211="Высокая",3,IF(Z211="Средняя",2,1))+AD211*2+MIN(AE211,3)</x:f>
        <x:v>5</x:v>
      </x:c>
    </x:row>
    <x:row r="212" ht="62" customHeight="1">
      <x:c r="A212" s="28" t="str">
        <x:v>NCT-0211</x:v>
      </x:c>
      <x:c r="B212" s="28" t="str">
        <x:v>кофе</x:v>
      </x:c>
      <x:c r="C212" s="28" t="str">
        <x:v>Универсальные</x:v>
      </x:c>
      <x:c r="D212" s="28" t="str">
        <x:v>кофе</x:v>
      </x:c>
      <x:c r="E212" s="28" t="str">
        <x:v>coffee</x:v>
      </x:c>
      <x:c r="F212" s="28" t="str">
        <x:v>Кофе</x:v>
      </x:c>
      <x:c r="G212" s="28" t="str">
        <x:v>fried chilli paste</x:v>
      </x:c>
      <x:c r="H212" s="28" t="str">
        <x:v>fried chilli paste</x:v>
      </x:c>
      <x:c r="I212" s="28" t="str">
        <x:v>Специи</x:v>
      </x:c>
      <x:c r="J212" s="28" t="str">
        <x:v>жареный, ореховый, карамельный, цветочный, фруктовый, фенольный и древесный</x:v>
      </x:c>
      <x:c r="K212" s="28" t="str">
        <x:v>пряный и древесный</x:v>
      </x:c>
      <x:c r="L212" s="28" t="str">
        <x:v>пиразины, фураны, гваякол, 2-фурфурилтиол, диацетил</x:v>
      </x:c>
      <x:c r="M212" s="28" t="str">
        <x:v>терпены, фенилпропаноиды</x:v>
      </x:c>
      <x:c r="N212" s="28" t="str">
        <x:v>прямое пересечение семейств не является единственным объяснением</x:v>
      </x:c>
      <x:c r="O212" s="28" t="str">
        <x:v>надежная общая ключевая молекула не подтверждена</x:v>
      </x:c>
      <x:c r="P212" s="28" t="str">
        <x:v>сенсорная комплементарность</x:v>
      </x:c>
      <x:c r="Q212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12" s="28" t="str">
        <x:v>сухость и горечь; кофеин не имеет сильного запаха, но влияет на вкус и физиологию</x:v>
      </x:c>
      <x:c r="S212" s="28" t="str">
        <x:v>водный напиток с растворёнными кислотами, меланоидинами и маслами; в зерне — пористая обжаренная матрица</x:v>
      </x:c>
      <x:c r="T21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12" s="28" t="str">
        <x:v>Кофе имеет профиль «жареный, ореховый, карамельный, цветочный, фруктовый, фенольный и древесный». Партнёр «fried chilli paste» относится к группе «Специи» и даёт пряный и древесный.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1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12" s="28" t="str">
        <x:v>ваниль, апельсин или мёд</x:v>
      </x:c>
      <x:c r="X212" s="28" t="str">
        <x:v>кофейный напиток, холодный кофе, крем, сироп, десерт или соус с fried chilli paste</x:v>
      </x:c>
      <x:c r="Y212" s="28" t="str">
        <x:v>напитки</x:v>
      </x:c>
      <x:c r="Z212" s="28" t="str">
        <x:v>Средняя</x:v>
      </x:c>
      <x:c r="AA212" s="28" t="str">
        <x:v>The Art &amp; Science of Foodpairing.pdf</x:v>
      </x:c>
      <x:c r="AB212" s="28" t="str">
        <x:v>The Art &amp; Science of Foodpairing.pdf: 297</x:v>
      </x:c>
      <x:c r="AC212" s="28" t="str">
        <x:v>Пара встречается как grid; научное объяснение сформировано по ароматическому профилю и пищевой матрице.</x:v>
      </x:c>
      <x:c r="AD212" s="28" t="n">
        <x:v>1</x:v>
      </x:c>
      <x:c r="AE212" s="28" t="n">
        <x:v>1</x:v>
      </x:c>
      <x:c r="AF212" s="28" t="n">
        <x:f>IF(Z212="Высокая",3,IF(Z212="Средняя",2,1))+AD212*2+MIN(AE212,3)</x:f>
        <x:v>5</x:v>
      </x:c>
    </x:row>
    <x:row r="213" ht="62" customHeight="1">
      <x:c r="A213" s="28" t="str">
        <x:v>NCT-0212</x:v>
      </x:c>
      <x:c r="B213" s="28" t="str">
        <x:v>кофе</x:v>
      </x:c>
      <x:c r="C213" s="28" t="str">
        <x:v>Еда и соусы</x:v>
      </x:c>
      <x:c r="D213" s="28" t="str">
        <x:v>кофе</x:v>
      </x:c>
      <x:c r="E213" s="28" t="str">
        <x:v>roasted Robusta coffee bean</x:v>
      </x:c>
      <x:c r="F213" s="28" t="str">
        <x:v>Кофе</x:v>
      </x:c>
      <x:c r="G213" s="28" t="str">
        <x:v>garlic</x:v>
      </x:c>
      <x:c r="H213" s="28" t="str">
        <x:v>garlic</x:v>
      </x:c>
      <x:c r="I213" s="28" t="str">
        <x:v>Овощи, бобовые и грибы</x:v>
      </x:c>
      <x:c r="J213" s="28" t="str">
        <x:v>жареный, ореховый, карамельный, цветочный, фруктовый, фенольный и древесный</x:v>
      </x:c>
      <x:c r="K213" s="28" t="str">
        <x:v>зелёный, землистый или умами</x:v>
      </x:c>
      <x:c r="L213" s="28" t="str">
        <x:v>пиразины, фураны, гваякол, 2-фурфурилтиол, диацетил</x:v>
      </x:c>
      <x:c r="M213" s="28" t="str">
        <x:v>альдегиды, сернистые соединения</x:v>
      </x:c>
      <x:c r="N213" s="28" t="str">
        <x:v>прямое пересечение семейств не является единственным объяснением</x:v>
      </x:c>
      <x:c r="O213" s="28" t="str">
        <x:v>надежная общая ключевая молекула не подтверждена</x:v>
      </x:c>
      <x:c r="P213" s="28" t="str">
        <x:v>сенсорная комплементарность</x:v>
      </x:c>
      <x:c r="Q213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13" s="28" t="str">
        <x:v>сухость и горечь; кофеин не имеет сильного запаха, но влияет на вкус и физиологию</x:v>
      </x:c>
      <x:c r="S213" s="28" t="str">
        <x:v>водный напиток с растворёнными кислотами, меланоидинами и маслами; в зерне — пористая обжаренная матрица</x:v>
      </x:c>
      <x:c r="T21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13" s="28" t="str">
        <x:v>Кофе имеет профиль «жареный, ореховый, карамельный, цветочный, фруктовый, фенольный и древесный». Партнёр «garlic»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1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13" s="28" t="str">
        <x:v>соль, ваниль или карамель</x:v>
      </x:c>
      <x:c r="X213" s="28" t="str">
        <x:v>кофейный напиток, холодный кофе, крем, сироп, десерт или соус с garlic</x:v>
      </x:c>
      <x:c r="Y213" s="28" t="str">
        <x:v>напитки, еда, соусы/маринады</x:v>
      </x:c>
      <x:c r="Z213" s="28" t="str">
        <x:v>Средняя</x:v>
      </x:c>
      <x:c r="AA213" s="28" t="str">
        <x:v>The Art &amp; Science of Foodpairing.pdf</x:v>
      </x:c>
      <x:c r="AB213" s="28" t="str">
        <x:v>The Art &amp; Science of Foodpairing.pdf: 113</x:v>
      </x:c>
      <x:c r="AC213" s="28" t="str">
        <x:v>Пара встречается как grid; научное объяснение сформировано по ароматическому профилю и пищевой матрице.</x:v>
      </x:c>
      <x:c r="AD213" s="28" t="n">
        <x:v>1</x:v>
      </x:c>
      <x:c r="AE213" s="28" t="n">
        <x:v>1</x:v>
      </x:c>
      <x:c r="AF213" s="28" t="n">
        <x:f>IF(Z213="Высокая",3,IF(Z213="Средняя",2,1))+AD213*2+MIN(AE213,3)</x:f>
        <x:v>5</x:v>
      </x:c>
    </x:row>
    <x:row r="214" ht="62" customHeight="1">
      <x:c r="A214" s="28" t="str">
        <x:v>NCT-0213</x:v>
      </x:c>
      <x:c r="B214" s="28" t="str">
        <x:v>кофе</x:v>
      </x:c>
      <x:c r="C214" s="28" t="str">
        <x:v>Универсальные</x:v>
      </x:c>
      <x:c r="D214" s="28" t="str">
        <x:v>кофе</x:v>
      </x:c>
      <x:c r="E214" s="28" t="str">
        <x:v>coffee</x:v>
      </x:c>
      <x:c r="F214" s="28" t="str">
        <x:v>Кофе</x:v>
      </x:c>
      <x:c r="G214" s="28" t="str">
        <x:v>gorgonzola</x:v>
      </x:c>
      <x:c r="H214" s="28" t="str">
        <x:v>Gorgonzola</x:v>
      </x:c>
      <x:c r="I214" s="28" t="str">
        <x:v>Молочные продукты и сыры</x:v>
      </x:c>
      <x:c r="J214" s="28" t="str">
        <x:v>жареный, ореховый, карамельный, цветочный, фруктовый, фенольный и древесный</x:v>
      </x:c>
      <x:c r="K214" s="28" t="str">
        <x:v>молочный, сливочный и ферментированный</x:v>
      </x:c>
      <x:c r="L214" s="28" t="str">
        <x:v>пиразины, фураны, гваякол, 2-фурфурилтиол, диацетил</x:v>
      </x:c>
      <x:c r="M214" s="28" t="str">
        <x:v>диацетил, жирные кислоты, лактоны</x:v>
      </x:c>
      <x:c r="N214" s="28" t="str">
        <x:v>прямое пересечение семейств не является единственным объяснением</x:v>
      </x:c>
      <x:c r="O214" s="28" t="str">
        <x:v>диацетил</x:v>
      </x:c>
      <x:c r="P214" s="28" t="str">
        <x:v>общие ароматические соединения, жировая экстракция и связывание полифенолов белком</x:v>
      </x:c>
      <x:c r="Q214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14" s="28" t="str">
        <x:v>сухость и горечь; кофеин не имеет сильного запаха, но влияет на вкус и физиологию</x:v>
      </x:c>
      <x:c r="S214" s="28" t="str">
        <x:v>водный напиток с растворёнными кислотами, меланоидинами и маслами; в зерне — пористая обжаренная матрица Совпадающие жирные фазы облегчают перенос аромата, но могут сделать продукт тяжёлым.</x:v>
      </x:c>
      <x:c r="T21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14" s="28" t="str">
        <x:v>Кофе имеет профиль «жареный, ореховый, карамельный, цветочный, фруктовый, фенольный и древесный». Партнёр «gorgonzola»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V21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W214" s="28" t="str">
        <x:v>мёд, карамель или фруктовая кислота</x:v>
      </x:c>
      <x:c r="X214" s="28" t="str">
        <x:v>кофейный напиток, холодный кофе, крем, сироп, десерт или соус с gorgonzola</x:v>
      </x:c>
      <x:c r="Y214" s="28" t="str">
        <x:v>напитки, десерты</x:v>
      </x:c>
      <x:c r="Z214" s="28" t="str">
        <x:v>Средняя</x:v>
      </x:c>
      <x:c r="AA214" s="28" t="str">
        <x:v>The Art &amp; Science of Foodpairing.pdf</x:v>
      </x:c>
      <x:c r="AB214" s="28" t="str">
        <x:v>The Art &amp; Science of Foodpairing.pdf: 297</x:v>
      </x:c>
      <x:c r="AC214" s="28" t="str">
        <x:v>Пара встречается как grid; научное объяснение сформировано по ароматическому профилю и пищевой матрице.</x:v>
      </x:c>
      <x:c r="AD214" s="28" t="n">
        <x:v>1</x:v>
      </x:c>
      <x:c r="AE214" s="28" t="n">
        <x:v>1</x:v>
      </x:c>
      <x:c r="AF214" s="28" t="n">
        <x:f>IF(Z214="Высокая",3,IF(Z214="Средняя",2,1))+AD214*2+MIN(AE214,3)</x:f>
        <x:v>5</x:v>
      </x:c>
    </x:row>
    <x:row r="215" ht="62" customHeight="1">
      <x:c r="A215" s="28" t="str">
        <x:v>NCT-0214</x:v>
      </x:c>
      <x:c r="B215" s="28" t="str">
        <x:v>кофе</x:v>
      </x:c>
      <x:c r="C215" s="28" t="str">
        <x:v>Еда и соусы</x:v>
      </x:c>
      <x:c r="D215" s="28" t="str">
        <x:v>кофе</x:v>
      </x:c>
      <x:c r="E215" s="28" t="str">
        <x:v>coffee</x:v>
      </x:c>
      <x:c r="F215" s="28" t="str">
        <x:v>Кофе</x:v>
      </x:c>
      <x:c r="G215" s="28" t="str">
        <x:v>grilled turbot</x:v>
      </x:c>
      <x:c r="H215" s="28" t="str">
        <x:v>grilled turbot</x:v>
      </x:c>
      <x:c r="I215" s="28" t="str">
        <x:v>Рыба и морепродукты</x:v>
      </x:c>
      <x:c r="J215" s="28" t="str">
        <x:v>жареный, ореховый, карамельный, цветочный, фруктовый, фенольный и древесный</x:v>
      </x:c>
      <x:c r="K215" s="28" t="str">
        <x:v>морской, солоноватый и умами</x:v>
      </x:c>
      <x:c r="L215" s="28" t="str">
        <x:v>пиразины, фураны, гваякол, 2-фурфурилтиол, диацетил</x:v>
      </x:c>
      <x:c r="M215" s="28" t="str">
        <x:v>альдегиды, амины</x:v>
      </x:c>
      <x:c r="N215" s="28" t="str">
        <x:v>прямое пересечение семейств не является единственным объяснением</x:v>
      </x:c>
      <x:c r="O215" s="28" t="str">
        <x:v>надежная общая ключевая молекула не подтверждена</x:v>
      </x:c>
      <x:c r="P215" s="28" t="str">
        <x:v>солёно-умами контраст</x:v>
      </x:c>
      <x:c r="Q215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15" s="28" t="str">
        <x:v>сухость и горечь; кофеин не имеет сильного запаха, но влияет на вкус и физиологию</x:v>
      </x:c>
      <x:c r="S215" s="28" t="str">
        <x:v>водный напиток с растворёнными кислотами, меланоидинами и маслами; в зерне — пористая обжаренная матрица</x:v>
      </x:c>
      <x:c r="T21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15" s="28" t="str">
        <x:v>Кофе имеет профиль «жареный, ореховый, карамельный, цветочный, фруктовый, фенольный и древесный». Партнёр «grilled turbot»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1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W215" s="28" t="str">
        <x:v>соль, соевый соус, коричневое масло или специя</x:v>
      </x:c>
      <x:c r="X215" s="28" t="str">
        <x:v>кофейный напиток, холодный кофе, крем, сироп, десерт или соус с grilled turbot</x:v>
      </x:c>
      <x:c r="Y215" s="28" t="str">
        <x:v>напитки, еда, соусы/маринады</x:v>
      </x:c>
      <x:c r="Z215" s="28" t="str">
        <x:v>Средняя</x:v>
      </x:c>
      <x:c r="AA215" s="28" t="str">
        <x:v>The Art &amp; Science of Foodpairing.pdf</x:v>
      </x:c>
      <x:c r="AB215" s="28" t="str">
        <x:v>The Art &amp; Science of Foodpairing.pdf: 297</x:v>
      </x:c>
      <x:c r="AC215" s="28" t="str">
        <x:v>Пара встречается как grid; научное объяснение сформировано по ароматическому профилю и пищевой матрице.</x:v>
      </x:c>
      <x:c r="AD215" s="28" t="n">
        <x:v>1</x:v>
      </x:c>
      <x:c r="AE215" s="28" t="n">
        <x:v>1</x:v>
      </x:c>
      <x:c r="AF215" s="28" t="n">
        <x:f>IF(Z215="Высокая",3,IF(Z215="Средняя",2,1))+AD215*2+MIN(AE215,3)</x:f>
        <x:v>5</x:v>
      </x:c>
    </x:row>
    <x:row r="216" ht="62" customHeight="1">
      <x:c r="A216" s="28" t="str">
        <x:v>NCT-0215</x:v>
      </x:c>
      <x:c r="B216" s="28" t="str">
        <x:v>кофе</x:v>
      </x:c>
      <x:c r="C216" s="28" t="str">
        <x:v>Универсальные</x:v>
      </x:c>
      <x:c r="D216" s="28" t="str">
        <x:v>кофе</x:v>
      </x:c>
      <x:c r="E216" s="28" t="str">
        <x:v>coffee</x:v>
      </x:c>
      <x:c r="F216" s="28" t="str">
        <x:v>Кофе</x:v>
      </x:c>
      <x:c r="G216" s="28" t="str">
        <x:v>isot pepper (urfa chilli flakes)</x:v>
      </x:c>
      <x:c r="H216" s="28" t="str">
        <x:v>isot pepper (urfa chilli flakes)</x:v>
      </x:c>
      <x:c r="I216" s="28" t="str">
        <x:v>Специи</x:v>
      </x:c>
      <x:c r="J216" s="28" t="str">
        <x:v>жареный, ореховый, карамельный, цветочный, фруктовый, фенольный и древесный</x:v>
      </x:c>
      <x:c r="K216" s="28" t="str">
        <x:v>пряный и древесный</x:v>
      </x:c>
      <x:c r="L216" s="28" t="str">
        <x:v>пиразины, фураны, гваякол, 2-фурфурилтиол, диацетил</x:v>
      </x:c>
      <x:c r="M216" s="28" t="str">
        <x:v>терпены, фенилпропаноиды</x:v>
      </x:c>
      <x:c r="N216" s="28" t="str">
        <x:v>прямое пересечение семейств не является единственным объяснением</x:v>
      </x:c>
      <x:c r="O216" s="28" t="str">
        <x:v>надежная общая ключевая молекула не подтверждена</x:v>
      </x:c>
      <x:c r="P216" s="28" t="str">
        <x:v>сенсорная комплементарность</x:v>
      </x:c>
      <x:c r="Q216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16" s="28" t="str">
        <x:v>сухость и горечь; кофеин не имеет сильного запаха, но влияет на вкус и физиологию</x:v>
      </x:c>
      <x:c r="S216" s="28" t="str">
        <x:v>водный напиток с растворёнными кислотами, меланоидинами и маслами; в зерне — пористая обжаренная матрица</x:v>
      </x:c>
      <x:c r="T21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16" s="28" t="str">
        <x:v>Кофе имеет профиль «жареный, ореховый, карамельный, цветочный, фруктовый, фенольный и древесный». Партнёр «isot pepper (urfa chilli flakes)» относится к группе «Специи» и даёт пряный и древесный.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1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16" s="28" t="str">
        <x:v>ваниль, апельсин или мёд</x:v>
      </x:c>
      <x:c r="X216" s="28" t="str">
        <x:v>кофейный напиток, холодный кофе, крем, сироп, десерт или соус с isot pepper (urfa chilli flakes)</x:v>
      </x:c>
      <x:c r="Y216" s="28" t="str">
        <x:v>напитки</x:v>
      </x:c>
      <x:c r="Z216" s="28" t="str">
        <x:v>Средняя</x:v>
      </x:c>
      <x:c r="AA216" s="28" t="str">
        <x:v>The Art &amp; Science of Foodpairing.pdf</x:v>
      </x:c>
      <x:c r="AB216" s="28" t="str">
        <x:v>The Art &amp; Science of Foodpairing.pdf: 297</x:v>
      </x:c>
      <x:c r="AC216" s="28" t="str">
        <x:v>Пара встречается как grid; научное объяснение сформировано по ароматическому профилю и пищевой матрице.</x:v>
      </x:c>
      <x:c r="AD216" s="28" t="n">
        <x:v>1</x:v>
      </x:c>
      <x:c r="AE216" s="28" t="n">
        <x:v>2</x:v>
      </x:c>
      <x:c r="AF216" s="28" t="n">
        <x:f>IF(Z216="Высокая",3,IF(Z216="Средняя",2,1))+AD216*2+MIN(AE216,3)</x:f>
        <x:v>6</x:v>
      </x:c>
    </x:row>
    <x:row r="217" ht="62" customHeight="1">
      <x:c r="A217" s="28" t="str">
        <x:v>NCT-0216</x:v>
      </x:c>
      <x:c r="B217" s="28" t="str">
        <x:v>кофе</x:v>
      </x:c>
      <x:c r="C217" s="28" t="str">
        <x:v>Еда и соусы</x:v>
      </x:c>
      <x:c r="D217" s="28" t="str">
        <x:v>кофе</x:v>
      </x:c>
      <x:c r="E217" s="28" t="str">
        <x:v>coffee</x:v>
      </x:c>
      <x:c r="F217" s="28" t="str">
        <x:v>Кофе</x:v>
      </x:c>
      <x:c r="G217" s="28" t="str">
        <x:v>korean fish sauce</x:v>
      </x:c>
      <x:c r="H217" s="28" t="str">
        <x:v>Korean fish sauce</x:v>
      </x:c>
      <x:c r="I217" s="28" t="str">
        <x:v>Рыба и морепродукты</x:v>
      </x:c>
      <x:c r="J217" s="28" t="str">
        <x:v>жареный, ореховый, карамельный, цветочный, фруктовый, фенольный и древесный</x:v>
      </x:c>
      <x:c r="K217" s="28" t="str">
        <x:v>морской, солоноватый и умами</x:v>
      </x:c>
      <x:c r="L217" s="28" t="str">
        <x:v>пиразины, фураны, гваякол, 2-фурфурилтиол, диацетил</x:v>
      </x:c>
      <x:c r="M217" s="28" t="str">
        <x:v>альдегиды, амины</x:v>
      </x:c>
      <x:c r="N217" s="28" t="str">
        <x:v>прямое пересечение семейств не является единственным объяснением</x:v>
      </x:c>
      <x:c r="O217" s="28" t="str">
        <x:v>надежная общая ключевая молекула не подтверждена</x:v>
      </x:c>
      <x:c r="P217" s="28" t="str">
        <x:v>солёно-умами контраст</x:v>
      </x:c>
      <x:c r="Q217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17" s="28" t="str">
        <x:v>сухость и горечь; кофеин не имеет сильного запаха, но влияет на вкус и физиологию</x:v>
      </x:c>
      <x:c r="S217" s="28" t="str">
        <x:v>водный напиток с растворёнными кислотами, меланоидинами и маслами; в зерне — пористая обжаренная матрица</x:v>
      </x:c>
      <x:c r="T21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17" s="28" t="str">
        <x:v>Кофе имеет профиль «жареный, ореховый, карамельный, цветочный, фруктовый, фенольный и древесный». Партнёр «korean fish sauce»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1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W217" s="28" t="str">
        <x:v>соль, соевый соус, коричневое масло или специя</x:v>
      </x:c>
      <x:c r="X217" s="28" t="str">
        <x:v>кофейный напиток, холодный кофе, крем, сироп, десерт или соус с korean fish sauce</x:v>
      </x:c>
      <x:c r="Y217" s="28" t="str">
        <x:v>напитки, еда, соусы/маринады</x:v>
      </x:c>
      <x:c r="Z217" s="28" t="str">
        <x:v>Средняя</x:v>
      </x:c>
      <x:c r="AA217" s="28" t="str">
        <x:v>The Art &amp; Science of Foodpairing.pdf</x:v>
      </x:c>
      <x:c r="AB217" s="28" t="str">
        <x:v>The Art &amp; Science of Foodpairing.pdf: 297</x:v>
      </x:c>
      <x:c r="AC217" s="28" t="str">
        <x:v>Пара встречается как grid; научное объяснение сформировано по ароматическому профилю и пищевой матрице.</x:v>
      </x:c>
      <x:c r="AD217" s="28" t="n">
        <x:v>1</x:v>
      </x:c>
      <x:c r="AE217" s="28" t="n">
        <x:v>1</x:v>
      </x:c>
      <x:c r="AF217" s="28" t="n">
        <x:f>IF(Z217="Высокая",3,IF(Z217="Средняя",2,1))+AD217*2+MIN(AE217,3)</x:f>
        <x:v>5</x:v>
      </x:c>
    </x:row>
    <x:row r="218" ht="62" customHeight="1">
      <x:c r="A218" s="28" t="str">
        <x:v>NCT-0217</x:v>
      </x:c>
      <x:c r="B218" s="28" t="str">
        <x:v>кофе</x:v>
      </x:c>
      <x:c r="C218" s="28" t="str">
        <x:v>Еда и соусы</x:v>
      </x:c>
      <x:c r="D218" s="28" t="str">
        <x:v>кофе</x:v>
      </x:c>
      <x:c r="E218" s="28" t="str">
        <x:v>coffee</x:v>
      </x:c>
      <x:c r="F218" s="28" t="str">
        <x:v>Кофе</x:v>
      </x:c>
      <x:c r="G218" s="28" t="str">
        <x:v>lberico ham (jam6n 100% lberico</x:v>
      </x:c>
      <x:c r="H218" s="28" t="str">
        <x:v>lberico ham (jam6n 100% lberico</x:v>
      </x:c>
      <x:c r="I218" s="28" t="str">
        <x:v>Мясо и птица</x:v>
      </x:c>
      <x:c r="J218" s="28" t="str">
        <x:v>жареный, ореховый, карамельный, цветочный, фруктовый, фенольный и древесный</x:v>
      </x:c>
      <x:c r="K218" s="28" t="str">
        <x:v>жареный, мясной и умами</x:v>
      </x:c>
      <x:c r="L218" s="28" t="str">
        <x:v>пиразины, фураны, гваякол, 2-фурфурилтиол, диацетил</x:v>
      </x:c>
      <x:c r="M218" s="28" t="str">
        <x:v>пиразины, сернистые соединения</x:v>
      </x:c>
      <x:c r="N218" s="28" t="str">
        <x:v>жареный</x:v>
      </x:c>
      <x:c r="O218" s="28" t="str">
        <x:v>пиразины</x:v>
      </x:c>
      <x:c r="P21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218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18" s="28" t="str">
        <x:v>сухость и горечь; кофеин не имеет сильного запаха, но влияет на вкус и физиологию</x:v>
      </x:c>
      <x:c r="S218" s="28" t="str">
        <x:v>водный напиток с растворёнными кислотами, меланоидинами и маслами; в зерне — пористая обжаренная матрица</x:v>
      </x:c>
      <x:c r="T21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18" s="28" t="str">
        <x:v>Кофе имеет профиль «жареный, ореховый, карамельный, цветочный, фруктовый, фенольный и древесный». Партнёр «lberico ham (jam6n 100% lberico»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V21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18" s="28" t="str">
        <x:v>соль, соевый соус, коричневое масло или специя</x:v>
      </x:c>
      <x:c r="X218" s="28" t="str">
        <x:v>кофейный напиток, холодный кофе, крем, сироп, десерт или соус с lberico ham (jam6n 100% lberico</x:v>
      </x:c>
      <x:c r="Y218" s="28" t="str">
        <x:v>напитки, еда, соусы/маринады</x:v>
      </x:c>
      <x:c r="Z218" s="28" t="str">
        <x:v>Средняя</x:v>
      </x:c>
      <x:c r="AA218" s="28" t="str">
        <x:v>The Art &amp; Science of Foodpairing.pdf</x:v>
      </x:c>
      <x:c r="AB218" s="28" t="str">
        <x:v>The Art &amp; Science of Foodpairing.pdf: 297</x:v>
      </x:c>
      <x:c r="AC218" s="28" t="str">
        <x:v>Пара встречается как grid; научное объяснение сформировано по ароматическому профилю и пищевой матрице.</x:v>
      </x:c>
      <x:c r="AD218" s="28" t="n">
        <x:v>1</x:v>
      </x:c>
      <x:c r="AE218" s="28" t="n">
        <x:v>1</x:v>
      </x:c>
      <x:c r="AF218" s="28" t="n">
        <x:f>IF(Z218="Высокая",3,IF(Z218="Средняя",2,1))+AD218*2+MIN(AE218,3)</x:f>
        <x:v>5</x:v>
      </x:c>
    </x:row>
    <x:row r="219" ht="62" customHeight="1">
      <x:c r="A219" s="28" t="str">
        <x:v>NCT-0218</x:v>
      </x:c>
      <x:c r="B219" s="28" t="str">
        <x:v>кофе</x:v>
      </x:c>
      <x:c r="C219" s="28" t="str">
        <x:v>Еда и соусы</x:v>
      </x:c>
      <x:c r="D219" s="28" t="str">
        <x:v>кофе</x:v>
      </x:c>
      <x:c r="E219" s="28" t="str">
        <x:v>coffee</x:v>
      </x:c>
      <x:c r="F219" s="28" t="str">
        <x:v>Кофе</x:v>
      </x:c>
      <x:c r="G219" s="28" t="str">
        <x:v>lobster</x:v>
      </x:c>
      <x:c r="H219" s="28" t="str">
        <x:v>lobster</x:v>
      </x:c>
      <x:c r="I219" s="28" t="str">
        <x:v>Рыба и морепродукты</x:v>
      </x:c>
      <x:c r="J219" s="28" t="str">
        <x:v>жареный, ореховый, карамельный, цветочный, фруктовый, фенольный и древесный</x:v>
      </x:c>
      <x:c r="K219" s="28" t="str">
        <x:v>морской, солоноватый и умами</x:v>
      </x:c>
      <x:c r="L219" s="28" t="str">
        <x:v>пиразины, фураны, гваякол, 2-фурфурилтиол, диацетил</x:v>
      </x:c>
      <x:c r="M219" s="28" t="str">
        <x:v>альдегиды, амины</x:v>
      </x:c>
      <x:c r="N219" s="28" t="str">
        <x:v>прямое пересечение семейств не является единственным объяснением</x:v>
      </x:c>
      <x:c r="O219" s="28" t="str">
        <x:v>надежная общая ключевая молекула не подтверждена</x:v>
      </x:c>
      <x:c r="P219" s="28" t="str">
        <x:v>солёно-умами контраст</x:v>
      </x:c>
      <x:c r="Q219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19" s="28" t="str">
        <x:v>сухость и горечь; кофеин не имеет сильного запаха, но влияет на вкус и физиологию</x:v>
      </x:c>
      <x:c r="S219" s="28" t="str">
        <x:v>водный напиток с растворёнными кислотами, меланоидинами и маслами; в зерне — пористая обжаренная матрица</x:v>
      </x:c>
      <x:c r="T21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19" s="28" t="str">
        <x:v>Кофе имеет профиль «жареный, ореховый, карамельный, цветочный, фруктовый, фенольный и древесный». Партнёр «lobster»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1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W219" s="28" t="str">
        <x:v>соль, соевый соус, коричневое масло или специя</x:v>
      </x:c>
      <x:c r="X219" s="28" t="str">
        <x:v>кофейный напиток, холодный кофе, крем, сироп, десерт или соус с lobster</x:v>
      </x:c>
      <x:c r="Y219" s="28" t="str">
        <x:v>напитки, еда, соусы/маринады</x:v>
      </x:c>
      <x:c r="Z219" s="28" t="str">
        <x:v>Высокая</x:v>
      </x:c>
      <x:c r="AA219" s="28" t="str">
        <x:v>The Art &amp; Science of Foodpairing.pdf</x:v>
      </x:c>
      <x:c r="AB219" s="28" t="str">
        <x:v>The Art &amp; Science of Foodpairing.pdf: 296</x:v>
      </x:c>
      <x:c r="AC219" s="28" t="str">
        <x:v>Пара встречается как potential; научное объяснение сформировано по ароматическому профилю и пищевой матрице.</x:v>
      </x:c>
      <x:c r="AD219" s="28" t="n">
        <x:v>1</x:v>
      </x:c>
      <x:c r="AE219" s="28" t="n">
        <x:v>1</x:v>
      </x:c>
      <x:c r="AF219" s="28" t="n">
        <x:f>IF(Z219="Высокая",3,IF(Z219="Средняя",2,1))+AD219*2+MIN(AE219,3)</x:f>
        <x:v>6</x:v>
      </x:c>
    </x:row>
    <x:row r="220" ht="62" customHeight="1">
      <x:c r="A220" s="28" t="str">
        <x:v>NCT-0219</x:v>
      </x:c>
      <x:c r="B220" s="28" t="str">
        <x:v>кофе</x:v>
      </x:c>
      <x:c r="C220" s="28" t="str">
        <x:v>Еда и соусы</x:v>
      </x:c>
      <x:c r="D220" s="28" t="str">
        <x:v>кофе</x:v>
      </x:c>
      <x:c r="E220" s="28" t="str">
        <x:v>coffee</x:v>
      </x:c>
      <x:c r="F220" s="28" t="str">
        <x:v>Кофе</x:v>
      </x:c>
      <x:c r="G220" s="28" t="str">
        <x:v>pan-fried duck breast</x:v>
      </x:c>
      <x:c r="H220" s="28" t="str">
        <x:v>pan-fried duck breast</x:v>
      </x:c>
      <x:c r="I220" s="28" t="str">
        <x:v>Мясо и птица</x:v>
      </x:c>
      <x:c r="J220" s="28" t="str">
        <x:v>жареный, ореховый, карамельный, цветочный, фруктовый, фенольный и древесный</x:v>
      </x:c>
      <x:c r="K220" s="28" t="str">
        <x:v>жареный, мясной и умами</x:v>
      </x:c>
      <x:c r="L220" s="28" t="str">
        <x:v>пиразины, фураны, гваякол, 2-фурфурилтиол, диацетил</x:v>
      </x:c>
      <x:c r="M220" s="28" t="str">
        <x:v>пиразины, сернистые соединения</x:v>
      </x:c>
      <x:c r="N220" s="28" t="str">
        <x:v>жареный</x:v>
      </x:c>
      <x:c r="O220" s="28" t="str">
        <x:v>пиразины</x:v>
      </x:c>
      <x:c r="P22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220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20" s="28" t="str">
        <x:v>сухость и горечь; кофеин не имеет сильного запаха, но влияет на вкус и физиологию</x:v>
      </x:c>
      <x:c r="S220" s="28" t="str">
        <x:v>водный напиток с растворёнными кислотами, меланоидинами и маслами; в зерне — пористая обжаренная матрица</x:v>
      </x:c>
      <x:c r="T22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20" s="28" t="str">
        <x:v>Кофе имеет профиль «жареный, ореховый, карамельный, цветочный, фруктовый, фенольный и древесный». Партнёр «pan-fried duck breast»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V22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20" s="28" t="str">
        <x:v>соль, соевый соус, коричневое масло или специя</x:v>
      </x:c>
      <x:c r="X220" s="28" t="str">
        <x:v>кофейный напиток, холодный кофе, крем, сироп, десерт или соус с pan-fried duck breast</x:v>
      </x:c>
      <x:c r="Y220" s="28" t="str">
        <x:v>напитки, еда, соусы/маринады</x:v>
      </x:c>
      <x:c r="Z220" s="28" t="str">
        <x:v>Средняя</x:v>
      </x:c>
      <x:c r="AA220" s="28" t="str">
        <x:v>The Art &amp; Science of Foodpairing.pdf</x:v>
      </x:c>
      <x:c r="AB220" s="28" t="str">
        <x:v>The Art &amp; Science of Foodpairing.pdf: 297</x:v>
      </x:c>
      <x:c r="AC220" s="28" t="str">
        <x:v>Пара встречается как grid; научное объяснение сформировано по ароматическому профилю и пищевой матрице.</x:v>
      </x:c>
      <x:c r="AD220" s="28" t="n">
        <x:v>1</x:v>
      </x:c>
      <x:c r="AE220" s="28" t="n">
        <x:v>1</x:v>
      </x:c>
      <x:c r="AF220" s="28" t="n">
        <x:f>IF(Z220="Высокая",3,IF(Z220="Средняя",2,1))+AD220*2+MIN(AE220,3)</x:f>
        <x:v>5</x:v>
      </x:c>
    </x:row>
    <x:row r="221" ht="62" customHeight="1">
      <x:c r="A221" s="28" t="str">
        <x:v>NCT-0220</x:v>
      </x:c>
      <x:c r="B221" s="28" t="str">
        <x:v>кофе</x:v>
      </x:c>
      <x:c r="C221" s="28" t="str">
        <x:v>Еда и соусы</x:v>
      </x:c>
      <x:c r="D221" s="28" t="str">
        <x:v>кофе</x:v>
      </x:c>
      <x:c r="E221" s="28" t="str">
        <x:v>coffee</x:v>
      </x:c>
      <x:c r="F221" s="28" t="str">
        <x:v>Кофе</x:v>
      </x:c>
      <x:c r="G221" s="28" t="str">
        <x:v>pan-fried quail</x:v>
      </x:c>
      <x:c r="H221" s="28" t="str">
        <x:v>pan-fried quail</x:v>
      </x:c>
      <x:c r="I221" s="28" t="str">
        <x:v>Мясо и птица</x:v>
      </x:c>
      <x:c r="J221" s="28" t="str">
        <x:v>жареный, ореховый, карамельный, цветочный, фруктовый, фенольный и древесный</x:v>
      </x:c>
      <x:c r="K221" s="28" t="str">
        <x:v>жареный, мясной и умами</x:v>
      </x:c>
      <x:c r="L221" s="28" t="str">
        <x:v>пиразины, фураны, гваякол, 2-фурфурилтиол, диацетил</x:v>
      </x:c>
      <x:c r="M221" s="28" t="str">
        <x:v>пиразины, сернистые соединения</x:v>
      </x:c>
      <x:c r="N221" s="28" t="str">
        <x:v>жареный</x:v>
      </x:c>
      <x:c r="O221" s="28" t="str">
        <x:v>пиразины</x:v>
      </x:c>
      <x:c r="P221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221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21" s="28" t="str">
        <x:v>сухость и горечь; кофеин не имеет сильного запаха, но влияет на вкус и физиологию</x:v>
      </x:c>
      <x:c r="S221" s="28" t="str">
        <x:v>водный напиток с растворёнными кислотами, меланоидинами и маслами; в зерне — пористая обжаренная матрица</x:v>
      </x:c>
      <x:c r="T22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21" s="28" t="str">
        <x:v>Кофе имеет профиль «жареный, ореховый, карамельный, цветочный, фруктовый, фенольный и древесный». Партнёр «pan-fried quail»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V22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21" s="28" t="str">
        <x:v>соль, соевый соус, коричневое масло или специя</x:v>
      </x:c>
      <x:c r="X221" s="28" t="str">
        <x:v>кофейный напиток, холодный кофе, крем, сироп, десерт или соус с pan-fried quail</x:v>
      </x:c>
      <x:c r="Y221" s="28" t="str">
        <x:v>напитки, еда, соусы/маринады</x:v>
      </x:c>
      <x:c r="Z221" s="28" t="str">
        <x:v>Средняя</x:v>
      </x:c>
      <x:c r="AA221" s="28" t="str">
        <x:v>The Art &amp; Science of Foodpairing.pdf</x:v>
      </x:c>
      <x:c r="AB221" s="28" t="str">
        <x:v>The Art &amp; Science of Foodpairing.pdf: 297</x:v>
      </x:c>
      <x:c r="AC221" s="28" t="str">
        <x:v>Пара встречается как grid; научное объяснение сформировано по ароматическому профилю и пищевой матрице.</x:v>
      </x:c>
      <x:c r="AD221" s="28" t="n">
        <x:v>1</x:v>
      </x:c>
      <x:c r="AE221" s="28" t="n">
        <x:v>1</x:v>
      </x:c>
      <x:c r="AF221" s="28" t="n">
        <x:f>IF(Z221="Высокая",3,IF(Z221="Средняя",2,1))+AD221*2+MIN(AE221,3)</x:f>
        <x:v>5</x:v>
      </x:c>
    </x:row>
    <x:row r="222" ht="62" customHeight="1">
      <x:c r="A222" s="28" t="str">
        <x:v>NCT-0221</x:v>
      </x:c>
      <x:c r="B222" s="28" t="str">
        <x:v>кофе</x:v>
      </x:c>
      <x:c r="C222" s="28" t="str">
        <x:v>Универсальные</x:v>
      </x:c>
      <x:c r="D222" s="28" t="str">
        <x:v>кофе</x:v>
      </x:c>
      <x:c r="E222" s="28" t="str">
        <x:v>coffee</x:v>
      </x:c>
      <x:c r="F222" s="28" t="str">
        <x:v>Кофе</x:v>
      </x:c>
      <x:c r="G222" s="28" t="str">
        <x:v>parmesan-style cheese</x:v>
      </x:c>
      <x:c r="H222" s="28" t="str">
        <x:v>Parmesan-style cheese</x:v>
      </x:c>
      <x:c r="I222" s="28" t="str">
        <x:v>Молочные продукты и сыры</x:v>
      </x:c>
      <x:c r="J222" s="28" t="str">
        <x:v>жареный, ореховый, карамельный, цветочный, фруктовый, фенольный и древесный</x:v>
      </x:c>
      <x:c r="K222" s="28" t="str">
        <x:v>молочный, сливочный и ферментированный</x:v>
      </x:c>
      <x:c r="L222" s="28" t="str">
        <x:v>пиразины, фураны, гваякол, 2-фурфурилтиол, диацетил</x:v>
      </x:c>
      <x:c r="M222" s="28" t="str">
        <x:v>диацетил, жирные кислоты, лактоны</x:v>
      </x:c>
      <x:c r="N222" s="28" t="str">
        <x:v>прямое пересечение семейств не является единственным объяснением</x:v>
      </x:c>
      <x:c r="O222" s="28" t="str">
        <x:v>диацетил</x:v>
      </x:c>
      <x:c r="P222" s="28" t="str">
        <x:v>общие ароматические соединения, жировая экстракция и связывание полифенолов белком</x:v>
      </x:c>
      <x:c r="Q222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22" s="28" t="str">
        <x:v>сухость и горечь; кофеин не имеет сильного запаха, но влияет на вкус и физиологию</x:v>
      </x:c>
      <x:c r="S222" s="28" t="str">
        <x:v>водный напиток с растворёнными кислотами, меланоидинами и маслами; в зерне — пористая обжаренная матрица Совпадающие жирные фазы облегчают перенос аромата, но могут сделать продукт тяжёлым.</x:v>
      </x:c>
      <x:c r="T22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22" s="28" t="str">
        <x:v>Кофе имеет профиль «жареный, ореховый, карамельный, цветочный, фруктовый, фенольный и древесный». Партнёр «parmesan-style cheese»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V22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W222" s="28" t="str">
        <x:v>мёд, карамель или фруктовая кислота</x:v>
      </x:c>
      <x:c r="X222" s="28" t="str">
        <x:v>кофейный напиток, холодный кофе, крем, сироп, десерт или соус с parmesan-style cheese</x:v>
      </x:c>
      <x:c r="Y222" s="28" t="str">
        <x:v>напитки, десерты</x:v>
      </x:c>
      <x:c r="Z222" s="28" t="str">
        <x:v>Средняя</x:v>
      </x:c>
      <x:c r="AA222" s="28" t="str">
        <x:v>The Art &amp; Science of Foodpairing.pdf</x:v>
      </x:c>
      <x:c r="AB222" s="28" t="str">
        <x:v>The Art &amp; Science of Foodpairing.pdf: 297</x:v>
      </x:c>
      <x:c r="AC222" s="28" t="str">
        <x:v>Пара встречается как grid; научное объяснение сформировано по ароматическому профилю и пищевой матрице.</x:v>
      </x:c>
      <x:c r="AD222" s="28" t="n">
        <x:v>1</x:v>
      </x:c>
      <x:c r="AE222" s="28" t="n">
        <x:v>1</x:v>
      </x:c>
      <x:c r="AF222" s="28" t="n">
        <x:f>IF(Z222="Высокая",3,IF(Z222="Средняя",2,1))+AD222*2+MIN(AE222,3)</x:f>
        <x:v>5</x:v>
      </x:c>
    </x:row>
    <x:row r="223" ht="62" customHeight="1">
      <x:c r="A223" s="28" t="str">
        <x:v>NCT-0222</x:v>
      </x:c>
      <x:c r="B223" s="28" t="str">
        <x:v>кофе</x:v>
      </x:c>
      <x:c r="C223" s="28" t="str">
        <x:v>Универсальные</x:v>
      </x:c>
      <x:c r="D223" s="28" t="str">
        <x:v>кофе</x:v>
      </x:c>
      <x:c r="E223" s="28" t="str">
        <x:v>roasted Arabica coffee bean</x:v>
      </x:c>
      <x:c r="F223" s="28" t="str">
        <x:v>Кофе</x:v>
      </x:c>
      <x:c r="G223" s="28" t="str">
        <x:v>peppercorns</x:v>
      </x:c>
      <x:c r="H223" s="28" t="str">
        <x:v>peppercorns</x:v>
      </x:c>
      <x:c r="I223" s="28" t="str">
        <x:v>Специи</x:v>
      </x:c>
      <x:c r="J223" s="28" t="str">
        <x:v>жареный, ореховый, карамельный, цветочный, фруктовый, фенольный и древесный</x:v>
      </x:c>
      <x:c r="K223" s="28" t="str">
        <x:v>пряный и древесный</x:v>
      </x:c>
      <x:c r="L223" s="28" t="str">
        <x:v>пиразины, фураны, гваякол, 2-фурфурилтиол, диацетил</x:v>
      </x:c>
      <x:c r="M223" s="28" t="str">
        <x:v>терпены, фенилпропаноиды</x:v>
      </x:c>
      <x:c r="N223" s="28" t="str">
        <x:v>прямое пересечение семейств не является единственным объяснением</x:v>
      </x:c>
      <x:c r="O223" s="28" t="str">
        <x:v>надежная общая ключевая молекула не подтверждена</x:v>
      </x:c>
      <x:c r="P223" s="28" t="str">
        <x:v>сенсорная комплементарность</x:v>
      </x:c>
      <x:c r="Q223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23" s="28" t="str">
        <x:v>сухость и горечь; кофеин не имеет сильного запаха, но влияет на вкус и физиологию</x:v>
      </x:c>
      <x:c r="S223" s="28" t="str">
        <x:v>водный напиток с растворёнными кислотами, меланоидинами и маслами; в зерне — пористая обжаренная матрица</x:v>
      </x:c>
      <x:c r="T22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23" s="28" t="str">
        <x:v>Кофе имеет профиль «жареный, ореховый, карамельный, цветочный, фруктовый, фенольный и древесный». Партнёр «peppercorns» относится к группе «Специи» и даёт пряный и древесный.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2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23" s="28" t="str">
        <x:v>ваниль, апельсин или мёд</x:v>
      </x:c>
      <x:c r="X223" s="28" t="str">
        <x:v>кофейный напиток, холодный кофе, крем, сироп, десерт или соус с peppercorns</x:v>
      </x:c>
      <x:c r="Y223" s="28" t="str">
        <x:v>напитки</x:v>
      </x:c>
      <x:c r="Z223" s="28" t="str">
        <x:v>Средняя</x:v>
      </x:c>
      <x:c r="AA223" s="28" t="str">
        <x:v>The Art &amp; Science of Foodpairing.pdf</x:v>
      </x:c>
      <x:c r="AB223" s="28" t="str">
        <x:v>The Art &amp; Science of Foodpairing.pdf: 274</x:v>
      </x:c>
      <x:c r="AC223" s="28" t="str">
        <x:v>Пара встречается как grid; научное объяснение сформировано по ароматическому профилю и пищевой матрице.</x:v>
      </x:c>
      <x:c r="AD223" s="28" t="n">
        <x:v>1</x:v>
      </x:c>
      <x:c r="AE223" s="28" t="n">
        <x:v>1</x:v>
      </x:c>
      <x:c r="AF223" s="28" t="n">
        <x:f>IF(Z223="Высокая",3,IF(Z223="Средняя",2,1))+AD223*2+MIN(AE223,3)</x:f>
        <x:v>5</x:v>
      </x:c>
    </x:row>
    <x:row r="224" ht="62" customHeight="1">
      <x:c r="A224" s="28" t="str">
        <x:v>NCT-0223</x:v>
      </x:c>
      <x:c r="B224" s="28" t="str">
        <x:v>кофе</x:v>
      </x:c>
      <x:c r="C224" s="28" t="str">
        <x:v>Еда и соусы</x:v>
      </x:c>
      <x:c r="D224" s="28" t="str">
        <x:v>кофе</x:v>
      </x:c>
      <x:c r="E224" s="28" t="str">
        <x:v>coffee</x:v>
      </x:c>
      <x:c r="F224" s="28" t="str">
        <x:v>Кофе</x:v>
      </x:c>
      <x:c r="G224" s="28" t="str">
        <x:v>poached grey mullet</x:v>
      </x:c>
      <x:c r="H224" s="28" t="str">
        <x:v>poached grey mullet</x:v>
      </x:c>
      <x:c r="I224" s="28" t="str">
        <x:v>Рыба и морепродукты</x:v>
      </x:c>
      <x:c r="J224" s="28" t="str">
        <x:v>жареный, ореховый, карамельный, цветочный, фруктовый, фенольный и древесный</x:v>
      </x:c>
      <x:c r="K224" s="28" t="str">
        <x:v>морской, солоноватый и умами</x:v>
      </x:c>
      <x:c r="L224" s="28" t="str">
        <x:v>пиразины, фураны, гваякол, 2-фурфурилтиол, диацетил</x:v>
      </x:c>
      <x:c r="M224" s="28" t="str">
        <x:v>альдегиды, амины</x:v>
      </x:c>
      <x:c r="N224" s="28" t="str">
        <x:v>прямое пересечение семейств не является единственным объяснением</x:v>
      </x:c>
      <x:c r="O224" s="28" t="str">
        <x:v>надежная общая ключевая молекула не подтверждена</x:v>
      </x:c>
      <x:c r="P224" s="28" t="str">
        <x:v>солёно-умами контраст</x:v>
      </x:c>
      <x:c r="Q224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24" s="28" t="str">
        <x:v>сухость и горечь; кофеин не имеет сильного запаха, но влияет на вкус и физиологию</x:v>
      </x:c>
      <x:c r="S224" s="28" t="str">
        <x:v>водный напиток с растворёнными кислотами, меланоидинами и маслами; в зерне — пористая обжаренная матрица</x:v>
      </x:c>
      <x:c r="T22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24" s="28" t="str">
        <x:v>Кофе имеет профиль «жареный, ореховый, карамельный, цветочный, фруктовый, фенольный и древесный». Партнёр «poached grey mullet»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2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W224" s="28" t="str">
        <x:v>соль, соевый соус, коричневое масло или специя</x:v>
      </x:c>
      <x:c r="X224" s="28" t="str">
        <x:v>кофейный напиток, холодный кофе, крем, сироп, десерт или соус с poached grey mullet</x:v>
      </x:c>
      <x:c r="Y224" s="28" t="str">
        <x:v>напитки, еда, соусы/маринады</x:v>
      </x:c>
      <x:c r="Z224" s="28" t="str">
        <x:v>Средняя</x:v>
      </x:c>
      <x:c r="AA224" s="28" t="str">
        <x:v>The Art &amp; Science of Foodpairing.pdf</x:v>
      </x:c>
      <x:c r="AB224" s="28" t="str">
        <x:v>The Art &amp; Science of Foodpairing.pdf: 297</x:v>
      </x:c>
      <x:c r="AC224" s="28" t="str">
        <x:v>Пара встречается как grid; научное объяснение сформировано по ароматическому профилю и пищевой матрице.</x:v>
      </x:c>
      <x:c r="AD224" s="28" t="n">
        <x:v>1</x:v>
      </x:c>
      <x:c r="AE224" s="28" t="n">
        <x:v>1</x:v>
      </x:c>
      <x:c r="AF224" s="28" t="n">
        <x:f>IF(Z224="Высокая",3,IF(Z224="Средняя",2,1))+AD224*2+MIN(AE224,3)</x:f>
        <x:v>5</x:v>
      </x:c>
    </x:row>
    <x:row r="225" ht="62" customHeight="1">
      <x:c r="A225" s="28" t="str">
        <x:v>NCT-0224</x:v>
      </x:c>
      <x:c r="B225" s="28" t="str">
        <x:v>кофе</x:v>
      </x:c>
      <x:c r="C225" s="28" t="str">
        <x:v>Еда и соусы</x:v>
      </x:c>
      <x:c r="D225" s="28" t="str">
        <x:v>кофе</x:v>
      </x:c>
      <x:c r="E225" s="28" t="str">
        <x:v>coffee</x:v>
      </x:c>
      <x:c r="F225" s="28" t="str">
        <x:v>Кофе</x:v>
      </x:c>
      <x:c r="G225" s="28" t="str">
        <x:v>rainbow trout</x:v>
      </x:c>
      <x:c r="H225" s="28" t="str">
        <x:v>rainbow trout</x:v>
      </x:c>
      <x:c r="I225" s="28" t="str">
        <x:v>Рыба и морепродукты</x:v>
      </x:c>
      <x:c r="J225" s="28" t="str">
        <x:v>жареный, ореховый, карамельный, цветочный, фруктовый, фенольный и древесный</x:v>
      </x:c>
      <x:c r="K225" s="28" t="str">
        <x:v>морской, солоноватый и умами</x:v>
      </x:c>
      <x:c r="L225" s="28" t="str">
        <x:v>пиразины, фураны, гваякол, 2-фурфурилтиол, диацетил</x:v>
      </x:c>
      <x:c r="M225" s="28" t="str">
        <x:v>альдегиды, амины</x:v>
      </x:c>
      <x:c r="N225" s="28" t="str">
        <x:v>прямое пересечение семейств не является единственным объяснением</x:v>
      </x:c>
      <x:c r="O225" s="28" t="str">
        <x:v>надежная общая ключевая молекула не подтверждена</x:v>
      </x:c>
      <x:c r="P225" s="28" t="str">
        <x:v>солёно-умами контраст</x:v>
      </x:c>
      <x:c r="Q225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25" s="28" t="str">
        <x:v>сухость и горечь; кофеин не имеет сильного запаха, но влияет на вкус и физиологию</x:v>
      </x:c>
      <x:c r="S225" s="28" t="str">
        <x:v>водный напиток с растворёнными кислотами, меланоидинами и маслами; в зерне — пористая обжаренная матрица</x:v>
      </x:c>
      <x:c r="T22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25" s="28" t="str">
        <x:v>Кофе имеет профиль «жареный, ореховый, карамельный, цветочный, фруктовый, фенольный и древесный». Партнёр «rainbow trout»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2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W225" s="28" t="str">
        <x:v>соль, соевый соус, коричневое масло или специя</x:v>
      </x:c>
      <x:c r="X225" s="28" t="str">
        <x:v>кофейный напиток, холодный кофе, крем, сироп, десерт или соус с rainbow trout</x:v>
      </x:c>
      <x:c r="Y225" s="28" t="str">
        <x:v>напитки, еда, соусы/маринады</x:v>
      </x:c>
      <x:c r="Z225" s="28" t="str">
        <x:v>Средняя</x:v>
      </x:c>
      <x:c r="AA225" s="28" t="str">
        <x:v>The Art &amp; Science of Foodpairing.pdf</x:v>
      </x:c>
      <x:c r="AB225" s="28" t="str">
        <x:v>The Art &amp; Science of Foodpairing.pdf: 297</x:v>
      </x:c>
      <x:c r="AC225" s="28" t="str">
        <x:v>Пара встречается как grid; научное объяснение сформировано по ароматическому профилю и пищевой матрице.</x:v>
      </x:c>
      <x:c r="AD225" s="28" t="n">
        <x:v>1</x:v>
      </x:c>
      <x:c r="AE225" s="28" t="n">
        <x:v>1</x:v>
      </x:c>
      <x:c r="AF225" s="28" t="n">
        <x:f>IF(Z225="Высокая",3,IF(Z225="Средняя",2,1))+AD225*2+MIN(AE225,3)</x:f>
        <x:v>5</x:v>
      </x:c>
    </x:row>
    <x:row r="226" ht="62" customHeight="1">
      <x:c r="A226" s="28" t="str">
        <x:v>NCT-0225</x:v>
      </x:c>
      <x:c r="B226" s="28" t="str">
        <x:v>кофе</x:v>
      </x:c>
      <x:c r="C226" s="28" t="str">
        <x:v>Универсальные</x:v>
      </x:c>
      <x:c r="D226" s="28" t="str">
        <x:v>кофе</x:v>
      </x:c>
      <x:c r="E226" s="28" t="str">
        <x:v>coffee</x:v>
      </x:c>
      <x:c r="F226" s="28" t="str">
        <x:v>Кофе</x:v>
      </x:c>
      <x:c r="G226" s="28" t="str">
        <x:v>rapeseed oil</x:v>
      </x:c>
      <x:c r="H226" s="28" t="str">
        <x:v>rapeseed oil</x:v>
      </x:c>
      <x:c r="I226" s="28" t="str">
        <x:v>Масла и жиры</x:v>
      </x:c>
      <x:c r="J226" s="28" t="str">
        <x:v>жареный, ореховый, карамельный, цветочный, фруктовый, фенольный и древесный</x:v>
      </x:c>
      <x:c r="K226" s="28" t="str">
        <x:v>жирный и мягкий</x:v>
      </x:c>
      <x:c r="L226" s="28" t="str">
        <x:v>пиразины, фураны, гваякол, 2-фурфурилтиол, диацетил</x:v>
      </x:c>
      <x:c r="M226" s="28" t="str">
        <x:v>альдегиды, лактоны</x:v>
      </x:c>
      <x:c r="N226" s="28" t="str">
        <x:v>прямое пересечение семейств не является единственным объяснением</x:v>
      </x:c>
      <x:c r="O226" s="28" t="str">
        <x:v>надежная общая ключевая молекула не подтверждена</x:v>
      </x:c>
      <x:c r="P226" s="28" t="str">
        <x:v>сенсорная комплементарность</x:v>
      </x:c>
      <x:c r="Q226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26" s="28" t="str">
        <x:v>сухость и горечь; кофеин не имеет сильного запаха, но влияет на вкус и физиологию</x:v>
      </x:c>
      <x:c r="S226" s="28" t="str">
        <x:v>водный напиток с растворёнными кислотами, меланоидинами и маслами; в зерне — пористая обжаренная матрица</x:v>
      </x:c>
      <x:c r="T22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26" s="28" t="str">
        <x:v>Кофе имеет профиль «жареный, ореховый, карамельный, цветочный, фруктовый, фенольный и древесный». Партнёр «rapeseed oil» относится к группе «Масла и жиры» и даёт жирный и мягкий.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2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26" s="28" t="str">
        <x:v>соль, ваниль или карамель</x:v>
      </x:c>
      <x:c r="X226" s="28" t="str">
        <x:v>кофейный напиток, холодный кофе, крем, сироп, десерт или соус с rapeseed oil</x:v>
      </x:c>
      <x:c r="Y226" s="28" t="str">
        <x:v>напитки</x:v>
      </x:c>
      <x:c r="Z226" s="28" t="str">
        <x:v>Средняя</x:v>
      </x:c>
      <x:c r="AA226" s="28" t="str">
        <x:v>The Art &amp; Science of Foodpairing.pdf</x:v>
      </x:c>
      <x:c r="AB226" s="28" t="str">
        <x:v>The Art &amp; Science of Foodpairing.pdf: 297</x:v>
      </x:c>
      <x:c r="AC226" s="28" t="str">
        <x:v>Пара встречается как grid; научное объяснение сформировано по ароматическому профилю и пищевой матрице.</x:v>
      </x:c>
      <x:c r="AD226" s="28" t="n">
        <x:v>1</x:v>
      </x:c>
      <x:c r="AE226" s="28" t="n">
        <x:v>1</x:v>
      </x:c>
      <x:c r="AF226" s="28" t="n">
        <x:f>IF(Z226="Высокая",3,IF(Z226="Средняя",2,1))+AD226*2+MIN(AE226,3)</x:f>
        <x:v>5</x:v>
      </x:c>
    </x:row>
    <x:row r="227" ht="62" customHeight="1">
      <x:c r="A227" s="28" t="str">
        <x:v>NCT-0226</x:v>
      </x:c>
      <x:c r="B227" s="28" t="str">
        <x:v>кофе</x:v>
      </x:c>
      <x:c r="C227" s="28" t="str">
        <x:v>Универсальные</x:v>
      </x:c>
      <x:c r="D227" s="28" t="str">
        <x:v>кофе</x:v>
      </x:c>
      <x:c r="E227" s="28" t="str">
        <x:v>Colombian coffee</x:v>
      </x:c>
      <x:c r="F227" s="28" t="str">
        <x:v>Кофе</x:v>
      </x:c>
      <x:c r="G227" s="28" t="str">
        <x:v>red bell pepper and paprika</x:v>
      </x:c>
      <x:c r="H227" s="28" t="str">
        <x:v>red bell pepper and paprika</x:v>
      </x:c>
      <x:c r="I227" s="28" t="str">
        <x:v>Специи</x:v>
      </x:c>
      <x:c r="J227" s="28" t="str">
        <x:v>жареный, ореховый, карамельный, цветочный, фруктовый, фенольный и древесный</x:v>
      </x:c>
      <x:c r="K227" s="28" t="str">
        <x:v>пряный и древесный</x:v>
      </x:c>
      <x:c r="L227" s="28" t="str">
        <x:v>пиразины, фураны, гваякол, 2-фурфурилтиол, диацетил</x:v>
      </x:c>
      <x:c r="M227" s="28" t="str">
        <x:v>терпены, фенилпропаноиды</x:v>
      </x:c>
      <x:c r="N227" s="28" t="str">
        <x:v>прямое пересечение семейств не является единственным объяснением</x:v>
      </x:c>
      <x:c r="O227" s="28" t="str">
        <x:v>надежная общая ключевая молекула не подтверждена</x:v>
      </x:c>
      <x:c r="P227" s="28" t="str">
        <x:v>сенсорная комплементарность</x:v>
      </x:c>
      <x:c r="Q227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27" s="28" t="str">
        <x:v>сухость и горечь; кофеин не имеет сильного запаха, но влияет на вкус и физиологию</x:v>
      </x:c>
      <x:c r="S227" s="28" t="str">
        <x:v>водный напиток с растворёнными кислотами, меланоидинами и маслами; в зерне — пористая обжаренная матрица</x:v>
      </x:c>
      <x:c r="T22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27" s="28" t="str">
        <x:v>Кофе имеет профиль «жареный, ореховый, карамельный, цветочный, фруктовый, фенольный и древесный». Партнёр «red bell pepper and paprika» относится к группе «Специи» и даёт пряный и древесный.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2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27" s="28" t="str">
        <x:v>ваниль, апельсин или мёд</x:v>
      </x:c>
      <x:c r="X227" s="28" t="str">
        <x:v>кофейный напиток, холодный кофе, крем, сироп, десерт или соус с red bell pepper and paprika</x:v>
      </x:c>
      <x:c r="Y227" s="28" t="str">
        <x:v>напитки</x:v>
      </x:c>
      <x:c r="Z227" s="28" t="str">
        <x:v>Средняя</x:v>
      </x:c>
      <x:c r="AA227" s="28" t="str">
        <x:v>The Art &amp; Science of Foodpairing.pdf</x:v>
      </x:c>
      <x:c r="AB227" s="28" t="str">
        <x:v>The Art &amp; Science of Foodpairing.pdf: 108</x:v>
      </x:c>
      <x:c r="AC227" s="28" t="str">
        <x:v>Пара встречается как grid; научное объяснение сформировано по ароматическому профилю и пищевой матрице.</x:v>
      </x:c>
      <x:c r="AD227" s="28" t="n">
        <x:v>1</x:v>
      </x:c>
      <x:c r="AE227" s="28" t="n">
        <x:v>1</x:v>
      </x:c>
      <x:c r="AF227" s="28" t="n">
        <x:f>IF(Z227="Высокая",3,IF(Z227="Средняя",2,1))+AD227*2+MIN(AE227,3)</x:f>
        <x:v>5</x:v>
      </x:c>
    </x:row>
    <x:row r="228" ht="62" customHeight="1">
      <x:c r="A228" s="28" t="str">
        <x:v>NCT-0227</x:v>
      </x:c>
      <x:c r="B228" s="28" t="str">
        <x:v>кофе</x:v>
      </x:c>
      <x:c r="C228" s="28" t="str">
        <x:v>Еда и соусы</x:v>
      </x:c>
      <x:c r="D228" s="28" t="str">
        <x:v>кофе</x:v>
      </x:c>
      <x:c r="E228" s="28" t="str">
        <x:v>coffee</x:v>
      </x:c>
      <x:c r="F228" s="28" t="str">
        <x:v>Кофе</x:v>
      </x:c>
      <x:c r="G228" s="28" t="str">
        <x:v>roasted veal sweetbreads</x:v>
      </x:c>
      <x:c r="H228" s="28" t="str">
        <x:v>roasted veal sweetbreads</x:v>
      </x:c>
      <x:c r="I228" s="28" t="str">
        <x:v>Мясо и птица</x:v>
      </x:c>
      <x:c r="J228" s="28" t="str">
        <x:v>жареный, ореховый, карамельный, цветочный, фруктовый, фенольный и древесный</x:v>
      </x:c>
      <x:c r="K228" s="28" t="str">
        <x:v>жареный, мясной и умами</x:v>
      </x:c>
      <x:c r="L228" s="28" t="str">
        <x:v>пиразины, фураны, гваякол, 2-фурфурилтиол, диацетил</x:v>
      </x:c>
      <x:c r="M228" s="28" t="str">
        <x:v>пиразины, сернистые соединения</x:v>
      </x:c>
      <x:c r="N228" s="28" t="str">
        <x:v>жареный</x:v>
      </x:c>
      <x:c r="O228" s="28" t="str">
        <x:v>пиразины</x:v>
      </x:c>
      <x:c r="P22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228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28" s="28" t="str">
        <x:v>сухость и горечь; кофеин не имеет сильного запаха, но влияет на вкус и физиологию</x:v>
      </x:c>
      <x:c r="S228" s="28" t="str">
        <x:v>водный напиток с растворёнными кислотами, меланоидинами и маслами; в зерне — пористая обжаренная матрица</x:v>
      </x:c>
      <x:c r="T22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28" s="28" t="str">
        <x:v>Кофе имеет профиль «жареный, ореховый, карамельный, цветочный, фруктовый, фенольный и древесный». Партнёр «roasted veal sweetbreads»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V22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28" s="28" t="str">
        <x:v>соль, соевый соус, коричневое масло или специя</x:v>
      </x:c>
      <x:c r="X228" s="28" t="str">
        <x:v>кофейный напиток, холодный кофе, крем, сироп, десерт или соус с roasted veal sweetbreads</x:v>
      </x:c>
      <x:c r="Y228" s="28" t="str">
        <x:v>напитки, еда, соусы/маринады</x:v>
      </x:c>
      <x:c r="Z228" s="28" t="str">
        <x:v>Средняя</x:v>
      </x:c>
      <x:c r="AA228" s="28" t="str">
        <x:v>The Art &amp; Science of Foodpairing.pdf</x:v>
      </x:c>
      <x:c r="AB228" s="28" t="str">
        <x:v>The Art &amp; Science of Foodpairing.pdf: 297</x:v>
      </x:c>
      <x:c r="AC228" s="28" t="str">
        <x:v>Пара встречается как grid; научное объяснение сформировано по ароматическому профилю и пищевой матрице.</x:v>
      </x:c>
      <x:c r="AD228" s="28" t="n">
        <x:v>1</x:v>
      </x:c>
      <x:c r="AE228" s="28" t="n">
        <x:v>1</x:v>
      </x:c>
      <x:c r="AF228" s="28" t="n">
        <x:f>IF(Z228="Высокая",3,IF(Z228="Средняя",2,1))+AD228*2+MIN(AE228,3)</x:f>
        <x:v>5</x:v>
      </x:c>
    </x:row>
    <x:row r="229" ht="62" customHeight="1">
      <x:c r="A229" s="28" t="str">
        <x:v>NCT-0228</x:v>
      </x:c>
      <x:c r="B229" s="28" t="str">
        <x:v>кофе</x:v>
      </x:c>
      <x:c r="C229" s="28" t="str">
        <x:v>Напитки</x:v>
      </x:c>
      <x:c r="D229" s="28" t="str">
        <x:v>кофе</x:v>
      </x:c>
      <x:c r="E229" s="28" t="str">
        <x:v>coffee</x:v>
      </x:c>
      <x:c r="F229" s="28" t="str">
        <x:v>Кофе</x:v>
      </x:c>
      <x:c r="G229" s="28" t="str">
        <x:v>roastedarabica coffeebean</x:v>
      </x:c>
      <x:c r="H229" s="28" t="str">
        <x:v>roastedArabica coffeebean</x:v>
      </x:c>
      <x:c r="I229" s="28" t="str">
        <x:v>Кофе</x:v>
      </x:c>
      <x:c r="J229" s="28" t="str">
        <x:v>жареный, ореховый, карамельный, цветочный, фруктовый, фенольный и древесный</x:v>
      </x:c>
      <x:c r="K229" s="28" t="str">
        <x:v>жареный, ореховый и карамельный</x:v>
      </x:c>
      <x:c r="L229" s="28" t="str">
        <x:v>пиразины, фураны, гваякол, 2-фурфурилтиол, диацетил</x:v>
      </x:c>
      <x:c r="M229" s="28" t="str">
        <x:v>гваякол, пиразины, фураны</x:v>
      </x:c>
      <x:c r="N229" s="28" t="str">
        <x:v>жареный, карамельный, ореховый</x:v>
      </x:c>
      <x:c r="O229" s="28" t="str">
        <x:v>гваякол, пиразины, фураны</x:v>
      </x:c>
      <x:c r="P229" s="28" t="str">
        <x:v>общие ароматические соединения, пересечение ароматических семейств, жареная химия и реакции Майяра</x:v>
      </x:c>
      <x:c r="Q229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29" s="28" t="str">
        <x:v>сухость и горечь; кофеин не имеет сильного запаха, но влияет на вкус и физиологию</x:v>
      </x:c>
      <x:c r="S229" s="28" t="str">
        <x:v>водный напиток с растворёнными кислотами, меланоидинами и маслами; в зерне — пористая обжаренная матрица</x:v>
      </x:c>
      <x:c r="T22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29" s="28" t="str">
        <x:v>Кофе имеет профиль «жареный, ореховый, карамельный, цветочный, фруктовый, фенольный и древесный». Партнёр «roastedarabica coffeebean» относится к группе «Кофе» и даёт жареный, ореховый и карамельный. Молекулярный мост создают гваякол, пиразины, фураны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жареный, карамельный, ореховый; гваякол, пиразины, фураны.</x:v>
      </x:c>
      <x:c r="V22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29" s="28" t="str">
        <x:v>соль, ваниль или карамель</x:v>
      </x:c>
      <x:c r="X229" s="28" t="str">
        <x:v>кофейный напиток, холодный кофе, крем, сироп, десерт или соус с roastedarabica coffeebean</x:v>
      </x:c>
      <x:c r="Y229" s="28" t="str">
        <x:v>напитки</x:v>
      </x:c>
      <x:c r="Z229" s="28" t="str">
        <x:v>Средняя</x:v>
      </x:c>
      <x:c r="AA229" s="28" t="str">
        <x:v>The Art &amp; Science of Foodpairing.pdf</x:v>
      </x:c>
      <x:c r="AB229" s="28" t="str">
        <x:v>The Art &amp; Science of Foodpairing.pdf: 297</x:v>
      </x:c>
      <x:c r="AC229" s="28" t="str">
        <x:v>Пара встречается как grid; научное объяснение сформировано по ароматическому профилю и пищевой матрице.</x:v>
      </x:c>
      <x:c r="AD229" s="28" t="n">
        <x:v>1</x:v>
      </x:c>
      <x:c r="AE229" s="28" t="n">
        <x:v>1</x:v>
      </x:c>
      <x:c r="AF229" s="28" t="n">
        <x:f>IF(Z229="Высокая",3,IF(Z229="Средняя",2,1))+AD229*2+MIN(AE229,3)</x:f>
        <x:v>5</x:v>
      </x:c>
    </x:row>
    <x:row r="230" ht="62" customHeight="1">
      <x:c r="A230" s="28" t="str">
        <x:v>NCT-0229</x:v>
      </x:c>
      <x:c r="B230" s="28" t="str">
        <x:v>кофе</x:v>
      </x:c>
      <x:c r="C230" s="28" t="str">
        <x:v>Универсальные</x:v>
      </x:c>
      <x:c r="D230" s="28" t="str">
        <x:v>кофе</x:v>
      </x:c>
      <x:c r="E230" s="28" t="str">
        <x:v>coffee</x:v>
      </x:c>
      <x:c r="F230" s="28" t="str">
        <x:v>Кофе</x:v>
      </x:c>
      <x:c r="G230" s="28" t="str">
        <x:v>rocoto chilli</x:v>
      </x:c>
      <x:c r="H230" s="28" t="str">
        <x:v>rocoto chilli</x:v>
      </x:c>
      <x:c r="I230" s="28" t="str">
        <x:v>Специи</x:v>
      </x:c>
      <x:c r="J230" s="28" t="str">
        <x:v>жареный, ореховый, карамельный, цветочный, фруктовый, фенольный и древесный</x:v>
      </x:c>
      <x:c r="K230" s="28" t="str">
        <x:v>пряный и древесный</x:v>
      </x:c>
      <x:c r="L230" s="28" t="str">
        <x:v>пиразины, фураны, гваякол, 2-фурфурилтиол, диацетил</x:v>
      </x:c>
      <x:c r="M230" s="28" t="str">
        <x:v>терпены, фенилпропаноиды</x:v>
      </x:c>
      <x:c r="N230" s="28" t="str">
        <x:v>прямое пересечение семейств не является единственным объяснением</x:v>
      </x:c>
      <x:c r="O230" s="28" t="str">
        <x:v>надежная общая ключевая молекула не подтверждена</x:v>
      </x:c>
      <x:c r="P230" s="28" t="str">
        <x:v>сенсорная комплементарность</x:v>
      </x:c>
      <x:c r="Q230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30" s="28" t="str">
        <x:v>сухость и горечь; кофеин не имеет сильного запаха, но влияет на вкус и физиологию</x:v>
      </x:c>
      <x:c r="S230" s="28" t="str">
        <x:v>водный напиток с растворёнными кислотами, меланоидинами и маслами; в зерне — пористая обжаренная матрица</x:v>
      </x:c>
      <x:c r="T23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30" s="28" t="str">
        <x:v>Кофе имеет профиль «жареный, ореховый, карамельный, цветочный, фруктовый, фенольный и древесный». Партнёр «rocoto chilli» относится к группе «Специи» и даёт пряный и древесный.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3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30" s="28" t="str">
        <x:v>ваниль, апельсин или мёд</x:v>
      </x:c>
      <x:c r="X230" s="28" t="str">
        <x:v>кофейный напиток, холодный кофе, крем, сироп, десерт или соус с rocoto chilli</x:v>
      </x:c>
      <x:c r="Y230" s="28" t="str">
        <x:v>напитки</x:v>
      </x:c>
      <x:c r="Z230" s="28" t="str">
        <x:v>Средняя</x:v>
      </x:c>
      <x:c r="AA230" s="28" t="str">
        <x:v>The Art &amp; Science of Foodpairing.pdf</x:v>
      </x:c>
      <x:c r="AB230" s="28" t="str">
        <x:v>The Art &amp; Science of Foodpairing.pdf: 297</x:v>
      </x:c>
      <x:c r="AC230" s="28" t="str">
        <x:v>Пара встречается как grid; научное объяснение сформировано по ароматическому профилю и пищевой матрице.</x:v>
      </x:c>
      <x:c r="AD230" s="28" t="n">
        <x:v>1</x:v>
      </x:c>
      <x:c r="AE230" s="28" t="n">
        <x:v>1</x:v>
      </x:c>
      <x:c r="AF230" s="28" t="n">
        <x:f>IF(Z230="Высокая",3,IF(Z230="Средняя",2,1))+AD230*2+MIN(AE230,3)</x:f>
        <x:v>5</x:v>
      </x:c>
    </x:row>
    <x:row r="231" ht="62" customHeight="1">
      <x:c r="A231" s="28" t="str">
        <x:v>NCT-0230</x:v>
      </x:c>
      <x:c r="B231" s="28" t="str">
        <x:v>кофе</x:v>
      </x:c>
      <x:c r="C231" s="28" t="str">
        <x:v>Универсальные</x:v>
      </x:c>
      <x:c r="D231" s="28" t="str">
        <x:v>кофе</x:v>
      </x:c>
      <x:c r="E231" s="28" t="str">
        <x:v>coffee</x:v>
      </x:c>
      <x:c r="F231" s="28" t="str">
        <x:v>Кофе</x:v>
      </x:c>
      <x:c r="G231" s="28" t="str">
        <x:v>sheep's milk yogurt</x:v>
      </x:c>
      <x:c r="H231" s="28" t="str">
        <x:v>sheep's milk yogurt</x:v>
      </x:c>
      <x:c r="I231" s="28" t="str">
        <x:v>Молочные продукты и сыры</x:v>
      </x:c>
      <x:c r="J231" s="28" t="str">
        <x:v>жареный, ореховый, карамельный, цветочный, фруктовый, фенольный и древесный</x:v>
      </x:c>
      <x:c r="K231" s="28" t="str">
        <x:v>молочный, сливочный и ферментированный</x:v>
      </x:c>
      <x:c r="L231" s="28" t="str">
        <x:v>пиразины, фураны, гваякол, 2-фурфурилтиол, диацетил</x:v>
      </x:c>
      <x:c r="M231" s="28" t="str">
        <x:v>диацетил, жирные кислоты, лактоны</x:v>
      </x:c>
      <x:c r="N231" s="28" t="str">
        <x:v>прямое пересечение семейств не является единственным объяснением</x:v>
      </x:c>
      <x:c r="O231" s="28" t="str">
        <x:v>диацетил</x:v>
      </x:c>
      <x:c r="P231" s="28" t="str">
        <x:v>общие ароматические соединения, жировая экстракция и связывание полифенолов белком</x:v>
      </x:c>
      <x:c r="Q231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31" s="28" t="str">
        <x:v>сухость и горечь; кофеин не имеет сильного запаха, но влияет на вкус и физиологию</x:v>
      </x:c>
      <x:c r="S231" s="28" t="str">
        <x:v>водный напиток с растворёнными кислотами, меланоидинами и маслами; в зерне — пористая обжаренная матрица Совпадающие жирные фазы облегчают перенос аромата, но могут сделать продукт тяжёлым.</x:v>
      </x:c>
      <x:c r="T23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31" s="28" t="str">
        <x:v>Кофе имеет профиль «жареный, ореховый, карамельный, цветочный, фруктовый, фенольный и древесный». Партнёр «sheep's milk yogurt»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V23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W231" s="28" t="str">
        <x:v>мёд, карамель или фруктовая кислота</x:v>
      </x:c>
      <x:c r="X231" s="28" t="str">
        <x:v>кофейный напиток, холодный кофе, крем, сироп, десерт или соус с sheep's milk yogurt</x:v>
      </x:c>
      <x:c r="Y231" s="28" t="str">
        <x:v>напитки, десерты</x:v>
      </x:c>
      <x:c r="Z231" s="28" t="str">
        <x:v>Средняя</x:v>
      </x:c>
      <x:c r="AA231" s="28" t="str">
        <x:v>The Art &amp; Science of Foodpairing.pdf</x:v>
      </x:c>
      <x:c r="AB231" s="28" t="str">
        <x:v>The Art &amp; Science of Foodpairing.pdf: 297</x:v>
      </x:c>
      <x:c r="AC231" s="28" t="str">
        <x:v>Пара встречается как grid; научное объяснение сформировано по ароматическому профилю и пищевой матрице.</x:v>
      </x:c>
      <x:c r="AD231" s="28" t="n">
        <x:v>1</x:v>
      </x:c>
      <x:c r="AE231" s="28" t="n">
        <x:v>1</x:v>
      </x:c>
      <x:c r="AF231" s="28" t="n">
        <x:f>IF(Z231="Высокая",3,IF(Z231="Средняя",2,1))+AD231*2+MIN(AE231,3)</x:f>
        <x:v>5</x:v>
      </x:c>
    </x:row>
    <x:row r="232" ht="62" customHeight="1">
      <x:c r="A232" s="28" t="str">
        <x:v>NCT-0231</x:v>
      </x:c>
      <x:c r="B232" s="28" t="str">
        <x:v>кофе</x:v>
      </x:c>
      <x:c r="C232" s="28" t="str">
        <x:v>Еда и соусы</x:v>
      </x:c>
      <x:c r="D232" s="28" t="str">
        <x:v>кофе</x:v>
      </x:c>
      <x:c r="E232" s="28" t="str">
        <x:v>coffee</x:v>
      </x:c>
      <x:c r="F232" s="28" t="str">
        <x:v>Кофе</x:v>
      </x:c>
      <x:c r="G232" s="28" t="str">
        <x:v>smoked atlantic salmon</x:v>
      </x:c>
      <x:c r="H232" s="28" t="str">
        <x:v>smoked Atlantic salmon</x:v>
      </x:c>
      <x:c r="I232" s="28" t="str">
        <x:v>Рыба и морепродукты</x:v>
      </x:c>
      <x:c r="J232" s="28" t="str">
        <x:v>жареный, ореховый, карамельный, цветочный, фруктовый, фенольный и древесный</x:v>
      </x:c>
      <x:c r="K232" s="28" t="str">
        <x:v>морской, солоноватый и умами</x:v>
      </x:c>
      <x:c r="L232" s="28" t="str">
        <x:v>пиразины, фураны, гваякол, 2-фурфурилтиол, диацетил</x:v>
      </x:c>
      <x:c r="M232" s="28" t="str">
        <x:v>альдегиды, амины</x:v>
      </x:c>
      <x:c r="N232" s="28" t="str">
        <x:v>прямое пересечение семейств не является единственным объяснением</x:v>
      </x:c>
      <x:c r="O232" s="28" t="str">
        <x:v>надежная общая ключевая молекула не подтверждена</x:v>
      </x:c>
      <x:c r="P232" s="28" t="str">
        <x:v>солёно-умами контраст</x:v>
      </x:c>
      <x:c r="Q232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32" s="28" t="str">
        <x:v>сухость и горечь; кофеин не имеет сильного запаха, но влияет на вкус и физиологию</x:v>
      </x:c>
      <x:c r="S232" s="28" t="str">
        <x:v>водный напиток с растворёнными кислотами, меланоидинами и маслами; в зерне — пористая обжаренная матрица</x:v>
      </x:c>
      <x:c r="T23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32" s="28" t="str">
        <x:v>Кофе имеет профиль «жареный, ореховый, карамельный, цветочный, фруктовый, фенольный и древесный». Партнёр «smoked atlantic salmon»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3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W232" s="28" t="str">
        <x:v>соль, соевый соус, коричневое масло или специя</x:v>
      </x:c>
      <x:c r="X232" s="28" t="str">
        <x:v>кофейный напиток, холодный кофе, крем, сироп, десерт или соус с smoked atlantic salmon</x:v>
      </x:c>
      <x:c r="Y232" s="28" t="str">
        <x:v>напитки, еда, соусы/маринады</x:v>
      </x:c>
      <x:c r="Z232" s="28" t="str">
        <x:v>Средняя</x:v>
      </x:c>
      <x:c r="AA232" s="28" t="str">
        <x:v>The Art &amp; Science of Foodpairing.pdf</x:v>
      </x:c>
      <x:c r="AB232" s="28" t="str">
        <x:v>The Art &amp; Science of Foodpairing.pdf: 297</x:v>
      </x:c>
      <x:c r="AC232" s="28" t="str">
        <x:v>Пара встречается как grid; научное объяснение сформировано по ароматическому профилю и пищевой матрице.</x:v>
      </x:c>
      <x:c r="AD232" s="28" t="n">
        <x:v>1</x:v>
      </x:c>
      <x:c r="AE232" s="28" t="n">
        <x:v>1</x:v>
      </x:c>
      <x:c r="AF232" s="28" t="n">
        <x:f>IF(Z232="Высокая",3,IF(Z232="Средняя",2,1))+AD232*2+MIN(AE232,3)</x:f>
        <x:v>5</x:v>
      </x:c>
    </x:row>
    <x:row r="233" ht="62" customHeight="1">
      <x:c r="A233" s="28" t="str">
        <x:v>NCT-0232</x:v>
      </x:c>
      <x:c r="B233" s="28" t="str">
        <x:v>кофе</x:v>
      </x:c>
      <x:c r="C233" s="28" t="str">
        <x:v>Еда и соусы</x:v>
      </x:c>
      <x:c r="D233" s="28" t="str">
        <x:v>кофе</x:v>
      </x:c>
      <x:c r="E233" s="28" t="str">
        <x:v>coffee</x:v>
      </x:c>
      <x:c r="F233" s="28" t="str">
        <x:v>Кофе</x:v>
      </x:c>
      <x:c r="G233" s="28" t="str">
        <x:v>sprouted chickpea</x:v>
      </x:c>
      <x:c r="H233" s="28" t="str">
        <x:v>sprouted chickpea</x:v>
      </x:c>
      <x:c r="I233" s="28" t="str">
        <x:v>Овощи, бобовые и грибы</x:v>
      </x:c>
      <x:c r="J233" s="28" t="str">
        <x:v>жареный, ореховый, карамельный, цветочный, фруктовый, фенольный и древесный</x:v>
      </x:c>
      <x:c r="K233" s="28" t="str">
        <x:v>зелёный, землистый или умами</x:v>
      </x:c>
      <x:c r="L233" s="28" t="str">
        <x:v>пиразины, фураны, гваякол, 2-фурфурилтиол, диацетил</x:v>
      </x:c>
      <x:c r="M233" s="28" t="str">
        <x:v>альдегиды, сернистые соединения</x:v>
      </x:c>
      <x:c r="N233" s="28" t="str">
        <x:v>прямое пересечение семейств не является единственным объяснением</x:v>
      </x:c>
      <x:c r="O233" s="28" t="str">
        <x:v>надежная общая ключевая молекула не подтверждена</x:v>
      </x:c>
      <x:c r="P233" s="28" t="str">
        <x:v>сенсорная комплементарность</x:v>
      </x:c>
      <x:c r="Q233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33" s="28" t="str">
        <x:v>сухость и горечь; кофеин не имеет сильного запаха, но влияет на вкус и физиологию</x:v>
      </x:c>
      <x:c r="S233" s="28" t="str">
        <x:v>водный напиток с растворёнными кислотами, меланоидинами и маслами; в зерне — пористая обжаренная матрица</x:v>
      </x:c>
      <x:c r="T23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33" s="28" t="str">
        <x:v>Кофе имеет профиль «жареный, ореховый, карамельный, цветочный, фруктовый, фенольный и древесный». Партнёр «sprouted chickpea»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3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33" s="28" t="str">
        <x:v>соль, ваниль или карамель</x:v>
      </x:c>
      <x:c r="X233" s="28" t="str">
        <x:v>кофейный напиток, холодный кофе, крем, сироп, десерт или соус с sprouted chickpea</x:v>
      </x:c>
      <x:c r="Y233" s="28" t="str">
        <x:v>напитки, еда, соусы/маринады</x:v>
      </x:c>
      <x:c r="Z233" s="28" t="str">
        <x:v>Средняя</x:v>
      </x:c>
      <x:c r="AA233" s="28" t="str">
        <x:v>The Art &amp; Science of Foodpairing.pdf</x:v>
      </x:c>
      <x:c r="AB233" s="28" t="str">
        <x:v>The Art &amp; Science of Foodpairing.pdf: 297</x:v>
      </x:c>
      <x:c r="AC233" s="28" t="str">
        <x:v>Пара встречается как grid; научное объяснение сформировано по ароматическому профилю и пищевой матрице.</x:v>
      </x:c>
      <x:c r="AD233" s="28" t="n">
        <x:v>1</x:v>
      </x:c>
      <x:c r="AE233" s="28" t="n">
        <x:v>1</x:v>
      </x:c>
      <x:c r="AF233" s="28" t="n">
        <x:f>IF(Z233="Высокая",3,IF(Z233="Средняя",2,1))+AD233*2+MIN(AE233,3)</x:f>
        <x:v>5</x:v>
      </x:c>
    </x:row>
    <x:row r="234" ht="62" customHeight="1">
      <x:c r="A234" s="28" t="str">
        <x:v>NCT-0233</x:v>
      </x:c>
      <x:c r="B234" s="28" t="str">
        <x:v>кофе</x:v>
      </x:c>
      <x:c r="C234" s="28" t="str">
        <x:v>Еда и соусы</x:v>
      </x:c>
      <x:c r="D234" s="28" t="str">
        <x:v>кофе</x:v>
      </x:c>
      <x:c r="E234" s="28" t="str">
        <x:v>coffee</x:v>
      </x:c>
      <x:c r="F234" s="28" t="str">
        <x:v>Кофе</x:v>
      </x:c>
      <x:c r="G234" s="28" t="str">
        <x:v>stewed pork gravy</x:v>
      </x:c>
      <x:c r="H234" s="28" t="str">
        <x:v>stewed pork gravy</x:v>
      </x:c>
      <x:c r="I234" s="28" t="str">
        <x:v>Мясо и птица</x:v>
      </x:c>
      <x:c r="J234" s="28" t="str">
        <x:v>жареный, ореховый, карамельный, цветочный, фруктовый, фенольный и древесный</x:v>
      </x:c>
      <x:c r="K234" s="28" t="str">
        <x:v>жареный, мясной и умами</x:v>
      </x:c>
      <x:c r="L234" s="28" t="str">
        <x:v>пиразины, фураны, гваякол, 2-фурфурилтиол, диацетил</x:v>
      </x:c>
      <x:c r="M234" s="28" t="str">
        <x:v>пиразины, сернистые соединения</x:v>
      </x:c>
      <x:c r="N234" s="28" t="str">
        <x:v>жареный</x:v>
      </x:c>
      <x:c r="O234" s="28" t="str">
        <x:v>пиразины</x:v>
      </x:c>
      <x:c r="P23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234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34" s="28" t="str">
        <x:v>сухость и горечь; кофеин не имеет сильного запаха, но влияет на вкус и физиологию</x:v>
      </x:c>
      <x:c r="S234" s="28" t="str">
        <x:v>водный напиток с растворёнными кислотами, меланоидинами и маслами; в зерне — пористая обжаренная матрица</x:v>
      </x:c>
      <x:c r="T23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34" s="28" t="str">
        <x:v>Кофе имеет профиль «жареный, ореховый, карамельный, цветочный, фруктовый, фенольный и древесный». Партнёр «stewed pork gravy»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V23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34" s="28" t="str">
        <x:v>соль, соевый соус, коричневое масло или специя</x:v>
      </x:c>
      <x:c r="X234" s="28" t="str">
        <x:v>кофейный напиток, холодный кофе, крем, сироп, десерт или соус с stewed pork gravy</x:v>
      </x:c>
      <x:c r="Y234" s="28" t="str">
        <x:v>напитки, еда, соусы/маринады</x:v>
      </x:c>
      <x:c r="Z234" s="28" t="str">
        <x:v>Средняя</x:v>
      </x:c>
      <x:c r="AA234" s="28" t="str">
        <x:v>The Art &amp; Science of Foodpairing.pdf</x:v>
      </x:c>
      <x:c r="AB234" s="28" t="str">
        <x:v>The Art &amp; Science of Foodpairing.pdf: 297</x:v>
      </x:c>
      <x:c r="AC234" s="28" t="str">
        <x:v>Пара встречается как grid; научное объяснение сформировано по ароматическому профилю и пищевой матрице.</x:v>
      </x:c>
      <x:c r="AD234" s="28" t="n">
        <x:v>1</x:v>
      </x:c>
      <x:c r="AE234" s="28" t="n">
        <x:v>1</x:v>
      </x:c>
      <x:c r="AF234" s="28" t="n">
        <x:f>IF(Z234="Высокая",3,IF(Z234="Средняя",2,1))+AD234*2+MIN(AE234,3)</x:f>
        <x:v>5</x:v>
      </x:c>
    </x:row>
    <x:row r="235" ht="62" customHeight="1">
      <x:c r="A235" s="28" t="str">
        <x:v>NCT-0234</x:v>
      </x:c>
      <x:c r="B235" s="28" t="str">
        <x:v>кофе</x:v>
      </x:c>
      <x:c r="C235" s="28" t="str">
        <x:v>Десерты и выпечка</x:v>
      </x:c>
      <x:c r="D235" s="28" t="str">
        <x:v>кофе</x:v>
      </x:c>
      <x:c r="E235" s="28" t="str">
        <x:v>coffee</x:v>
      </x:c>
      <x:c r="F235" s="28" t="str">
        <x:v>Кофе</x:v>
      </x:c>
      <x:c r="G235" s="28" t="str">
        <x:v>strawberry jam</x:v>
      </x:c>
      <x:c r="H235" s="28" t="str">
        <x:v>strawberry jam</x:v>
      </x:c>
      <x:c r="I235" s="28" t="str">
        <x:v>Выпечка, сахара и десерты</x:v>
      </x:c>
      <x:c r="J235" s="28" t="str">
        <x:v>жареный, ореховый, карамельный, цветочный, фруктовый, фенольный и древесный</x:v>
      </x:c>
      <x:c r="K235" s="28" t="str">
        <x:v>сладкий, карамельный и жареный</x:v>
      </x:c>
      <x:c r="L235" s="28" t="str">
        <x:v>пиразины, фураны, гваякол, 2-фурфурилтиол, диацетил</x:v>
      </x:c>
      <x:c r="M235" s="28" t="str">
        <x:v>мальтол, пиразины, фураны</x:v>
      </x:c>
      <x:c r="N235" s="28" t="str">
        <x:v>жареный, карамельный</x:v>
      </x:c>
      <x:c r="O235" s="28" t="str">
        <x:v>пиразины, фураны</x:v>
      </x:c>
      <x:c r="P235" s="28" t="str">
        <x:v>общие ароматические соединения, пересечение ароматических семейств, жареная химия и реакции Майяра</x:v>
      </x:c>
      <x:c r="Q235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35" s="28" t="str">
        <x:v>сухость и горечь; кофеин не имеет сильного запаха, но влияет на вкус и физиологию</x:v>
      </x:c>
      <x:c r="S235" s="28" t="str">
        <x:v>водный напиток с растворёнными кислотами, меланоидинами и маслами; в зерне — пористая обжаренная матрица</x:v>
      </x:c>
      <x:c r="T23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35" s="28" t="str">
        <x:v>Кофе имеет профиль «жареный, ореховый, карамельный, цветочный, фруктовый, фенольный и древесный». Партнёр «strawberry jam»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жареный, карамельный; пиразины, фураны.</x:v>
      </x:c>
      <x:c r="V23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35" s="28" t="str">
        <x:v>соль, ваниль или карамель</x:v>
      </x:c>
      <x:c r="X235" s="28" t="str">
        <x:v>кофейный напиток, холодный кофе, крем, сироп, десерт или соус с strawberry jam</x:v>
      </x:c>
      <x:c r="Y235" s="28" t="str">
        <x:v>напитки, десерты</x:v>
      </x:c>
      <x:c r="Z235" s="28" t="str">
        <x:v>Средняя</x:v>
      </x:c>
      <x:c r="AA235" s="28" t="str">
        <x:v>The Art &amp; Science of Foodpairing.pdf</x:v>
      </x:c>
      <x:c r="AB235" s="28" t="str">
        <x:v>The Art &amp; Science of Foodpairing.pdf: 297</x:v>
      </x:c>
      <x:c r="AC235" s="28" t="str">
        <x:v>Пара встречается как grid; научное объяснение сформировано по ароматическому профилю и пищевой матрице.</x:v>
      </x:c>
      <x:c r="AD235" s="28" t="n">
        <x:v>1</x:v>
      </x:c>
      <x:c r="AE235" s="28" t="n">
        <x:v>1</x:v>
      </x:c>
      <x:c r="AF235" s="28" t="n">
        <x:f>IF(Z235="Высокая",3,IF(Z235="Средняя",2,1))+AD235*2+MIN(AE235,3)</x:f>
        <x:v>5</x:v>
      </x:c>
    </x:row>
    <x:row r="236" ht="62" customHeight="1">
      <x:c r="A236" s="28" t="str">
        <x:v>NCT-0235</x:v>
      </x:c>
      <x:c r="B236" s="28" t="str">
        <x:v>кофе</x:v>
      </x:c>
      <x:c r="C236" s="28" t="str">
        <x:v>Еда и соусы</x:v>
      </x:c>
      <x:c r="D236" s="28" t="str">
        <x:v>кофе</x:v>
      </x:c>
      <x:c r="E236" s="28" t="str">
        <x:v>freshly brewedfilter coffee</x:v>
      </x:c>
      <x:c r="F236" s="28" t="str">
        <x:v>Кофе</x:v>
      </x:c>
      <x:c r="G236" s="28" t="str">
        <x:v>sweet potato</x:v>
      </x:c>
      <x:c r="H236" s="28" t="str">
        <x:v>sweet potato</x:v>
      </x:c>
      <x:c r="I236" s="28" t="str">
        <x:v>Овощи, бобовые и грибы</x:v>
      </x:c>
      <x:c r="J236" s="28" t="str">
        <x:v>жареный, ореховый, карамельный, цветочный, фруктовый, фенольный и древесный</x:v>
      </x:c>
      <x:c r="K236" s="28" t="str">
        <x:v>зелёный, землистый или умами</x:v>
      </x:c>
      <x:c r="L236" s="28" t="str">
        <x:v>пиразины, фураны, гваякол, 2-фурфурилтиол, диацетил</x:v>
      </x:c>
      <x:c r="M236" s="28" t="str">
        <x:v>альдегиды, сернистые соединения</x:v>
      </x:c>
      <x:c r="N236" s="28" t="str">
        <x:v>прямое пересечение семейств не является единственным объяснением</x:v>
      </x:c>
      <x:c r="O236" s="28" t="str">
        <x:v>надежная общая ключевая молекула не подтверждена</x:v>
      </x:c>
      <x:c r="P236" s="28" t="str">
        <x:v>сенсорная комплементарность</x:v>
      </x:c>
      <x:c r="Q236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36" s="28" t="str">
        <x:v>сухость и горечь; кофеин не имеет сильного запаха, но влияет на вкус и физиологию</x:v>
      </x:c>
      <x:c r="S236" s="28" t="str">
        <x:v>водный напиток с растворёнными кислотами, меланоидинами и маслами; в зерне — пористая обжаренная матрица</x:v>
      </x:c>
      <x:c r="T23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36" s="28" t="str">
        <x:v>Кофе имеет профиль «жареный, ореховый, карамельный, цветочный, фруктовый, фенольный и древесный». Партнёр «sweet potato»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3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36" s="28" t="str">
        <x:v>соль, ваниль или карамель</x:v>
      </x:c>
      <x:c r="X236" s="28" t="str">
        <x:v>кофейный напиток, холодный кофе, крем, сироп, десерт или соус с sweet potato</x:v>
      </x:c>
      <x:c r="Y236" s="28" t="str">
        <x:v>напитки, еда, соусы/маринады</x:v>
      </x:c>
      <x:c r="Z236" s="28" t="str">
        <x:v>Средняя</x:v>
      </x:c>
      <x:c r="AA236" s="28" t="str">
        <x:v>The Art &amp; Science of Foodpairing.pdf</x:v>
      </x:c>
      <x:c r="AB236" s="28" t="str">
        <x:v>The Art &amp; Science of Foodpairing.pdf: 119</x:v>
      </x:c>
      <x:c r="AC236" s="28" t="str">
        <x:v>Пара встречается как grid; научное объяснение сформировано по ароматическому профилю и пищевой матрице.</x:v>
      </x:c>
      <x:c r="AD236" s="28" t="n">
        <x:v>1</x:v>
      </x:c>
      <x:c r="AE236" s="28" t="n">
        <x:v>1</x:v>
      </x:c>
      <x:c r="AF236" s="28" t="n">
        <x:f>IF(Z236="Высокая",3,IF(Z236="Средняя",2,1))+AD236*2+MIN(AE236,3)</x:f>
        <x:v>5</x:v>
      </x:c>
    </x:row>
    <x:row r="237" ht="62" customHeight="1">
      <x:c r="A237" s="28" t="str">
        <x:v>NCT-0236</x:v>
      </x:c>
      <x:c r="B237" s="28" t="str">
        <x:v>кофе</x:v>
      </x:c>
      <x:c r="C237" s="28" t="str">
        <x:v>Десерты и выпечка</x:v>
      </x:c>
      <x:c r="D237" s="28" t="str">
        <x:v>кофе</x:v>
      </x:c>
      <x:c r="E237" s="28" t="str">
        <x:v>coffee</x:v>
      </x:c>
      <x:c r="F237" s="28" t="str">
        <x:v>Кофе</x:v>
      </x:c>
      <x:c r="G237" s="28" t="str">
        <x:v>white toastingbread</x:v>
      </x:c>
      <x:c r="H237" s="28" t="str">
        <x:v>white toastingbread</x:v>
      </x:c>
      <x:c r="I237" s="28" t="str">
        <x:v>Выпечка, сахара и десерты</x:v>
      </x:c>
      <x:c r="J237" s="28" t="str">
        <x:v>жареный, ореховый, карамельный, цветочный, фруктовый, фенольный и древесный</x:v>
      </x:c>
      <x:c r="K237" s="28" t="str">
        <x:v>сладкий, карамельный и жареный</x:v>
      </x:c>
      <x:c r="L237" s="28" t="str">
        <x:v>пиразины, фураны, гваякол, 2-фурфурилтиол, диацетил</x:v>
      </x:c>
      <x:c r="M237" s="28" t="str">
        <x:v>мальтол, пиразины, фураны</x:v>
      </x:c>
      <x:c r="N237" s="28" t="str">
        <x:v>жареный, карамельный</x:v>
      </x:c>
      <x:c r="O237" s="28" t="str">
        <x:v>пиразины, фураны</x:v>
      </x:c>
      <x:c r="P237" s="28" t="str">
        <x:v>общие ароматические соединения, пересечение ароматических семейств, жареная химия и реакции Майяра</x:v>
      </x:c>
      <x:c r="Q237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37" s="28" t="str">
        <x:v>сухость и горечь; кофеин не имеет сильного запаха, но влияет на вкус и физиологию</x:v>
      </x:c>
      <x:c r="S237" s="28" t="str">
        <x:v>водный напиток с растворёнными кислотами, меланоидинами и маслами; в зерне — пористая обжаренная матрица</x:v>
      </x:c>
      <x:c r="T23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37" s="28" t="str">
        <x:v>Кофе имеет профиль «жареный, ореховый, карамельный, цветочный, фруктовый, фенольный и древесный». Партнёр «white toastingbread»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жареный, карамельный; пиразины, фураны.</x:v>
      </x:c>
      <x:c r="V23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37" s="28" t="str">
        <x:v>соль, ваниль или карамель</x:v>
      </x:c>
      <x:c r="X237" s="28" t="str">
        <x:v>кофейный напиток, холодный кофе, крем, сироп, десерт или соус с white toastingbread</x:v>
      </x:c>
      <x:c r="Y237" s="28" t="str">
        <x:v>напитки, десерты</x:v>
      </x:c>
      <x:c r="Z237" s="28" t="str">
        <x:v>Средняя</x:v>
      </x:c>
      <x:c r="AA237" s="28" t="str">
        <x:v>The Art &amp; Science of Foodpairing.pdf</x:v>
      </x:c>
      <x:c r="AB237" s="28" t="str">
        <x:v>The Art &amp; Science of Foodpairing.pdf: 297</x:v>
      </x:c>
      <x:c r="AC237" s="28" t="str">
        <x:v>Пара встречается как grid; научное объяснение сформировано по ароматическому профилю и пищевой матрице.</x:v>
      </x:c>
      <x:c r="AD237" s="28" t="n">
        <x:v>1</x:v>
      </x:c>
      <x:c r="AE237" s="28" t="n">
        <x:v>1</x:v>
      </x:c>
      <x:c r="AF237" s="28" t="n">
        <x:f>IF(Z237="Высокая",3,IF(Z237="Средняя",2,1))+AD237*2+MIN(AE237,3)</x:f>
        <x:v>5</x:v>
      </x:c>
    </x:row>
    <x:row r="238" ht="62" customHeight="1">
      <x:c r="A238" s="28" t="str">
        <x:v>NCT-0237</x:v>
      </x:c>
      <x:c r="B238" s="28" t="str">
        <x:v>кофе</x:v>
      </x:c>
      <x:c r="C238" s="28" t="str">
        <x:v>Десерты и выпечка</x:v>
      </x:c>
      <x:c r="D238" s="28" t="str">
        <x:v>кофе</x:v>
      </x:c>
      <x:c r="E238" s="28" t="str">
        <x:v>Кофе</x:v>
      </x:c>
      <x:c r="F238" s="28" t="str">
        <x:v>Кофе</x:v>
      </x:c>
      <x:c r="G238" s="28" t="str">
        <x:v>абрикос</x:v>
      </x:c>
      <x:c r="H238" s="28" t="str">
        <x:v>абрикос</x:v>
      </x:c>
      <x:c r="I238" s="28" t="str">
        <x:v>Фрукты и ягоды</x:v>
      </x:c>
      <x:c r="J238" s="28" t="str">
        <x:v>жареный, ореховый, карамельный, цветочный, фруктовый, фенольный и древесный</x:v>
      </x:c>
      <x:c r="K238" s="28" t="str">
        <x:v>лактонный, миндальный, фруктовый</x:v>
      </x:c>
      <x:c r="L238" s="28" t="str">
        <x:v>пиразины, фураны, гваякол, 2-фурфурилтиол, диацетил</x:v>
      </x:c>
      <x:c r="M238" s="28" t="str">
        <x:v>бензальдегид, лактоны</x:v>
      </x:c>
      <x:c r="N238" s="28" t="str">
        <x:v>прямое пересечение семейств не является единственным объяснением</x:v>
      </x:c>
      <x:c r="O238" s="28" t="str">
        <x:v>надежная общая ключевая молекула не подтверждена</x:v>
      </x:c>
      <x:c r="P238" s="28" t="str">
        <x:v>контраст кислоты и жирной/горькой матрицы</x:v>
      </x:c>
      <x:c r="Q238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38" s="28" t="str">
        <x:v>сухость и горечь; кофеин не имеет сильного запаха, но влияет на вкус и физиологию</x:v>
      </x:c>
      <x:c r="S238" s="28" t="str">
        <x:v>водный напиток с растворёнными кислотами, меланоидинами и маслами; в зерне — пористая обжаренная матрица Водная фруктовая фаза требует эмульсии или мелкого измельчения, если орех или шоколад вводится как паста.</x:v>
      </x:c>
      <x:c r="T23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38" s="28" t="str">
        <x:v>Кофе имеет профиль «жареный, ореховый, карамельный, цветочный, фруктовый, фенольный и древесный». Партнёр «абрикос» относится к группе «Фрукты и ягоды» и даёт лактонный, миндальный, фруктовый.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3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W238" s="28" t="str">
        <x:v>ваниль, цитрус или молочный жир</x:v>
      </x:c>
      <x:c r="X238" s="28" t="str">
        <x:v>кофейный напиток, холодный кофе, крем, сироп, десерт или соус с абрикос</x:v>
      </x:c>
      <x:c r="Y238" s="28" t="str">
        <x:v>напитки, десерты</x:v>
      </x:c>
      <x:c r="Z238" s="28" t="str">
        <x:v>Гипотеза / практическая</x:v>
      </x:c>
      <x:c r="AA238" s="28" t="str">
        <x:v>Таблица сочетания(1).pdf</x:v>
      </x:c>
      <x:c r="AB238" s="28" t="str">
        <x:v>Таблица сочетания(1).pdf: 6</x:v>
      </x:c>
      <x:c r="AC238" s="28" t="str">
        <x:v>Пара встречается как table; научное объяснение сформировано по ароматическому профилю и пищевой матрице.</x:v>
      </x:c>
      <x:c r="AD238" s="28" t="n">
        <x:v>1</x:v>
      </x:c>
      <x:c r="AE238" s="28" t="n">
        <x:v>1</x:v>
      </x:c>
      <x:c r="AF238" s="28" t="n">
        <x:f>IF(Z238="Высокая",3,IF(Z238="Средняя",2,1))+AD238*2+MIN(AE238,3)</x:f>
        <x:v>4</x:v>
      </x:c>
    </x:row>
    <x:row r="239" ht="62" customHeight="1">
      <x:c r="A239" s="28" t="str">
        <x:v>NCT-0238</x:v>
      </x:c>
      <x:c r="B239" s="28" t="str">
        <x:v>кофе</x:v>
      </x:c>
      <x:c r="C239" s="28" t="str">
        <x:v>Универсальные</x:v>
      </x:c>
      <x:c r="D239" s="28" t="str">
        <x:v>кофе</x:v>
      </x:c>
      <x:c r="E239" s="28" t="str">
        <x:v>Кофе | кофе</x:v>
      </x:c>
      <x:c r="F239" s="28" t="str">
        <x:v>Кофе</x:v>
      </x:c>
      <x:c r="G239" s="28" t="str">
        <x:v>авокадо</x:v>
      </x:c>
      <x:c r="H239" s="28" t="str">
        <x:v>Авокадо | авокадо</x:v>
      </x:c>
      <x:c r="I239" s="28" t="str">
        <x:v>Прочее</x:v>
      </x:c>
      <x:c r="J239" s="28" t="str">
        <x:v>жареный, ореховый, карамельный, цветочный, фруктовый, фенольный и древесный</x:v>
      </x:c>
      <x:c r="K239" s="28" t="str">
        <x:v>профиль зависит от конкретного продукта</x:v>
      </x:c>
      <x:c r="L239" s="28" t="str">
        <x:v>пиразины, фураны, гваякол, 2-фурфурилтиол, диацетил</x:v>
      </x:c>
      <x:c r="M239" s="28" t="str">
        <x:v>характерный профиль зависит от конкретного продукта</x:v>
      </x:c>
      <x:c r="N239" s="28" t="str">
        <x:v>прямое пересечение семейств не является единственным объяснением</x:v>
      </x:c>
      <x:c r="O239" s="28" t="str">
        <x:v>надежная общая ключевая молекула не подтверждена</x:v>
      </x:c>
      <x:c r="P239" s="28" t="str">
        <x:v>сенсорная комплементарность</x:v>
      </x:c>
      <x:c r="Q239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39" s="28" t="str">
        <x:v>сухость и горечь; кофеин не имеет сильного запаха, но влияет на вкус и физиологию</x:v>
      </x:c>
      <x:c r="S239" s="28" t="str">
        <x:v>водный напиток с растворёнными кислотами, меланоидинами и маслами; в зерне — пористая обжаренная матрица</x:v>
      </x:c>
      <x:c r="T23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39" s="28" t="str">
        <x:v>Кофе имеет профиль «жареный, ореховый, карамельный, цветочный, фруктовый, фенольный и древесный». Партнёр «авокадо»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3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39" s="28" t="str">
        <x:v>соль, ваниль или карамель</x:v>
      </x:c>
      <x:c r="X239" s="28" t="str">
        <x:v>кофейный напиток, холодный кофе, крем, сироп, десерт или соус с авокадо</x:v>
      </x:c>
      <x:c r="Y239" s="28" t="str">
        <x:v>напитки</x:v>
      </x:c>
      <x:c r="Z239" s="28" t="str">
        <x:v>Средняя</x:v>
      </x:c>
      <x:c r="AA239" s="28" t="str">
        <x:v>Тезариус вкусов (Ники Сегнит)(1).pdf</x:v>
      </x:c>
      <x:c r="AB239" s="28" t="str">
        <x:v>Тезариус вкусов (Ники Сегнит)(1).pdf: 42, 527</x:v>
      </x:c>
      <x:c r="AC239" s="28" t="str">
        <x:v>Пара встречается как thesaurus; научное объяснение сформировано по ароматическому профилю и пищевой матрице.</x:v>
      </x:c>
      <x:c r="AD239" s="28" t="n">
        <x:v>1</x:v>
      </x:c>
      <x:c r="AE239" s="28" t="n">
        <x:v>2</x:v>
      </x:c>
      <x:c r="AF239" s="28" t="n">
        <x:f>IF(Z239="Высокая",3,IF(Z239="Средняя",2,1))+AD239*2+MIN(AE239,3)</x:f>
        <x:v>6</x:v>
      </x:c>
    </x:row>
    <x:row r="240" ht="62" customHeight="1">
      <x:c r="A240" s="28" t="str">
        <x:v>NCT-0239</x:v>
      </x:c>
      <x:c r="B240" s="28" t="str">
        <x:v>кофе</x:v>
      </x:c>
      <x:c r="C240" s="28" t="str">
        <x:v>Универсальные</x:v>
      </x:c>
      <x:c r="D240" s="28" t="str">
        <x:v>кофе</x:v>
      </x:c>
      <x:c r="E240" s="28" t="str">
        <x:v>кофе</x:v>
      </x:c>
      <x:c r="F240" s="28" t="str">
        <x:v>Кофе</x:v>
      </x:c>
      <x:c r="G240" s="28" t="str">
        <x:v>агава</x:v>
      </x:c>
      <x:c r="H240" s="28" t="str">
        <x:v>Агава</x:v>
      </x:c>
      <x:c r="I240" s="28" t="str">
        <x:v>Прочее</x:v>
      </x:c>
      <x:c r="J240" s="28" t="str">
        <x:v>жареный, ореховый, карамельный, цветочный, фруктовый, фенольный и древесный</x:v>
      </x:c>
      <x:c r="K240" s="28" t="str">
        <x:v>профиль зависит от конкретного продукта</x:v>
      </x:c>
      <x:c r="L240" s="28" t="str">
        <x:v>пиразины, фураны, гваякол, 2-фурфурилтиол, диацетил</x:v>
      </x:c>
      <x:c r="M240" s="28" t="str">
        <x:v>характерный профиль зависит от конкретного продукта</x:v>
      </x:c>
      <x:c r="N240" s="28" t="str">
        <x:v>прямое пересечение семейств не является единственным объяснением</x:v>
      </x:c>
      <x:c r="O240" s="28" t="str">
        <x:v>надежная общая ключевая молекула не подтверждена</x:v>
      </x:c>
      <x:c r="P240" s="28" t="str">
        <x:v>сенсорная комплементарность</x:v>
      </x:c>
      <x:c r="Q240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40" s="28" t="str">
        <x:v>сухость и горечь; кофеин не имеет сильного запаха, но влияет на вкус и физиологию</x:v>
      </x:c>
      <x:c r="S240" s="28" t="str">
        <x:v>водный напиток с растворёнными кислотами, меланоидинами и маслами; в зерне — пористая обжаренная матрица</x:v>
      </x:c>
      <x:c r="T24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40" s="28" t="str">
        <x:v>Кофе имеет профиль «жареный, ореховый, карамельный, цветочный, фруктовый, фенольный и древесный». Партнёр «агава»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4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40" s="28" t="str">
        <x:v>соль, ваниль или карамель</x:v>
      </x:c>
      <x:c r="X240" s="28" t="str">
        <x:v>кофейный напиток, холодный кофе, крем, сироп, десерт или соус с агава</x:v>
      </x:c>
      <x:c r="Y240" s="28" t="str">
        <x:v>напитки</x:v>
      </x:c>
      <x:c r="Z240" s="28" t="str">
        <x:v>Гипотеза / практическая</x:v>
      </x:c>
      <x:c r="AA240" s="28" t="str">
        <x:v>Таблица сочетания(1).pdf</x:v>
      </x:c>
      <x:c r="AB240" s="28" t="str">
        <x:v>Таблица сочетания(1).pdf: 1</x:v>
      </x:c>
      <x:c r="AC240" s="28" t="str">
        <x:v>Пара встречается как table; научное объяснение сформировано по ароматическому профилю и пищевой матрице.</x:v>
      </x:c>
      <x:c r="AD240" s="28" t="n">
        <x:v>1</x:v>
      </x:c>
      <x:c r="AE240" s="28" t="n">
        <x:v>1</x:v>
      </x:c>
      <x:c r="AF240" s="28" t="n">
        <x:f>IF(Z240="Высокая",3,IF(Z240="Средняя",2,1))+AD240*2+MIN(AE240,3)</x:f>
        <x:v>4</x:v>
      </x:c>
    </x:row>
    <x:row r="241" ht="62" customHeight="1">
      <x:c r="A241" s="28" t="str">
        <x:v>NCT-0240</x:v>
      </x:c>
      <x:c r="B241" s="28" t="str">
        <x:v>кофе</x:v>
      </x:c>
      <x:c r="C241" s="28" t="str">
        <x:v>Десерты и выпечка</x:v>
      </x:c>
      <x:c r="D241" s="28" t="str">
        <x:v>кофе</x:v>
      </x:c>
      <x:c r="E241" s="28" t="str">
        <x:v>Arabica coffee | coffee</x:v>
      </x:c>
      <x:c r="F241" s="28" t="str">
        <x:v>Кофе</x:v>
      </x:c>
      <x:c r="G241" s="28" t="str">
        <x:v>акациевый мёд</x:v>
      </x:c>
      <x:c r="H241" s="28" t="str">
        <x:v>acacia honey</x:v>
      </x:c>
      <x:c r="I241" s="28" t="str">
        <x:v>Выпечка, сахара и десерты</x:v>
      </x:c>
      <x:c r="J241" s="28" t="str">
        <x:v>жареный, ореховый, карамельный, цветочный, фруктовый, фенольный и древесный</x:v>
      </x:c>
      <x:c r="K241" s="28" t="str">
        <x:v>медовый, цветочный</x:v>
      </x:c>
      <x:c r="L241" s="28" t="str">
        <x:v>пиразины, фураны, гваякол, 2-фурфурилтиол, диацетил</x:v>
      </x:c>
      <x:c r="M241" s="28" t="str">
        <x:v>норизопреноиды, фенилуксусная кислота</x:v>
      </x:c>
      <x:c r="N241" s="28" t="str">
        <x:v>цветочный</x:v>
      </x:c>
      <x:c r="O241" s="28" t="str">
        <x:v>надежная общая ключевая молекула не подтверждена</x:v>
      </x:c>
      <x:c r="P241" s="28" t="str">
        <x:v>пересечение ароматических семейств, жареная химия и реакции Майяра</x:v>
      </x:c>
      <x:c r="Q241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41" s="28" t="str">
        <x:v>сухость и горечь; кофеин не имеет сильного запаха, но влияет на вкус и физиологию</x:v>
      </x:c>
      <x:c r="S241" s="28" t="str">
        <x:v>водный напиток с растворёнными кислотами, меланоидинами и маслами; в зерне — пористая обжаренная матрица</x:v>
      </x:c>
      <x:c r="T24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41" s="28" t="str">
        <x:v>Кофе имеет профиль «жареный, ореховый, карамельный, цветочный, фруктовый, фенольный и древесный». Партнёр «акациевый мёд» относится к группе «Выпечка, сахара и десерты» и даёт медовый, цветочный. Профили пересекаются в семействах: цветочный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V24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41" s="28" t="str">
        <x:v>соль, ваниль или карамель</x:v>
      </x:c>
      <x:c r="X241" s="28" t="str">
        <x:v>кофейный напиток, холодный кофе, крем, сироп, десерт или соус с акациевый мёд</x:v>
      </x:c>
      <x:c r="Y241" s="28" t="str">
        <x:v>напитки, десерты</x:v>
      </x:c>
      <x:c r="Z241" s="28" t="str">
        <x:v>Высокая</x:v>
      </x:c>
      <x:c r="AA241" s="28" t="str">
        <x:v>The Art &amp; Science of Foodpairing.pdf</x:v>
      </x:c>
      <x:c r="AB241" s="28" t="str">
        <x:v>The Art &amp; Science of Foodpairing.pdf: 297</x:v>
      </x:c>
      <x:c r="AC241" s="28" t="str">
        <x:v>Пара встречается как grid, potential; научное объяснение сформировано по ароматическому профилю и пищевой матрице.</x:v>
      </x:c>
      <x:c r="AD241" s="28" t="n">
        <x:v>1</x:v>
      </x:c>
      <x:c r="AE241" s="28" t="n">
        <x:v>2</x:v>
      </x:c>
      <x:c r="AF241" s="28" t="n">
        <x:f>IF(Z241="Высокая",3,IF(Z241="Средняя",2,1))+AD241*2+MIN(AE241,3)</x:f>
        <x:v>7</x:v>
      </x:c>
    </x:row>
    <x:row r="242" ht="62" customHeight="1">
      <x:c r="A242" s="28" t="str">
        <x:v>NCT-0241</x:v>
      </x:c>
      <x:c r="B242" s="28" t="str">
        <x:v>кофе</x:v>
      </x:c>
      <x:c r="C242" s="28" t="str">
        <x:v>Универсальные</x:v>
      </x:c>
      <x:c r="D242" s="28" t="str">
        <x:v>кофе</x:v>
      </x:c>
      <x:c r="E242" s="28" t="str">
        <x:v>Кофе</x:v>
      </x:c>
      <x:c r="F242" s="28" t="str">
        <x:v>Кофе</x:v>
      </x:c>
      <x:c r="G242" s="28" t="str">
        <x:v>анис</x:v>
      </x:c>
      <x:c r="H242" s="28" t="str">
        <x:v>анис</x:v>
      </x:c>
      <x:c r="I242" s="28" t="str">
        <x:v>Прочее</x:v>
      </x:c>
      <x:c r="J242" s="28" t="str">
        <x:v>жареный, ореховый, карамельный, цветочный, фруктовый, фенольный и древесный</x:v>
      </x:c>
      <x:c r="K242" s="28" t="str">
        <x:v>профиль зависит от конкретного продукта</x:v>
      </x:c>
      <x:c r="L242" s="28" t="str">
        <x:v>пиразины, фураны, гваякол, 2-фурфурилтиол, диацетил</x:v>
      </x:c>
      <x:c r="M242" s="28" t="str">
        <x:v>характерный профиль зависит от конкретного продукта</x:v>
      </x:c>
      <x:c r="N242" s="28" t="str">
        <x:v>прямое пересечение семейств не является единственным объяснением</x:v>
      </x:c>
      <x:c r="O242" s="28" t="str">
        <x:v>надежная общая ключевая молекула не подтверждена</x:v>
      </x:c>
      <x:c r="P242" s="28" t="str">
        <x:v>сенсорная комплементарность</x:v>
      </x:c>
      <x:c r="Q242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42" s="28" t="str">
        <x:v>сухость и горечь; кофеин не имеет сильного запаха, но влияет на вкус и физиологию</x:v>
      </x:c>
      <x:c r="S242" s="28" t="str">
        <x:v>водный напиток с растворёнными кислотами, меланоидинами и маслами; в зерне — пористая обжаренная матрица</x:v>
      </x:c>
      <x:c r="T24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42" s="28" t="str">
        <x:v>Кофе имеет профиль «жареный, ореховый, карамельный, цветочный, фруктовый, фенольный и древесный». Партнёр «анис»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4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42" s="28" t="str">
        <x:v>соль, ваниль или карамель</x:v>
      </x:c>
      <x:c r="X242" s="28" t="str">
        <x:v>кофейный напиток, холодный кофе, крем, сироп, десерт или соус с анис</x:v>
      </x:c>
      <x:c r="Y242" s="28" t="str">
        <x:v>напитки</x:v>
      </x:c>
      <x:c r="Z242" s="28" t="str">
        <x:v>Гипотеза / практическая</x:v>
      </x:c>
      <x:c r="AA242" s="28" t="str">
        <x:v>Таблица сочетания(1).pdf</x:v>
      </x:c>
      <x:c r="AB242" s="28" t="str">
        <x:v>Таблица сочетания(1).pdf: 6</x:v>
      </x:c>
      <x:c r="AC242" s="28" t="str">
        <x:v>Пара встречается как table; научное объяснение сформировано по ароматическому профилю и пищевой матрице.</x:v>
      </x:c>
      <x:c r="AD242" s="28" t="n">
        <x:v>1</x:v>
      </x:c>
      <x:c r="AE242" s="28" t="n">
        <x:v>1</x:v>
      </x:c>
      <x:c r="AF242" s="28" t="n">
        <x:f>IF(Z242="Высокая",3,IF(Z242="Средняя",2,1))+AD242*2+MIN(AE242,3)</x:f>
        <x:v>4</x:v>
      </x:c>
    </x:row>
    <x:row r="243" ht="62" customHeight="1">
      <x:c r="A243" s="28" t="str">
        <x:v>NCT-0242</x:v>
      </x:c>
      <x:c r="B243" s="28" t="str">
        <x:v>кофе</x:v>
      </x:c>
      <x:c r="C243" s="28" t="str">
        <x:v>Десерты и выпечка</x:v>
      </x:c>
      <x:c r="D243" s="28" t="str">
        <x:v>кофе</x:v>
      </x:c>
      <x:c r="E243" s="28" t="str">
        <x:v>coffee liqueur | Кофе | кофе</x:v>
      </x:c>
      <x:c r="F243" s="28" t="str">
        <x:v>Кофе</x:v>
      </x:c>
      <x:c r="G243" s="28" t="str">
        <x:v>апельсин</x:v>
      </x:c>
      <x:c r="H243" s="28" t="str">
        <x:v>orange | Апельсин | апельсин</x:v>
      </x:c>
      <x:c r="I243" s="28" t="str">
        <x:v>Фрукты и ягоды</x:v>
      </x:c>
      <x:c r="J243" s="28" t="str">
        <x:v>жареный, ореховый, карамельный, цветочный, фруктовый, фенольный и древесный</x:v>
      </x:c>
      <x:c r="K243" s="28" t="str">
        <x:v>сладкий, цитрусовый</x:v>
      </x:c>
      <x:c r="L243" s="28" t="str">
        <x:v>пиразины, фураны, гваякол, 2-фурфурилтиол, диацетил</x:v>
      </x:c>
      <x:c r="M243" s="28" t="str">
        <x:v>лимонен, линалоол</x:v>
      </x:c>
      <x:c r="N243" s="28" t="str">
        <x:v>прямое пересечение семейств не является единственным объяснением</x:v>
      </x:c>
      <x:c r="O243" s="28" t="str">
        <x:v>надежная общая ключевая молекула не подтверждена</x:v>
      </x:c>
      <x:c r="P243" s="28" t="str">
        <x:v>контраст кислоты и жирной/горькой матрицы</x:v>
      </x:c>
      <x:c r="Q243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43" s="28" t="str">
        <x:v>сухость и горечь; кофеин не имеет сильного запаха, но влияет на вкус и физиологию</x:v>
      </x:c>
      <x:c r="S243" s="28" t="str">
        <x:v>водный напиток с растворёнными кислотами, меланоидинами и маслами; в зерне — пористая обжаренная матрица Водная фруктовая фаза требует эмульсии или мелкого измельчения, если орех или шоколад вводится как паста.</x:v>
      </x:c>
      <x:c r="T24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43" s="28" t="str">
        <x:v>Кофе имеет профиль «жареный, ореховый, карамельный, цветочный, фруктовый, фенольный и древесный». Партнёр «апельсин»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4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W243" s="28" t="str">
        <x:v>ваниль, цитрус или молочный жир</x:v>
      </x:c>
      <x:c r="X243" s="28" t="str">
        <x:v>кофейный напиток, холодный кофе, крем, сироп, десерт или соус с апельсин</x:v>
      </x:c>
      <x:c r="Y243" s="28" t="str">
        <x:v>напитки, десерты</x:v>
      </x:c>
      <x:c r="Z243" s="28" t="str">
        <x:v>Высокая</x:v>
      </x:c>
      <x:c r="AA243" s="28" t="str">
        <x:v>The Art &amp; Science of Foodpairing.pdf | Таблица сочетания(1).pdf | Тезариус вкусов (Ники Сегнит)(1).pdf</x:v>
      </x:c>
      <x:c r="AB243" s="28" t="str">
        <x:v>The Art &amp; Science of Foodpairing.pdf: 236; Таблица сочетания(1).pdf: 6; Тезариус вкусов (Ники Сегнит)(1).pdf: 42, 776</x:v>
      </x:c>
      <x:c r="AC243" s="28" t="str">
        <x:v>Пара встречается как grid, table, thesaurus; научное объяснение сформировано по ароматическому профилю и пищевой матрице.</x:v>
      </x:c>
      <x:c r="AD243" s="28" t="n">
        <x:v>3</x:v>
      </x:c>
      <x:c r="AE243" s="28" t="n">
        <x:v>4</x:v>
      </x:c>
      <x:c r="AF243" s="28" t="n">
        <x:f>IF(Z243="Высокая",3,IF(Z243="Средняя",2,1))+AD243*2+MIN(AE243,3)</x:f>
        <x:v>12</x:v>
      </x:c>
    </x:row>
    <x:row r="244" ht="62" customHeight="1">
      <x:c r="A244" s="28" t="str">
        <x:v>NCT-0243</x:v>
      </x:c>
      <x:c r="B244" s="28" t="str">
        <x:v>кофе</x:v>
      </x:c>
      <x:c r="C244" s="28" t="str">
        <x:v>Десерты и выпечка</x:v>
      </x:c>
      <x:c r="D244" s="28" t="str">
        <x:v>кофе</x:v>
      </x:c>
      <x:c r="E244" s="28" t="str">
        <x:v>Кофе | кофе</x:v>
      </x:c>
      <x:c r="F244" s="28" t="str">
        <x:v>Кофе</x:v>
      </x:c>
      <x:c r="G244" s="28" t="str">
        <x:v>банан</x:v>
      </x:c>
      <x:c r="H244" s="28" t="str">
        <x:v>Банан | банан</x:v>
      </x:c>
      <x:c r="I244" s="28" t="str">
        <x:v>Фрукты и ягоды</x:v>
      </x:c>
      <x:c r="J244" s="28" t="str">
        <x:v>жареный, ореховый, карамельный, цветочный, фруктовый, фенольный и древесный</x:v>
      </x:c>
      <x:c r="K244" s="28" t="str">
        <x:v>сливочный, фруктовый</x:v>
      </x:c>
      <x:c r="L244" s="28" t="str">
        <x:v>пиразины, фураны, гваякол, 2-фурфурилтиол, диацетил</x:v>
      </x:c>
      <x:c r="M244" s="28" t="str">
        <x:v>изоамилацетат</x:v>
      </x:c>
      <x:c r="N244" s="28" t="str">
        <x:v>прямое пересечение семейств не является единственным объяснением</x:v>
      </x:c>
      <x:c r="O244" s="28" t="str">
        <x:v>надежная общая ключевая молекула не подтверждена</x:v>
      </x:c>
      <x:c r="P244" s="28" t="str">
        <x:v>контраст кислоты и жирной/горькой матрицы</x:v>
      </x:c>
      <x:c r="Q244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44" s="28" t="str">
        <x:v>сухость и горечь; кофеин не имеет сильного запаха, но влияет на вкус и физиологию</x:v>
      </x:c>
      <x:c r="S244" s="28" t="str">
        <x:v>водный напиток с растворёнными кислотами, меланоидинами и маслами; в зерне — пористая обжаренная матрица Водная фруктовая фаза требует эмульсии или мелкого измельчения, если орех или шоколад вводится как паста.</x:v>
      </x:c>
      <x:c r="T24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44" s="28" t="str">
        <x:v>Кофе имеет профиль «жареный, ореховый, карамельный, цветочный, фруктовый, фенольный и древесный».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4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W244" s="28" t="str">
        <x:v>ваниль, цитрус или молочный жир</x:v>
      </x:c>
      <x:c r="X244" s="28" t="str">
        <x:v>кофейный напиток, холодный кофе, крем, сироп, десерт или соус с банан</x:v>
      </x:c>
      <x:c r="Y244" s="28" t="str">
        <x:v>напитки, десерты</x:v>
      </x:c>
      <x:c r="Z244" s="28" t="str">
        <x:v>Высокая</x:v>
      </x:c>
      <x:c r="AA244" s="28" t="str">
        <x:v>Таблица сочетания(1).pdf | Тезариус вкусов (Ники Сегнит)(1).pdf</x:v>
      </x:c>
      <x:c r="AB244" s="28" t="str">
        <x:v>Таблица сочетания(1).pdf: 2; Тезариус вкусов (Ники Сегнит)(1).pdf: 43, 733</x:v>
      </x:c>
      <x:c r="AC244" s="28" t="str">
        <x:v>Пара встречается как table, thesaurus; научное объяснение сформировано по ароматическому профилю и пищевой матрице.</x:v>
      </x:c>
      <x:c r="AD244" s="28" t="n">
        <x:v>2</x:v>
      </x:c>
      <x:c r="AE244" s="28" t="n">
        <x:v>3</x:v>
      </x:c>
      <x:c r="AF244" s="28" t="n">
        <x:f>IF(Z244="Высокая",3,IF(Z244="Средняя",2,1))+AD244*2+MIN(AE244,3)</x:f>
        <x:v>10</x:v>
      </x:c>
    </x:row>
    <x:row r="245" ht="62" customHeight="1">
      <x:c r="A245" s="28" t="str">
        <x:v>NCT-0244</x:v>
      </x:c>
      <x:c r="B245" s="28" t="str">
        <x:v>кофе</x:v>
      </x:c>
      <x:c r="C245" s="28" t="str">
        <x:v>Универсальные</x:v>
      </x:c>
      <x:c r="D245" s="28" t="str">
        <x:v>кофе</x:v>
      </x:c>
      <x:c r="E245" s="28" t="str">
        <x:v>Кофе | кофе</x:v>
      </x:c>
      <x:c r="F245" s="28" t="str">
        <x:v>Кофе</x:v>
      </x:c>
      <x:c r="G245" s="28" t="str">
        <x:v>ваниль</x:v>
      </x:c>
      <x:c r="H245" s="28" t="str">
        <x:v>Ваниль | ваниль</x:v>
      </x:c>
      <x:c r="I245" s="28" t="str">
        <x:v>Специи</x:v>
      </x:c>
      <x:c r="J245" s="28" t="str">
        <x:v>жареный, ореховый, карамельный, цветочный, фруктовый, фенольный и древесный</x:v>
      </x:c>
      <x:c r="K245" s="28" t="str">
        <x:v>ванильный, цветочный</x:v>
      </x:c>
      <x:c r="L245" s="28" t="str">
        <x:v>пиразины, фураны, гваякол, 2-фурфурилтиол, диацетил</x:v>
      </x:c>
      <x:c r="M245" s="28" t="str">
        <x:v>ванилин</x:v>
      </x:c>
      <x:c r="N245" s="28" t="str">
        <x:v>цветочный</x:v>
      </x:c>
      <x:c r="O245" s="28" t="str">
        <x:v>надежная общая ключевая молекула не подтверждена</x:v>
      </x:c>
      <x:c r="P245" s="28" t="str">
        <x:v>пересечение ароматических семейств</x:v>
      </x:c>
      <x:c r="Q245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45" s="28" t="str">
        <x:v>сухость и горечь; кофеин не имеет сильного запаха, но влияет на вкус и физиологию</x:v>
      </x:c>
      <x:c r="S245" s="28" t="str">
        <x:v>водный напиток с растворёнными кислотами, меланоидинами и маслами; в зерне — пористая обжаренная матрица</x:v>
      </x:c>
      <x:c r="T24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45" s="28" t="str">
        <x:v>Кофе имеет профиль «жареный, ореховый, карамельный, цветочный, фруктовый, фенольный и древесный». Партнёр «ваниль» относится к группе «Специи» и даёт ванильный, цветочный. Профили пересекаются в семействах: цветочный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V24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45" s="28" t="str">
        <x:v>ваниль, апельсин или мёд</x:v>
      </x:c>
      <x:c r="X245" s="28" t="str">
        <x:v>кофейный напиток, холодный кофе, крем, сироп, десерт или соус с ваниль</x:v>
      </x:c>
      <x:c r="Y245" s="28" t="str">
        <x:v>напитки</x:v>
      </x:c>
      <x:c r="Z245" s="28" t="str">
        <x:v>Высокая</x:v>
      </x:c>
      <x:c r="AA245" s="28" t="str">
        <x:v>Таблица сочетания(1).pdf | Тезариус вкусов (Ники Сегнит)(1).pdf</x:v>
      </x:c>
      <x:c r="AB245" s="28" t="str">
        <x:v>Таблица сочетания(1).pdf: 6, 21; Тезариус вкусов (Ники Сегнит)(1).pdf: 43, 917</x:v>
      </x:c>
      <x:c r="AC245" s="28" t="str">
        <x:v>Пара встречается как table, thesaurus; научное объяснение сформировано по ароматическому профилю и пищевой матрице.</x:v>
      </x:c>
      <x:c r="AD245" s="28" t="n">
        <x:v>2</x:v>
      </x:c>
      <x:c r="AE245" s="28" t="n">
        <x:v>4</x:v>
      </x:c>
      <x:c r="AF245" s="28" t="n">
        <x:f>IF(Z245="Высокая",3,IF(Z245="Средняя",2,1))+AD245*2+MIN(AE245,3)</x:f>
        <x:v>10</x:v>
      </x:c>
    </x:row>
    <x:row r="246" ht="62" customHeight="1">
      <x:c r="A246" s="28" t="str">
        <x:v>NCT-0245</x:v>
      </x:c>
      <x:c r="B246" s="28" t="str">
        <x:v>кофе</x:v>
      </x:c>
      <x:c r="C246" s="28" t="str">
        <x:v>Десерты и выпечка</x:v>
      </x:c>
      <x:c r="D246" s="28" t="str">
        <x:v>кофе</x:v>
      </x:c>
      <x:c r="E246" s="28" t="str">
        <x:v>Кофе | кофе</x:v>
      </x:c>
      <x:c r="F246" s="28" t="str">
        <x:v>Кофе</x:v>
      </x:c>
      <x:c r="G246" s="28" t="str">
        <x:v>вишня</x:v>
      </x:c>
      <x:c r="H246" s="28" t="str">
        <x:v>Вишня | вишня</x:v>
      </x:c>
      <x:c r="I246" s="28" t="str">
        <x:v>Фрукты и ягоды</x:v>
      </x:c>
      <x:c r="J246" s="28" t="str">
        <x:v>жареный, ореховый, карамельный, цветочный, фруктовый, фенольный и древесный</x:v>
      </x:c>
      <x:c r="K246" s="28" t="str">
        <x:v>миндальный, фруктовый</x:v>
      </x:c>
      <x:c r="L246" s="28" t="str">
        <x:v>пиразины, фураны, гваякол, 2-фурфурилтиол, диацетил</x:v>
      </x:c>
      <x:c r="M246" s="28" t="str">
        <x:v>бензальдегид, эфиры</x:v>
      </x:c>
      <x:c r="N246" s="28" t="str">
        <x:v>прямое пересечение семейств не является единственным объяснением</x:v>
      </x:c>
      <x:c r="O246" s="28" t="str">
        <x:v>надежная общая ключевая молекула не подтверждена</x:v>
      </x:c>
      <x:c r="P246" s="28" t="str">
        <x:v>контраст кислоты и жирной/горькой матрицы</x:v>
      </x:c>
      <x:c r="Q246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46" s="28" t="str">
        <x:v>сухость и горечь; кофеин не имеет сильного запаха, но влияет на вкус и физиологию</x:v>
      </x:c>
      <x:c r="S246" s="28" t="str">
        <x:v>водный напиток с растворёнными кислотами, меланоидинами и маслами; в зерне — пористая обжаренная матрица Водная фруктовая фаза требует эмульсии или мелкого измельчения, если орех или шоколад вводится как паста.</x:v>
      </x:c>
      <x:c r="T24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46" s="28" t="str">
        <x:v>Кофе имеет профиль «жареный, ореховый, карамельный, цветочный, фруктовый, фенольный и древесный». Партнёр «вишня» относится к группе «Фрукты и ягоды» и даёт миндальный, фруктовый.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4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W246" s="28" t="str">
        <x:v>ваниль, цитрус или молочный жир</x:v>
      </x:c>
      <x:c r="X246" s="28" t="str">
        <x:v>кофейный напиток, холодный кофе, крем, сироп, десерт или соус с вишня</x:v>
      </x:c>
      <x:c r="Y246" s="28" t="str">
        <x:v>напитки, десерты</x:v>
      </x:c>
      <x:c r="Z246" s="28" t="str">
        <x:v>Высокая</x:v>
      </x:c>
      <x:c r="AA246" s="28" t="str">
        <x:v>Таблица сочетания(1).pdf | Тезариус вкусов (Ники Сегнит)(1).pdf</x:v>
      </x:c>
      <x:c r="AB246" s="28" t="str">
        <x:v>Таблица сочетания(1).pdf: 6; Тезариус вкусов (Ники Сегнит)(1).pdf: 43, 655</x:v>
      </x:c>
      <x:c r="AC246" s="28" t="str">
        <x:v>Пара встречается как table, thesaurus; научное объяснение сформировано по ароматическому профилю и пищевой матрице.</x:v>
      </x:c>
      <x:c r="AD246" s="28" t="n">
        <x:v>2</x:v>
      </x:c>
      <x:c r="AE246" s="28" t="n">
        <x:v>3</x:v>
      </x:c>
      <x:c r="AF246" s="28" t="n">
        <x:f>IF(Z246="Высокая",3,IF(Z246="Средняя",2,1))+AD246*2+MIN(AE246,3)</x:f>
        <x:v>10</x:v>
      </x:c>
    </x:row>
    <x:row r="247" ht="62" customHeight="1">
      <x:c r="A247" s="28" t="str">
        <x:v>NCT-0246</x:v>
      </x:c>
      <x:c r="B247" s="28" t="str">
        <x:v>кофе</x:v>
      </x:c>
      <x:c r="C247" s="28" t="str">
        <x:v>Универсальные</x:v>
      </x:c>
      <x:c r="D247" s="28" t="str">
        <x:v>кофе</x:v>
      </x:c>
      <x:c r="E247" s="28" t="str">
        <x:v>Кофе | кофе</x:v>
      </x:c>
      <x:c r="F247" s="28" t="str">
        <x:v>Кофе</x:v>
      </x:c>
      <x:c r="G247" s="28" t="str">
        <x:v>гвоздика</x:v>
      </x:c>
      <x:c r="H247" s="28" t="str">
        <x:v>Гвоздика | гвоздика</x:v>
      </x:c>
      <x:c r="I247" s="28" t="str">
        <x:v>Специи</x:v>
      </x:c>
      <x:c r="J247" s="28" t="str">
        <x:v>жареный, ореховый, карамельный, цветочный, фруктовый, фенольный и древесный</x:v>
      </x:c>
      <x:c r="K247" s="28" t="str">
        <x:v>древесный, пряный, фенольный</x:v>
      </x:c>
      <x:c r="L247" s="28" t="str">
        <x:v>пиразины, фураны, гваякол, 2-фурфурилтиол, диацетил</x:v>
      </x:c>
      <x:c r="M247" s="28" t="str">
        <x:v>эвгенол</x:v>
      </x:c>
      <x:c r="N247" s="28" t="str">
        <x:v>прямое пересечение семейств не является единственным объяснением</x:v>
      </x:c>
      <x:c r="O247" s="28" t="str">
        <x:v>надежная общая ключевая молекула не подтверждена</x:v>
      </x:c>
      <x:c r="P247" s="28" t="str">
        <x:v>сенсорная комплементарность</x:v>
      </x:c>
      <x:c r="Q247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47" s="28" t="str">
        <x:v>сухость и горечь; кофеин не имеет сильного запаха, но влияет на вкус и физиологию</x:v>
      </x:c>
      <x:c r="S247" s="28" t="str">
        <x:v>водный напиток с растворёнными кислотами, меланоидинами и маслами; в зерне — пористая обжаренная матрица</x:v>
      </x:c>
      <x:c r="T24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47" s="28" t="str">
        <x:v>Кофе имеет профиль «жареный, ореховый, карамельный, цветочный, фруктовый, фенольный и древесный». Партнёр «гвоздика» относится к группе «Специи» и даёт древесный, пряный, фенольный.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4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47" s="28" t="str">
        <x:v>ваниль, апельсин или мёд</x:v>
      </x:c>
      <x:c r="X247" s="28" t="str">
        <x:v>кофейный напиток, холодный кофе, крем, сироп, десерт или соус с гвоздика</x:v>
      </x:c>
      <x:c r="Y247" s="28" t="str">
        <x:v>напитки</x:v>
      </x:c>
      <x:c r="Z247" s="28" t="str">
        <x:v>Высокая</x:v>
      </x:c>
      <x:c r="AA247" s="28" t="str">
        <x:v>Таблица сочетания(1).pdf | Тезариус вкусов (Ники Сегнит)(1).pdf</x:v>
      </x:c>
      <x:c r="AB247" s="28" t="str">
        <x:v>Таблица сочетания(1).pdf: 6; Тезариус вкусов (Ники Сегнит)(1).pdf: 43, 583</x:v>
      </x:c>
      <x:c r="AC247" s="28" t="str">
        <x:v>Пара встречается как table, thesaurus; научное объяснение сформировано по ароматическому профилю и пищевой матрице.</x:v>
      </x:c>
      <x:c r="AD247" s="28" t="n">
        <x:v>2</x:v>
      </x:c>
      <x:c r="AE247" s="28" t="n">
        <x:v>3</x:v>
      </x:c>
      <x:c r="AF247" s="28" t="n">
        <x:f>IF(Z247="Высокая",3,IF(Z247="Средняя",2,1))+AD247*2+MIN(AE247,3)</x:f>
        <x:v>10</x:v>
      </x:c>
    </x:row>
    <x:row r="248" ht="62" customHeight="1">
      <x:c r="A248" s="28" t="str">
        <x:v>NCT-0247</x:v>
      </x:c>
      <x:c r="B248" s="28" t="str">
        <x:v>кофе</x:v>
      </x:c>
      <x:c r="C248" s="28" t="str">
        <x:v>Еда и соусы</x:v>
      </x:c>
      <x:c r="D248" s="28" t="str">
        <x:v>кофе</x:v>
      </x:c>
      <x:c r="E248" s="28" t="str">
        <x:v>Кофе | кофе</x:v>
      </x:c>
      <x:c r="F248" s="28" t="str">
        <x:v>Кофе</x:v>
      </x:c>
      <x:c r="G248" s="28" t="str">
        <x:v>говядина</x:v>
      </x:c>
      <x:c r="H248" s="28" t="str">
        <x:v>Говядина | говядина</x:v>
      </x:c>
      <x:c r="I248" s="28" t="str">
        <x:v>Мясо и птица</x:v>
      </x:c>
      <x:c r="J248" s="28" t="str">
        <x:v>жареный, ореховый, карамельный, цветочный, фруктовый, фенольный и древесный</x:v>
      </x:c>
      <x:c r="K248" s="28" t="str">
        <x:v>жареный, мясной и умами</x:v>
      </x:c>
      <x:c r="L248" s="28" t="str">
        <x:v>пиразины, фураны, гваякол, 2-фурфурилтиол, диацетил</x:v>
      </x:c>
      <x:c r="M248" s="28" t="str">
        <x:v>пиразины, сернистые соединения</x:v>
      </x:c>
      <x:c r="N248" s="28" t="str">
        <x:v>жареный</x:v>
      </x:c>
      <x:c r="O248" s="28" t="str">
        <x:v>пиразины</x:v>
      </x:c>
      <x:c r="P24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248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48" s="28" t="str">
        <x:v>сухость и горечь; кофеин не имеет сильного запаха, но влияет на вкус и физиологию</x:v>
      </x:c>
      <x:c r="S248" s="28" t="str">
        <x:v>водный напиток с растворёнными кислотами, меланоидинами и маслами; в зерне — пористая обжаренная матрица</x:v>
      </x:c>
      <x:c r="T24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48" s="28" t="str">
        <x:v>Кофе имеет профиль «жареный, ореховый, карамельный, цветочный, фруктовый, фенольный и древесный». Партнёр «говядина»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V24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48" s="28" t="str">
        <x:v>соль, соевый соус, коричневое масло или специя</x:v>
      </x:c>
      <x:c r="X248" s="28" t="str">
        <x:v>кофейный напиток, холодный кофе, крем, сироп, десерт или соус с говядина</x:v>
      </x:c>
      <x:c r="Y248" s="28" t="str">
        <x:v>напитки, еда, соусы/маринады</x:v>
      </x:c>
      <x:c r="Z248" s="28" t="str">
        <x:v>Средняя</x:v>
      </x:c>
      <x:c r="AA248" s="28" t="str">
        <x:v>Тезариус вкусов (Ники Сегнит)(1).pdf</x:v>
      </x:c>
      <x:c r="AB248" s="28" t="str">
        <x:v>Тезариус вкусов (Ники Сегнит)(1).pdf: 43, 113</x:v>
      </x:c>
      <x:c r="AC248" s="28" t="str">
        <x:v>Пара встречается как thesaurus; научное объяснение сформировано по ароматическому профилю и пищевой матрице.</x:v>
      </x:c>
      <x:c r="AD248" s="28" t="n">
        <x:v>1</x:v>
      </x:c>
      <x:c r="AE248" s="28" t="n">
        <x:v>2</x:v>
      </x:c>
      <x:c r="AF248" s="28" t="n">
        <x:f>IF(Z248="Высокая",3,IF(Z248="Средняя",2,1))+AD248*2+MIN(AE248,3)</x:f>
        <x:v>6</x:v>
      </x:c>
    </x:row>
    <x:row r="249" ht="62" customHeight="1">
      <x:c r="A249" s="28" t="str">
        <x:v>NCT-0248</x:v>
      </x:c>
      <x:c r="B249" s="28" t="str">
        <x:v>кофе</x:v>
      </x:c>
      <x:c r="C249" s="28" t="str">
        <x:v>Универсальные</x:v>
      </x:c>
      <x:c r="D249" s="28" t="str">
        <x:v>кофе</x:v>
      </x:c>
      <x:c r="E249" s="28" t="str">
        <x:v>coffee</x:v>
      </x:c>
      <x:c r="F249" s="28" t="str">
        <x:v>Кофе</x:v>
      </x:c>
      <x:c r="G249" s="28" t="str">
        <x:v>гранатовый сок</x:v>
      </x:c>
      <x:c r="H249" s="28" t="str">
        <x:v>pomegranatejuice</x:v>
      </x:c>
      <x:c r="I249" s="28" t="str">
        <x:v>Прочее</x:v>
      </x:c>
      <x:c r="J249" s="28" t="str">
        <x:v>жареный, ореховый, карамельный, цветочный, фруктовый, фенольный и древесный</x:v>
      </x:c>
      <x:c r="K249" s="28" t="str">
        <x:v>профиль зависит от конкретного продукта</x:v>
      </x:c>
      <x:c r="L249" s="28" t="str">
        <x:v>пиразины, фураны, гваякол, 2-фурфурилтиол, диацетил</x:v>
      </x:c>
      <x:c r="M249" s="28" t="str">
        <x:v>характерный профиль зависит от конкретного продукта</x:v>
      </x:c>
      <x:c r="N249" s="28" t="str">
        <x:v>прямое пересечение семейств не является единственным объяснением</x:v>
      </x:c>
      <x:c r="O249" s="28" t="str">
        <x:v>надежная общая ключевая молекула не подтверждена</x:v>
      </x:c>
      <x:c r="P249" s="28" t="str">
        <x:v>сенсорная комплементарность</x:v>
      </x:c>
      <x:c r="Q249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49" s="28" t="str">
        <x:v>сухость и горечь; кофеин не имеет сильного запаха, но влияет на вкус и физиологию</x:v>
      </x:c>
      <x:c r="S249" s="28" t="str">
        <x:v>водный напиток с растворёнными кислотами, меланоидинами и маслами; в зерне — пористая обжаренная матрица</x:v>
      </x:c>
      <x:c r="T24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49" s="28" t="str">
        <x:v>Кофе имеет профиль «жареный, ореховый, карамельный, цветочный, фруктовый, фенольный и древесный». Партнёр «гранатовый сок»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4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49" s="28" t="str">
        <x:v>соль, ваниль или карамель</x:v>
      </x:c>
      <x:c r="X249" s="28" t="str">
        <x:v>кофейный напиток, холодный кофе, крем, сироп, десерт или соус с гранатовый сок</x:v>
      </x:c>
      <x:c r="Y249" s="28" t="str">
        <x:v>напитки</x:v>
      </x:c>
      <x:c r="Z249" s="28" t="str">
        <x:v>Средняя</x:v>
      </x:c>
      <x:c r="AA249" s="28" t="str">
        <x:v>The Art &amp; Science of Foodpairing.pdf</x:v>
      </x:c>
      <x:c r="AB249" s="28" t="str">
        <x:v>The Art &amp; Science of Foodpairing.pdf: 297</x:v>
      </x:c>
      <x:c r="AC249" s="28" t="str">
        <x:v>Пара встречается как grid; научное объяснение сформировано по ароматическому профилю и пищевой матрице.</x:v>
      </x:c>
      <x:c r="AD249" s="28" t="n">
        <x:v>1</x:v>
      </x:c>
      <x:c r="AE249" s="28" t="n">
        <x:v>1</x:v>
      </x:c>
      <x:c r="AF249" s="28" t="n">
        <x:f>IF(Z249="Высокая",3,IF(Z249="Средняя",2,1))+AD249*2+MIN(AE249,3)</x:f>
        <x:v>5</x:v>
      </x:c>
    </x:row>
    <x:row r="250" ht="62" customHeight="1">
      <x:c r="A250" s="28" t="str">
        <x:v>NCT-0249</x:v>
      </x:c>
      <x:c r="B250" s="28" t="str">
        <x:v>кофе</x:v>
      </x:c>
      <x:c r="C250" s="28" t="str">
        <x:v>Универсальные</x:v>
      </x:c>
      <x:c r="D250" s="28" t="str">
        <x:v>кофе</x:v>
      </x:c>
      <x:c r="E250" s="28" t="str">
        <x:v>Colombian coffee | Кофе | кофе</x:v>
      </x:c>
      <x:c r="F250" s="28" t="str">
        <x:v>Кофе</x:v>
      </x:c>
      <x:c r="G250" s="28" t="str">
        <x:v>имбирь</x:v>
      </x:c>
      <x:c r="H250" s="28" t="str">
        <x:v>ginger | Имбирь | имбирь</x:v>
      </x:c>
      <x:c r="I250" s="28" t="str">
        <x:v>Специи</x:v>
      </x:c>
      <x:c r="J250" s="28" t="str">
        <x:v>жареный, ореховый, карамельный, цветочный, фруктовый, фенольный и древесный</x:v>
      </x:c>
      <x:c r="K250" s="28" t="str">
        <x:v>пряный, тёплый, цитрусовый</x:v>
      </x:c>
      <x:c r="L250" s="28" t="str">
        <x:v>пиразины, фураны, гваякол, 2-фурфурилтиол, диацетил</x:v>
      </x:c>
      <x:c r="M250" s="28" t="str">
        <x:v>гингеролы, цитраль</x:v>
      </x:c>
      <x:c r="N250" s="28" t="str">
        <x:v>прямое пересечение семейств не является единственным объяснением</x:v>
      </x:c>
      <x:c r="O250" s="28" t="str">
        <x:v>надежная общая ключевая молекула не подтверждена</x:v>
      </x:c>
      <x:c r="P250" s="28" t="str">
        <x:v>сенсорная комплементарность</x:v>
      </x:c>
      <x:c r="Q250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50" s="28" t="str">
        <x:v>сухость и горечь; кофеин не имеет сильного запаха, но влияет на вкус и физиологию; у острого партнёра тройничный эффект может доминировать</x:v>
      </x:c>
      <x:c r="S250" s="28" t="str">
        <x:v>водный напиток с растворёнными кислотами, меланоидинами и маслами; в зерне — пористая обжаренная матрица</x:v>
      </x:c>
      <x:c r="T25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50" s="28" t="str">
        <x:v>Кофе имеет профиль «жареный, ореховый, карамельный, цветочный, фруктовый, фенольный и древесный». Партнёр «имбирь» относится к группе «Специи» и даёт пряный, тёплый, цитрусовый.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5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50" s="28" t="str">
        <x:v>ваниль, апельсин или мёд</x:v>
      </x:c>
      <x:c r="X250" s="28" t="str">
        <x:v>кофейный напиток, холодный кофе, крем, сироп, десерт или соус с имбирь</x:v>
      </x:c>
      <x:c r="Y250" s="28" t="str">
        <x:v>напитки</x:v>
      </x:c>
      <x:c r="Z250" s="28" t="str">
        <x:v>Высокая</x:v>
      </x:c>
      <x:c r="AA250" s="28" t="str">
        <x:v>The Art &amp; Science of Foodpairing.pdf | Тезариус вкусов (Ники Сегнит)(1).pdf</x:v>
      </x:c>
      <x:c r="AB250" s="28" t="str">
        <x:v>The Art &amp; Science of Foodpairing.pdf: 142; Тезариус вкусов (Ники Сегнит)(1).pdf: 45, 817</x:v>
      </x:c>
      <x:c r="AC250" s="28" t="str">
        <x:v>Пара встречается как grid, thesaurus; научное объяснение сформировано по ароматическому профилю и пищевой матрице.</x:v>
      </x:c>
      <x:c r="AD250" s="28" t="n">
        <x:v>2</x:v>
      </x:c>
      <x:c r="AE250" s="28" t="n">
        <x:v>3</x:v>
      </x:c>
      <x:c r="AF250" s="28" t="n">
        <x:f>IF(Z250="Высокая",3,IF(Z250="Средняя",2,1))+AD250*2+MIN(AE250,3)</x:f>
        <x:v>10</x:v>
      </x:c>
    </x:row>
    <x:row r="251" ht="62" customHeight="1">
      <x:c r="A251" s="28" t="str">
        <x:v>NCT-0250</x:v>
      </x:c>
      <x:c r="B251" s="28" t="str">
        <x:v>кофе</x:v>
      </x:c>
      <x:c r="C251" s="28" t="str">
        <x:v>Универсальные</x:v>
      </x:c>
      <x:c r="D251" s="28" t="str">
        <x:v>кофе</x:v>
      </x:c>
      <x:c r="E251" s="28" t="str">
        <x:v>coffee</x:v>
      </x:c>
      <x:c r="F251" s="28" t="str">
        <x:v>Кофе</x:v>
      </x:c>
      <x:c r="G251" s="28" t="str">
        <x:v>испанский чоризо</x:v>
      </x:c>
      <x:c r="H251" s="28" t="str">
        <x:v>Spanish chorizo</x:v>
      </x:c>
      <x:c r="I251" s="28" t="str">
        <x:v>Прочее</x:v>
      </x:c>
      <x:c r="J251" s="28" t="str">
        <x:v>жареный, ореховый, карамельный, цветочный, фруктовый, фенольный и древесный</x:v>
      </x:c>
      <x:c r="K251" s="28" t="str">
        <x:v>профиль зависит от конкретного продукта</x:v>
      </x:c>
      <x:c r="L251" s="28" t="str">
        <x:v>пиразины, фураны, гваякол, 2-фурфурилтиол, диацетил</x:v>
      </x:c>
      <x:c r="M251" s="28" t="str">
        <x:v>характерный профиль зависит от конкретного продукта</x:v>
      </x:c>
      <x:c r="N251" s="28" t="str">
        <x:v>прямое пересечение семейств не является единственным объяснением</x:v>
      </x:c>
      <x:c r="O251" s="28" t="str">
        <x:v>надежная общая ключевая молекула не подтверждена</x:v>
      </x:c>
      <x:c r="P251" s="28" t="str">
        <x:v>сенсорная комплементарность</x:v>
      </x:c>
      <x:c r="Q251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51" s="28" t="str">
        <x:v>сухость и горечь; кофеин не имеет сильного запаха, но влияет на вкус и физиологию</x:v>
      </x:c>
      <x:c r="S251" s="28" t="str">
        <x:v>водный напиток с растворёнными кислотами, меланоидинами и маслами; в зерне — пористая обжаренная матрица</x:v>
      </x:c>
      <x:c r="T25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51" s="28" t="str">
        <x:v>Кофе имеет профиль «жареный, ореховый, карамельный, цветочный, фруктовый, фенольный и древесный». Партнёр «испанский чоризо»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5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51" s="28" t="str">
        <x:v>соль, ваниль или карамель</x:v>
      </x:c>
      <x:c r="X251" s="28" t="str">
        <x:v>кофейный напиток, холодный кофе, крем, сироп, десерт или соус с испанский чоризо</x:v>
      </x:c>
      <x:c r="Y251" s="28" t="str">
        <x:v>напитки</x:v>
      </x:c>
      <x:c r="Z251" s="28" t="str">
        <x:v>Средняя</x:v>
      </x:c>
      <x:c r="AA251" s="28" t="str">
        <x:v>The Art &amp; Science of Foodpairing.pdf</x:v>
      </x:c>
      <x:c r="AB251" s="28" t="str">
        <x:v>The Art &amp; Science of Foodpairing.pdf: 297</x:v>
      </x:c>
      <x:c r="AC251" s="28" t="str">
        <x:v>Пара встречается как grid; научное объяснение сформировано по ароматическому профилю и пищевой матрице.</x:v>
      </x:c>
      <x:c r="AD251" s="28" t="n">
        <x:v>1</x:v>
      </x:c>
      <x:c r="AE251" s="28" t="n">
        <x:v>1</x:v>
      </x:c>
      <x:c r="AF251" s="28" t="n">
        <x:f>IF(Z251="Высокая",3,IF(Z251="Средняя",2,1))+AD251*2+MIN(AE251,3)</x:f>
        <x:v>5</x:v>
      </x:c>
    </x:row>
    <x:row r="252" ht="62" customHeight="1">
      <x:c r="A252" s="28" t="str">
        <x:v>NCT-0251</x:v>
      </x:c>
      <x:c r="B252" s="28" t="str">
        <x:v>кофе</x:v>
      </x:c>
      <x:c r="C252" s="28" t="str">
        <x:v>Универсальные</x:v>
      </x:c>
      <x:c r="D252" s="28" t="str">
        <x:v>кофе</x:v>
      </x:c>
      <x:c r="E252" s="28" t="str">
        <x:v>coffee</x:v>
      </x:c>
      <x:c r="F252" s="28" t="str">
        <x:v>Кофе</x:v>
      </x:c>
      <x:c r="G252" s="28" t="str">
        <x:v>карамбола</x:v>
      </x:c>
      <x:c r="H252" s="28" t="str">
        <x:v>carambola</x:v>
      </x:c>
      <x:c r="I252" s="28" t="str">
        <x:v>Прочее</x:v>
      </x:c>
      <x:c r="J252" s="28" t="str">
        <x:v>жареный, ореховый, карамельный, цветочный, фруктовый, фенольный и древесный</x:v>
      </x:c>
      <x:c r="K252" s="28" t="str">
        <x:v>профиль зависит от конкретного продукта</x:v>
      </x:c>
      <x:c r="L252" s="28" t="str">
        <x:v>пиразины, фураны, гваякол, 2-фурфурилтиол, диацетил</x:v>
      </x:c>
      <x:c r="M252" s="28" t="str">
        <x:v>характерный профиль зависит от конкретного продукта</x:v>
      </x:c>
      <x:c r="N252" s="28" t="str">
        <x:v>прямое пересечение семейств не является единственным объяснением</x:v>
      </x:c>
      <x:c r="O252" s="28" t="str">
        <x:v>надежная общая ключевая молекула не подтверждена</x:v>
      </x:c>
      <x:c r="P252" s="28" t="str">
        <x:v>сенсорная комплементарность</x:v>
      </x:c>
      <x:c r="Q252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52" s="28" t="str">
        <x:v>сухость и горечь; кофеин не имеет сильного запаха, но влияет на вкус и физиологию</x:v>
      </x:c>
      <x:c r="S252" s="28" t="str">
        <x:v>водный напиток с растворёнными кислотами, меланоидинами и маслами; в зерне — пористая обжаренная матрица</x:v>
      </x:c>
      <x:c r="T25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52" s="28" t="str">
        <x:v>Кофе имеет профиль «жареный, ореховый, карамельный, цветочный, фруктовый, фенольный и древесный». Партнёр «карамбола»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5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52" s="28" t="str">
        <x:v>соль, ваниль или карамель</x:v>
      </x:c>
      <x:c r="X252" s="28" t="str">
        <x:v>кофейный напиток, холодный кофе, крем, сироп, десерт или соус с карамбола</x:v>
      </x:c>
      <x:c r="Y252" s="28" t="str">
        <x:v>напитки</x:v>
      </x:c>
      <x:c r="Z252" s="28" t="str">
        <x:v>Средняя</x:v>
      </x:c>
      <x:c r="AA252" s="28" t="str">
        <x:v>The Art &amp; Science of Foodpairing.pdf</x:v>
      </x:c>
      <x:c r="AB252" s="28" t="str">
        <x:v>The Art &amp; Science of Foodpairing.pdf: 297</x:v>
      </x:c>
      <x:c r="AC252" s="28" t="str">
        <x:v>Пара встречается как grid; научное объяснение сформировано по ароматическому профилю и пищевой матрице.</x:v>
      </x:c>
      <x:c r="AD252" s="28" t="n">
        <x:v>1</x:v>
      </x:c>
      <x:c r="AE252" s="28" t="n">
        <x:v>1</x:v>
      </x:c>
      <x:c r="AF252" s="28" t="n">
        <x:f>IF(Z252="Высокая",3,IF(Z252="Средняя",2,1))+AD252*2+MIN(AE252,3)</x:f>
        <x:v>5</x:v>
      </x:c>
    </x:row>
    <x:row r="253" ht="62" customHeight="1">
      <x:c r="A253" s="28" t="str">
        <x:v>NCT-0252</x:v>
      </x:c>
      <x:c r="B253" s="28" t="str">
        <x:v>кофе</x:v>
      </x:c>
      <x:c r="C253" s="28" t="str">
        <x:v>Десерты и выпечка</x:v>
      </x:c>
      <x:c r="D253" s="28" t="str">
        <x:v>кофе</x:v>
      </x:c>
      <x:c r="E253" s="28" t="str">
        <x:v>кофе</x:v>
      </x:c>
      <x:c r="F253" s="28" t="str">
        <x:v>Кофе</x:v>
      </x:c>
      <x:c r="G253" s="28" t="str">
        <x:v>карамель</x:v>
      </x:c>
      <x:c r="H253" s="28" t="str">
        <x:v>Карамель</x:v>
      </x:c>
      <x:c r="I253" s="28" t="str">
        <x:v>Выпечка, сахара и десерты</x:v>
      </x:c>
      <x:c r="J253" s="28" t="str">
        <x:v>жареный, ореховый, карамельный, цветочный, фруктовый, фенольный и древесный</x:v>
      </x:c>
      <x:c r="K253" s="28" t="str">
        <x:v>жареный, карамельный</x:v>
      </x:c>
      <x:c r="L253" s="28" t="str">
        <x:v>пиразины, фураны, гваякол, 2-фурфурилтиол, диацетил</x:v>
      </x:c>
      <x:c r="M253" s="28" t="str">
        <x:v>мальтол, фураны</x:v>
      </x:c>
      <x:c r="N253" s="28" t="str">
        <x:v>жареный, карамельный</x:v>
      </x:c>
      <x:c r="O253" s="28" t="str">
        <x:v>фураны</x:v>
      </x:c>
      <x:c r="P253" s="28" t="str">
        <x:v>общие ароматические соединения, пересечение ароматических семейств, жареная химия и реакции Майяра</x:v>
      </x:c>
      <x:c r="Q253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53" s="28" t="str">
        <x:v>сухость и горечь; кофеин не имеет сильного запаха, но влияет на вкус и физиологию</x:v>
      </x:c>
      <x:c r="S253" s="28" t="str">
        <x:v>водный напиток с растворёнными кислотами, меланоидинами и маслами; в зерне — пористая обжаренная матрица</x:v>
      </x:c>
      <x:c r="T25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53" s="28" t="str">
        <x:v>Кофе имеет профиль «жареный, ореховый, карамельный, цветочный, фруктовый, фенольный и древесный». Партнёр «карамель» относится к группе «Выпечка, сахара и десерты» и даёт жареный, карамельный. Молекулярный мост создают фураны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жареный, карамельный; фураны.</x:v>
      </x:c>
      <x:c r="V25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53" s="28" t="str">
        <x:v>соль, ваниль или карамель</x:v>
      </x:c>
      <x:c r="X253" s="28" t="str">
        <x:v>кофейный напиток, холодный кофе, крем, сироп, десерт или соус с карамель</x:v>
      </x:c>
      <x:c r="Y253" s="28" t="str">
        <x:v>напитки, десерты</x:v>
      </x:c>
      <x:c r="Z253" s="28" t="str">
        <x:v>Гипотеза / практическая</x:v>
      </x:c>
      <x:c r="AA253" s="28" t="str">
        <x:v>Таблица сочетания(1).pdf</x:v>
      </x:c>
      <x:c r="AB253" s="28" t="str">
        <x:v>Таблица сочетания(1).pdf: 3</x:v>
      </x:c>
      <x:c r="AC253" s="28" t="str">
        <x:v>Пара встречается как table; научное объяснение сформировано по ароматическому профилю и пищевой матрице.</x:v>
      </x:c>
      <x:c r="AD253" s="28" t="n">
        <x:v>1</x:v>
      </x:c>
      <x:c r="AE253" s="28" t="n">
        <x:v>1</x:v>
      </x:c>
      <x:c r="AF253" s="28" t="n">
        <x:f>IF(Z253="Высокая",3,IF(Z253="Средняя",2,1))+AD253*2+MIN(AE253,3)</x:f>
        <x:v>4</x:v>
      </x:c>
    </x:row>
    <x:row r="254" ht="62" customHeight="1">
      <x:c r="A254" s="28" t="str">
        <x:v>NCT-0253</x:v>
      </x:c>
      <x:c r="B254" s="28" t="str">
        <x:v>кофе</x:v>
      </x:c>
      <x:c r="C254" s="28" t="str">
        <x:v>Универсальные</x:v>
      </x:c>
      <x:c r="D254" s="28" t="str">
        <x:v>кофе</x:v>
      </x:c>
      <x:c r="E254" s="28" t="str">
        <x:v>Кофе | кофе</x:v>
      </x:c>
      <x:c r="F254" s="28" t="str">
        <x:v>Кофе</x:v>
      </x:c>
      <x:c r="G254" s="28" t="str">
        <x:v>кардамон</x:v>
      </x:c>
      <x:c r="H254" s="28" t="str">
        <x:v>Кардамон | кардамон</x:v>
      </x:c>
      <x:c r="I254" s="28" t="str">
        <x:v>Специи</x:v>
      </x:c>
      <x:c r="J254" s="28" t="str">
        <x:v>жареный, ореховый, карамельный, цветочный, фруктовый, фенольный и древесный</x:v>
      </x:c>
      <x:c r="K254" s="28" t="str">
        <x:v>камфорный, цветочный, цитрусовый</x:v>
      </x:c>
      <x:c r="L254" s="28" t="str">
        <x:v>пиразины, фураны, гваякол, 2-фурфурилтиол, диацетил</x:v>
      </x:c>
      <x:c r="M254" s="28" t="str">
        <x:v>1,8-цинеол, линалоол</x:v>
      </x:c>
      <x:c r="N254" s="28" t="str">
        <x:v>цветочный</x:v>
      </x:c>
      <x:c r="O254" s="28" t="str">
        <x:v>надежная общая ключевая молекула не подтверждена</x:v>
      </x:c>
      <x:c r="P254" s="28" t="str">
        <x:v>пересечение ароматических семейств</x:v>
      </x:c>
      <x:c r="Q254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54" s="28" t="str">
        <x:v>сухость и горечь; кофеин не имеет сильного запаха, но влияет на вкус и физиологию</x:v>
      </x:c>
      <x:c r="S254" s="28" t="str">
        <x:v>водный напиток с растворёнными кислотами, меланоидинами и маслами; в зерне — пористая обжаренная матрица</x:v>
      </x:c>
      <x:c r="T25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54" s="28" t="str">
        <x:v>Кофе имеет профиль «жареный, ореховый, карамельный, цветочный, фруктовый, фенольный и древесный». Партнёр «кардамон» относится к группе «Специи» и даёт камфорный, цветочный, цитрусовый. Профили пересекаются в семействах: цветочный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V25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54" s="28" t="str">
        <x:v>ваниль, апельсин или мёд</x:v>
      </x:c>
      <x:c r="X254" s="28" t="str">
        <x:v>кофейный напиток, холодный кофе, крем, сироп, десерт или соус с кардамон</x:v>
      </x:c>
      <x:c r="Y254" s="28" t="str">
        <x:v>напитки</x:v>
      </x:c>
      <x:c r="Z254" s="28" t="str">
        <x:v>Высокая</x:v>
      </x:c>
      <x:c r="AA254" s="28" t="str">
        <x:v>Таблица сочетания(1).pdf | Тезариус вкусов (Ники Сегнит)(1).pdf</x:v>
      </x:c>
      <x:c r="AB254" s="28" t="str">
        <x:v>Таблица сочетания(1).pdf: 6; Тезариус вкусов (Ники Сегнит)(1).pdf: 45, 828</x:v>
      </x:c>
      <x:c r="AC254" s="28" t="str">
        <x:v>Пара встречается как table, thesaurus; научное объяснение сформировано по ароматическому профилю и пищевой матрице.</x:v>
      </x:c>
      <x:c r="AD254" s="28" t="n">
        <x:v>2</x:v>
      </x:c>
      <x:c r="AE254" s="28" t="n">
        <x:v>3</x:v>
      </x:c>
      <x:c r="AF254" s="28" t="n">
        <x:f>IF(Z254="Высокая",3,IF(Z254="Средняя",2,1))+AD254*2+MIN(AE254,3)</x:f>
        <x:v>10</x:v>
      </x:c>
    </x:row>
    <x:row r="255" ht="62" customHeight="1">
      <x:c r="A255" s="28" t="str">
        <x:v>NCT-0254</x:v>
      </x:c>
      <x:c r="B255" s="28" t="str">
        <x:v>кофе</x:v>
      </x:c>
      <x:c r="C255" s="28" t="str">
        <x:v>Еда и соусы</x:v>
      </x:c>
      <x:c r="D255" s="28" t="str">
        <x:v>кофе</x:v>
      </x:c>
      <x:c r="E255" s="28" t="str">
        <x:v>freshlybrewed filter coffee</x:v>
      </x:c>
      <x:c r="F255" s="28" t="str">
        <x:v>Кофе</x:v>
      </x:c>
      <x:c r="G255" s="28" t="str">
        <x:v>картофель фри</x:v>
      </x:c>
      <x:c r="H255" s="28" t="str">
        <x:v>French fries</x:v>
      </x:c>
      <x:c r="I255" s="28" t="str">
        <x:v>Овощи, бобовые и грибы</x:v>
      </x:c>
      <x:c r="J255" s="28" t="str">
        <x:v>жареный, ореховый, карамельный, цветочный, фруктовый, фенольный и древесный</x:v>
      </x:c>
      <x:c r="K255" s="28" t="str">
        <x:v>зелёный, землистый или умами</x:v>
      </x:c>
      <x:c r="L255" s="28" t="str">
        <x:v>пиразины, фураны, гваякол, 2-фурфурилтиол, диацетил</x:v>
      </x:c>
      <x:c r="M255" s="28" t="str">
        <x:v>альдегиды, сернистые соединения</x:v>
      </x:c>
      <x:c r="N255" s="28" t="str">
        <x:v>прямое пересечение семейств не является единственным объяснением</x:v>
      </x:c>
      <x:c r="O255" s="28" t="str">
        <x:v>надежная общая ключевая молекула не подтверждена</x:v>
      </x:c>
      <x:c r="P255" s="28" t="str">
        <x:v>сенсорная комплементарность</x:v>
      </x:c>
      <x:c r="Q255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55" s="28" t="str">
        <x:v>сухость и горечь; кофеин не имеет сильного запаха, но влияет на вкус и физиологию</x:v>
      </x:c>
      <x:c r="S255" s="28" t="str">
        <x:v>водный напиток с растворёнными кислотами, меланоидинами и маслами; в зерне — пористая обжаренная матрица</x:v>
      </x:c>
      <x:c r="T25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55" s="28" t="str">
        <x:v>Кофе имеет профиль «жареный, ореховый, карамельный, цветочный, фруктовый, фенольный и древесный». Партнёр «картофель фри»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5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55" s="28" t="str">
        <x:v>соль, ваниль или карамель</x:v>
      </x:c>
      <x:c r="X255" s="28" t="str">
        <x:v>кофейный напиток, холодный кофе, крем, сироп, десерт или соус с картофель фри</x:v>
      </x:c>
      <x:c r="Y255" s="28" t="str">
        <x:v>напитки, еда, соусы/маринады</x:v>
      </x:c>
      <x:c r="Z255" s="28" t="str">
        <x:v>Средняя</x:v>
      </x:c>
      <x:c r="AA255" s="28" t="str">
        <x:v>The Art &amp; Science of Foodpairing.pdf</x:v>
      </x:c>
      <x:c r="AB255" s="28" t="str">
        <x:v>The Art &amp; Science of Foodpairing.pdf: 196</x:v>
      </x:c>
      <x:c r="AC255" s="28" t="str">
        <x:v>Пара встречается как grid; научное объяснение сформировано по ароматическому профилю и пищевой матрице.</x:v>
      </x:c>
      <x:c r="AD255" s="28" t="n">
        <x:v>1</x:v>
      </x:c>
      <x:c r="AE255" s="28" t="n">
        <x:v>1</x:v>
      </x:c>
      <x:c r="AF255" s="28" t="n">
        <x:f>IF(Z255="Высокая",3,IF(Z255="Средняя",2,1))+AD255*2+MIN(AE255,3)</x:f>
        <x:v>5</x:v>
      </x:c>
    </x:row>
    <x:row r="256" ht="62" customHeight="1">
      <x:c r="A256" s="28" t="str">
        <x:v>NCT-0255</x:v>
      </x:c>
      <x:c r="B256" s="28" t="str">
        <x:v>кофе</x:v>
      </x:c>
      <x:c r="C256" s="28" t="str">
        <x:v>Десерты и выпечка</x:v>
      </x:c>
      <x:c r="D256" s="28" t="str">
        <x:v>кофе</x:v>
      </x:c>
      <x:c r="E256" s="28" t="str">
        <x:v>coffee</x:v>
      </x:c>
      <x:c r="F256" s="28" t="str">
        <x:v>Кофе</x:v>
      </x:c>
      <x:c r="G256" s="28" t="str">
        <x:v>киви</x:v>
      </x:c>
      <x:c r="H256" s="28" t="str">
        <x:v>kiwi</x:v>
      </x:c>
      <x:c r="I256" s="28" t="str">
        <x:v>Фрукты и ягоды</x:v>
      </x:c>
      <x:c r="J256" s="28" t="str">
        <x:v>жареный, ореховый, карамельный, цветочный, фруктовый, фенольный и древесный</x:v>
      </x:c>
      <x:c r="K256" s="28" t="str">
        <x:v>фруктовый, цветочный и свежий</x:v>
      </x:c>
      <x:c r="L256" s="28" t="str">
        <x:v>пиразины, фураны, гваякол, 2-фурфурилтиол, диацетил</x:v>
      </x:c>
      <x:c r="M256" s="28" t="str">
        <x:v>альдегиды, эфиры</x:v>
      </x:c>
      <x:c r="N256" s="28" t="str">
        <x:v>цветочный</x:v>
      </x:c>
      <x:c r="O256" s="28" t="str">
        <x:v>надежная общая ключевая молекула не подтверждена</x:v>
      </x:c>
      <x:c r="P256" s="28" t="str">
        <x:v>пересечение ароматических семейств, контраст кислоты и жирной/горькой матрицы</x:v>
      </x:c>
      <x:c r="Q256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56" s="28" t="str">
        <x:v>сухость и горечь; кофеин не имеет сильного запаха, но влияет на вкус и физиологию</x:v>
      </x:c>
      <x:c r="S256" s="28" t="str">
        <x:v>водный напиток с растворёнными кислотами, меланоидинами и маслами; в зерне — пористая обжаренная матрица Водная фруктовая фаза требует эмульсии или мелкого измельчения, если орех или шоколад вводится как паста.</x:v>
      </x:c>
      <x:c r="T25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56" s="28" t="str">
        <x:v>Кофе имеет профиль «жареный, ореховый, карамельный, цветочный, фруктовый, фенольный и древесный». Партнёр «киви»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V25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W256" s="28" t="str">
        <x:v>ваниль, цитрус или молочный жир</x:v>
      </x:c>
      <x:c r="X256" s="28" t="str">
        <x:v>кофейный напиток, холодный кофе, крем, сироп, десерт или соус с киви</x:v>
      </x:c>
      <x:c r="Y256" s="28" t="str">
        <x:v>напитки, десерты</x:v>
      </x:c>
      <x:c r="Z256" s="28" t="str">
        <x:v>Средняя</x:v>
      </x:c>
      <x:c r="AA256" s="28" t="str">
        <x:v>The Art &amp; Science of Foodpairing.pdf</x:v>
      </x:c>
      <x:c r="AB256" s="28" t="str">
        <x:v>The Art &amp; Science of Foodpairing.pdf: 297</x:v>
      </x:c>
      <x:c r="AC256" s="28" t="str">
        <x:v>Пара встречается как grid; научное объяснение сформировано по ароматическому профилю и пищевой матрице.</x:v>
      </x:c>
      <x:c r="AD256" s="28" t="n">
        <x:v>1</x:v>
      </x:c>
      <x:c r="AE256" s="28" t="n">
        <x:v>1</x:v>
      </x:c>
      <x:c r="AF256" s="28" t="n">
        <x:f>IF(Z256="Высокая",3,IF(Z256="Средняя",2,1))+AD256*2+MIN(AE256,3)</x:f>
        <x:v>5</x:v>
      </x:c>
    </x:row>
    <x:row r="257" ht="62" customHeight="1">
      <x:c r="A257" s="28" t="str">
        <x:v>NCT-0256</x:v>
      </x:c>
      <x:c r="B257" s="28" t="str">
        <x:v>кофе</x:v>
      </x:c>
      <x:c r="C257" s="28" t="str">
        <x:v>Универсальные</x:v>
      </x:c>
      <x:c r="D257" s="28" t="str">
        <x:v>кофе</x:v>
      </x:c>
      <x:c r="E257" s="28" t="str">
        <x:v>coffee</x:v>
      </x:c>
      <x:c r="F257" s="28" t="str">
        <x:v>Кофе</x:v>
      </x:c>
      <x:c r="G257" s="28" t="str">
        <x:v>клубника</x:v>
      </x:c>
      <x:c r="H257" s="28" t="str">
        <x:v>strawberry</x:v>
      </x:c>
      <x:c r="I257" s="28" t="str">
        <x:v>Прочее</x:v>
      </x:c>
      <x:c r="J257" s="28" t="str">
        <x:v>жареный, ореховый, карамельный, цветочный, фруктовый, фенольный и древесный</x:v>
      </x:c>
      <x:c r="K257" s="28" t="str">
        <x:v>зелёный, карамельный, фруктовый</x:v>
      </x:c>
      <x:c r="L257" s="28" t="str">
        <x:v>пиразины, фураны, гваякол, 2-фурфурилтиол, диацетил</x:v>
      </x:c>
      <x:c r="M257" s="28" t="str">
        <x:v>фуранеол, эфиры</x:v>
      </x:c>
      <x:c r="N257" s="28" t="str">
        <x:v>карамельный</x:v>
      </x:c>
      <x:c r="O257" s="28" t="str">
        <x:v>надежная общая ключевая молекула не подтверждена</x:v>
      </x:c>
      <x:c r="P257" s="28" t="str">
        <x:v>пересечение ароматических семейств</x:v>
      </x:c>
      <x:c r="Q257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57" s="28" t="str">
        <x:v>сухость и горечь; кофеин не имеет сильного запаха, но влияет на вкус и физиологию</x:v>
      </x:c>
      <x:c r="S257" s="28" t="str">
        <x:v>водный напиток с растворёнными кислотами, меланоидинами и маслами; в зерне — пористая обжаренная матрица</x:v>
      </x:c>
      <x:c r="T25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57" s="28" t="str">
        <x:v>Кофе имеет профиль «жареный, ореховый, карамельный, цветочный, фруктовый, фенольный и древесный». Партнёр «клубника» относится к группе «Прочее» и даёт зелёный, карамельный, фруктовый. Профили пересекаются в семействах: карамельный Кофейные летучие соединения очень быстро теряются после помола и заваривания, поэтому сочетание зависит от свежести и степени обжарки. Итог: карамельный; механизм не следует сводить к одной общей молекуле.</x:v>
      </x:c>
      <x:c r="V25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57" s="28" t="str">
        <x:v>соль, ваниль или карамель</x:v>
      </x:c>
      <x:c r="X257" s="28" t="str">
        <x:v>кофейный напиток, холодный кофе, крем, сироп, десерт или соус с клубника</x:v>
      </x:c>
      <x:c r="Y257" s="28" t="str">
        <x:v>напитки</x:v>
      </x:c>
      <x:c r="Z257" s="28" t="str">
        <x:v>Средняя</x:v>
      </x:c>
      <x:c r="AA257" s="28" t="str">
        <x:v>The Art &amp; Science of Foodpairing.pdf</x:v>
      </x:c>
      <x:c r="AB257" s="28" t="str">
        <x:v>The Art &amp; Science of Foodpairing.pdf: 297</x:v>
      </x:c>
      <x:c r="AC257" s="28" t="str">
        <x:v>Пара встречается как grid; научное объяснение сформировано по ароматическому профилю и пищевой матрице.</x:v>
      </x:c>
      <x:c r="AD257" s="28" t="n">
        <x:v>1</x:v>
      </x:c>
      <x:c r="AE257" s="28" t="n">
        <x:v>1</x:v>
      </x:c>
      <x:c r="AF257" s="28" t="n">
        <x:f>IF(Z257="Высокая",3,IF(Z257="Средняя",2,1))+AD257*2+MIN(AE257,3)</x:f>
        <x:v>5</x:v>
      </x:c>
    </x:row>
    <x:row r="258" ht="62" customHeight="1">
      <x:c r="A258" s="28" t="str">
        <x:v>NCT-0257</x:v>
      </x:c>
      <x:c r="B258" s="28" t="str">
        <x:v>кофе</x:v>
      </x:c>
      <x:c r="C258" s="28" t="str">
        <x:v>Универсальные</x:v>
      </x:c>
      <x:c r="D258" s="28" t="str">
        <x:v>кофе</x:v>
      </x:c>
      <x:c r="E258" s="28" t="str">
        <x:v>Кофе | кофе</x:v>
      </x:c>
      <x:c r="F258" s="28" t="str">
        <x:v>Кофе</x:v>
      </x:c>
      <x:c r="G258" s="28" t="str">
        <x:v>козий сыр</x:v>
      </x:c>
      <x:c r="H258" s="28" t="str">
        <x:v>Козий сыр | козий сыр</x:v>
      </x:c>
      <x:c r="I258" s="28" t="str">
        <x:v>Молочные продукты и сыры</x:v>
      </x:c>
      <x:c r="J258" s="28" t="str">
        <x:v>жареный, ореховый, карамельный, цветочный, фруктовый, фенольный и древесный</x:v>
      </x:c>
      <x:c r="K258" s="28" t="str">
        <x:v>молочный, умами, ферментированный</x:v>
      </x:c>
      <x:c r="L258" s="28" t="str">
        <x:v>пиразины, фураны, гваякол, 2-фурфурилтиол, диацетил</x:v>
      </x:c>
      <x:c r="M258" s="28" t="str">
        <x:v>диацетил, жирные кислоты</x:v>
      </x:c>
      <x:c r="N258" s="28" t="str">
        <x:v>прямое пересечение семейств не является единственным объяснением</x:v>
      </x:c>
      <x:c r="O258" s="28" t="str">
        <x:v>диацетил</x:v>
      </x:c>
      <x:c r="P258" s="28" t="str">
        <x:v>общие ароматические соединения, жировая экстракция и связывание полифенолов белком</x:v>
      </x:c>
      <x:c r="Q258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58" s="28" t="str">
        <x:v>сухость и горечь; кофеин не имеет сильного запаха, но влияет на вкус и физиологию</x:v>
      </x:c>
      <x:c r="S258" s="28" t="str">
        <x:v>водный напиток с растворёнными кислотами, меланоидинами и маслами; в зерне — пористая обжаренная матрица Совпадающие жирные фазы облегчают перенос аромата, но могут сделать продукт тяжёлым.</x:v>
      </x:c>
      <x:c r="T25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58" s="28" t="str">
        <x:v>Кофе имеет профиль «жареный, ореховый, карамельный, цветочный, фруктовый, фенольный и древесный». Партнёр «козий сыр» относится к группе «Молочные продукты и сыры» и даёт молочный, умами,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V25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W258" s="28" t="str">
        <x:v>мёд, карамель или фруктовая кислота</x:v>
      </x:c>
      <x:c r="X258" s="28" t="str">
        <x:v>кофейный напиток, холодный кофе, крем, сироп, десерт или соус с козий сыр</x:v>
      </x:c>
      <x:c r="Y258" s="28" t="str">
        <x:v>напитки, десерты</x:v>
      </x:c>
      <x:c r="Z258" s="28" t="str">
        <x:v>Средняя</x:v>
      </x:c>
      <x:c r="AA258" s="28" t="str">
        <x:v>Тезариус вкусов (Ники Сегнит)(1).pdf</x:v>
      </x:c>
      <x:c r="AB258" s="28" t="str">
        <x:v>Тезариус вкусов (Ники Сегнит)(1).pdf: 46, 140</x:v>
      </x:c>
      <x:c r="AC258" s="28" t="str">
        <x:v>Пара встречается как thesaurus; научное объяснение сформировано по ароматическому профилю и пищевой матрице.</x:v>
      </x:c>
      <x:c r="AD258" s="28" t="n">
        <x:v>1</x:v>
      </x:c>
      <x:c r="AE258" s="28" t="n">
        <x:v>2</x:v>
      </x:c>
      <x:c r="AF258" s="28" t="n">
        <x:f>IF(Z258="Высокая",3,IF(Z258="Средняя",2,1))+AD258*2+MIN(AE258,3)</x:f>
        <x:v>6</x:v>
      </x:c>
    </x:row>
    <x:row r="259" ht="62" customHeight="1">
      <x:c r="A259" s="28" t="str">
        <x:v>NCT-0258</x:v>
      </x:c>
      <x:c r="B259" s="28" t="str">
        <x:v>кофе</x:v>
      </x:c>
      <x:c r="C259" s="28" t="str">
        <x:v>Универсальные</x:v>
      </x:c>
      <x:c r="D259" s="28" t="str">
        <x:v>кофе</x:v>
      </x:c>
      <x:c r="E259" s="28" t="str">
        <x:v>Кофе | кофе</x:v>
      </x:c>
      <x:c r="F259" s="28" t="str">
        <x:v>Кофе</x:v>
      </x:c>
      <x:c r="G259" s="28" t="str">
        <x:v>корица</x:v>
      </x:c>
      <x:c r="H259" s="28" t="str">
        <x:v>Корица | корица</x:v>
      </x:c>
      <x:c r="I259" s="28" t="str">
        <x:v>Специи</x:v>
      </x:c>
      <x:c r="J259" s="28" t="str">
        <x:v>жареный, ореховый, карамельный, цветочный, фруктовый, фенольный и древесный</x:v>
      </x:c>
      <x:c r="K259" s="28" t="str">
        <x:v>древесный, пряный</x:v>
      </x:c>
      <x:c r="L259" s="28" t="str">
        <x:v>пиразины, фураны, гваякол, 2-фурфурилтиол, диацетил</x:v>
      </x:c>
      <x:c r="M259" s="28" t="str">
        <x:v>циннамальдегид, эвгенол</x:v>
      </x:c>
      <x:c r="N259" s="28" t="str">
        <x:v>прямое пересечение семейств не является единственным объяснением</x:v>
      </x:c>
      <x:c r="O259" s="28" t="str">
        <x:v>надежная общая ключевая молекула не подтверждена</x:v>
      </x:c>
      <x:c r="P259" s="28" t="str">
        <x:v>сенсорная комплементарность</x:v>
      </x:c>
      <x:c r="Q259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59" s="28" t="str">
        <x:v>сухость и горечь; кофеин не имеет сильного запаха, но влияет на вкус и физиологию</x:v>
      </x:c>
      <x:c r="S259" s="28" t="str">
        <x:v>водный напиток с растворёнными кислотами, меланоидинами и маслами; в зерне — пористая обжаренная матрица</x:v>
      </x:c>
      <x:c r="T25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59" s="28" t="str">
        <x:v>Кофе имеет профиль «жареный, ореховый, карамельный, цветочный, фруктовый, фенольный и древесный». Партнёр «корица» относится к группе «Специи» и даёт древесный, пряный.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5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59" s="28" t="str">
        <x:v>ваниль, апельсин или мёд</x:v>
      </x:c>
      <x:c r="X259" s="28" t="str">
        <x:v>кофейный напиток, холодный кофе, крем, сироп, десерт или соус с корица</x:v>
      </x:c>
      <x:c r="Y259" s="28" t="str">
        <x:v>напитки</x:v>
      </x:c>
      <x:c r="Z259" s="28" t="str">
        <x:v>Высокая</x:v>
      </x:c>
      <x:c r="AA259" s="28" t="str">
        <x:v>Таблица сочетания(1).pdf | Тезариус вкусов (Ники Сегнит)(1).pdf</x:v>
      </x:c>
      <x:c r="AB259" s="28" t="str">
        <x:v>Таблица сочетания(1).pdf: 6; Тезариус вкусов (Ники Сегнит)(1).pdf: 46, 577</x:v>
      </x:c>
      <x:c r="AC259" s="28" t="str">
        <x:v>Пара встречается как table, thesaurus; научное объяснение сформировано по ароматическому профилю и пищевой матрице.</x:v>
      </x:c>
      <x:c r="AD259" s="28" t="n">
        <x:v>2</x:v>
      </x:c>
      <x:c r="AE259" s="28" t="n">
        <x:v>3</x:v>
      </x:c>
      <x:c r="AF259" s="28" t="n">
        <x:f>IF(Z259="Высокая",3,IF(Z259="Средняя",2,1))+AD259*2+MIN(AE259,3)</x:f>
        <x:v>10</x:v>
      </x:c>
    </x:row>
    <x:row r="260" ht="62" customHeight="1">
      <x:c r="A260" s="28" t="str">
        <x:v>NCT-0259</x:v>
      </x:c>
      <x:c r="B260" s="28" t="str">
        <x:v>кофе</x:v>
      </x:c>
      <x:c r="C260" s="28" t="str">
        <x:v>Универсальные</x:v>
      </x:c>
      <x:c r="D260" s="28" t="str">
        <x:v>кофе</x:v>
      </x:c>
      <x:c r="E260" s="28" t="str">
        <x:v>freshly brewed filter coffee</x:v>
      </x:c>
      <x:c r="F260" s="28" t="str">
        <x:v>Кофе</x:v>
      </x:c>
      <x:c r="G260" s="28" t="str">
        <x:v>корица и кассия</x:v>
      </x:c>
      <x:c r="H260" s="28" t="str">
        <x:v>cinnaman and cassia bark</x:v>
      </x:c>
      <x:c r="I260" s="28" t="str">
        <x:v>Специи</x:v>
      </x:c>
      <x:c r="J260" s="28" t="str">
        <x:v>жареный, ореховый, карамельный, цветочный, фруктовый, фенольный и древесный</x:v>
      </x:c>
      <x:c r="K260" s="28" t="str">
        <x:v>древесный, пряный</x:v>
      </x:c>
      <x:c r="L260" s="28" t="str">
        <x:v>пиразины, фураны, гваякол, 2-фурфурилтиол, диацетил</x:v>
      </x:c>
      <x:c r="M260" s="28" t="str">
        <x:v>циннамальдегид, эвгенол</x:v>
      </x:c>
      <x:c r="N260" s="28" t="str">
        <x:v>прямое пересечение семейств не является единственным объяснением</x:v>
      </x:c>
      <x:c r="O260" s="28" t="str">
        <x:v>надежная общая ключевая молекула не подтверждена</x:v>
      </x:c>
      <x:c r="P260" s="28" t="str">
        <x:v>сенсорная комплементарность</x:v>
      </x:c>
      <x:c r="Q260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60" s="28" t="str">
        <x:v>сухость и горечь; кофеин не имеет сильного запаха, но влияет на вкус и физиологию</x:v>
      </x:c>
      <x:c r="S260" s="28" t="str">
        <x:v>водный напиток с растворёнными кислотами, меланоидинами и маслами; в зерне — пористая обжаренная матрица</x:v>
      </x:c>
      <x:c r="T26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60" s="28" t="str">
        <x:v>Кофе имеет профиль «жареный, ореховый, карамельный, цветочный, фруктовый, фенольный и древесный». Партнёр «корица и кассия» относится к группе «Специи» и даёт древесный, пряный.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6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60" s="28" t="str">
        <x:v>ваниль, апельсин или мёд</x:v>
      </x:c>
      <x:c r="X260" s="28" t="str">
        <x:v>кофейный напиток, холодный кофе, крем, сироп, десерт или соус с корица и кассия</x:v>
      </x:c>
      <x:c r="Y260" s="28" t="str">
        <x:v>напитки</x:v>
      </x:c>
      <x:c r="Z260" s="28" t="str">
        <x:v>Средняя</x:v>
      </x:c>
      <x:c r="AA260" s="28" t="str">
        <x:v>The Art &amp; Science of Foodpairing.pdf</x:v>
      </x:c>
      <x:c r="AB260" s="28" t="str">
        <x:v>The Art &amp; Science of Foodpairing.pdf: 130</x:v>
      </x:c>
      <x:c r="AC260" s="28" t="str">
        <x:v>Пара встречается как grid; научное объяснение сформировано по ароматическому профилю и пищевой матрице.</x:v>
      </x:c>
      <x:c r="AD260" s="28" t="n">
        <x:v>1</x:v>
      </x:c>
      <x:c r="AE260" s="28" t="n">
        <x:v>1</x:v>
      </x:c>
      <x:c r="AF260" s="28" t="n">
        <x:f>IF(Z260="Высокая",3,IF(Z260="Средняя",2,1))+AD260*2+MIN(AE260,3)</x:f>
        <x:v>5</x:v>
      </x:c>
    </x:row>
    <x:row r="261" ht="62" customHeight="1">
      <x:c r="A261" s="28" t="str">
        <x:v>NCT-0260</x:v>
      </x:c>
      <x:c r="B261" s="28" t="str">
        <x:v>кофе</x:v>
      </x:c>
      <x:c r="C261" s="28" t="str">
        <x:v>Универсальные</x:v>
      </x:c>
      <x:c r="D261" s="28" t="str">
        <x:v>кофе</x:v>
      </x:c>
      <x:c r="E261" s="28" t="str">
        <x:v>coffee</x:v>
      </x:c>
      <x:c r="F261" s="28" t="str">
        <x:v>Кофе</x:v>
      </x:c>
      <x:c r="G261" s="28" t="str">
        <x:v>корневой кервель</x:v>
      </x:c>
      <x:c r="H261" s="28" t="str">
        <x:v>turnip-rooted chervil</x:v>
      </x:c>
      <x:c r="I261" s="28" t="str">
        <x:v>Прочее</x:v>
      </x:c>
      <x:c r="J261" s="28" t="str">
        <x:v>жареный, ореховый, карамельный, цветочный, фруктовый, фенольный и древесный</x:v>
      </x:c>
      <x:c r="K261" s="28" t="str">
        <x:v>профиль зависит от конкретного продукта</x:v>
      </x:c>
      <x:c r="L261" s="28" t="str">
        <x:v>пиразины, фураны, гваякол, 2-фурфурилтиол, диацетил</x:v>
      </x:c>
      <x:c r="M261" s="28" t="str">
        <x:v>характерный профиль зависит от конкретного продукта</x:v>
      </x:c>
      <x:c r="N261" s="28" t="str">
        <x:v>прямое пересечение семейств не является единственным объяснением</x:v>
      </x:c>
      <x:c r="O261" s="28" t="str">
        <x:v>надежная общая ключевая молекула не подтверждена</x:v>
      </x:c>
      <x:c r="P261" s="28" t="str">
        <x:v>сенсорная комплементарность</x:v>
      </x:c>
      <x:c r="Q261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61" s="28" t="str">
        <x:v>сухость и горечь; кофеин не имеет сильного запаха, но влияет на вкус и физиологию</x:v>
      </x:c>
      <x:c r="S261" s="28" t="str">
        <x:v>водный напиток с растворёнными кислотами, меланоидинами и маслами; в зерне — пористая обжаренная матрица</x:v>
      </x:c>
      <x:c r="T26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61" s="28" t="str">
        <x:v>Кофе имеет профиль «жареный, ореховый, карамельный, цветочный, фруктовый, фенольный и древесный». Партнёр «корневой кервель»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6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61" s="28" t="str">
        <x:v>соль, ваниль или карамель</x:v>
      </x:c>
      <x:c r="X261" s="28" t="str">
        <x:v>кофейный напиток, холодный кофе, крем, сироп, десерт или соус с корневой кервель</x:v>
      </x:c>
      <x:c r="Y261" s="28" t="str">
        <x:v>напитки</x:v>
      </x:c>
      <x:c r="Z261" s="28" t="str">
        <x:v>Средняя</x:v>
      </x:c>
      <x:c r="AA261" s="28" t="str">
        <x:v>The Art &amp; Science of Foodpairing.pdf</x:v>
      </x:c>
      <x:c r="AB261" s="28" t="str">
        <x:v>The Art &amp; Science of Foodpairing.pdf: 297</x:v>
      </x:c>
      <x:c r="AC261" s="28" t="str">
        <x:v>Пара встречается как grid; научное объяснение сформировано по ароматическому профилю и пищевой матрице.</x:v>
      </x:c>
      <x:c r="AD261" s="28" t="n">
        <x:v>1</x:v>
      </x:c>
      <x:c r="AE261" s="28" t="n">
        <x:v>1</x:v>
      </x:c>
      <x:c r="AF261" s="28" t="n">
        <x:f>IF(Z261="Высокая",3,IF(Z261="Средняя",2,1))+AD261*2+MIN(AE261,3)</x:f>
        <x:v>5</x:v>
      </x:c>
    </x:row>
    <x:row r="262" ht="62" customHeight="1">
      <x:c r="A262" s="28" t="str">
        <x:v>NCT-0261</x:v>
      </x:c>
      <x:c r="B262" s="28" t="str">
        <x:v>кофе</x:v>
      </x:c>
      <x:c r="C262" s="28" t="str">
        <x:v>Универсальные</x:v>
      </x:c>
      <x:c r="D262" s="28" t="str">
        <x:v>кофе</x:v>
      </x:c>
      <x:c r="E262" s="28" t="str">
        <x:v>кофе</x:v>
      </x:c>
      <x:c r="F262" s="28" t="str">
        <x:v>Кофе</x:v>
      </x:c>
      <x:c r="G262" s="28" t="str">
        <x:v>кумкват</x:v>
      </x:c>
      <x:c r="H262" s="28" t="str">
        <x:v>Кумкват</x:v>
      </x:c>
      <x:c r="I262" s="28" t="str">
        <x:v>Прочее</x:v>
      </x:c>
      <x:c r="J262" s="28" t="str">
        <x:v>жареный, ореховый, карамельный, цветочный, фруктовый, фенольный и древесный</x:v>
      </x:c>
      <x:c r="K262" s="28" t="str">
        <x:v>профиль зависит от конкретного продукта</x:v>
      </x:c>
      <x:c r="L262" s="28" t="str">
        <x:v>пиразины, фураны, гваякол, 2-фурфурилтиол, диацетил</x:v>
      </x:c>
      <x:c r="M262" s="28" t="str">
        <x:v>характерный профиль зависит от конкретного продукта</x:v>
      </x:c>
      <x:c r="N262" s="28" t="str">
        <x:v>прямое пересечение семейств не является единственным объяснением</x:v>
      </x:c>
      <x:c r="O262" s="28" t="str">
        <x:v>надежная общая ключевая молекула не подтверждена</x:v>
      </x:c>
      <x:c r="P262" s="28" t="str">
        <x:v>сенсорная комплементарность</x:v>
      </x:c>
      <x:c r="Q262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62" s="28" t="str">
        <x:v>сухость и горечь; кофеин не имеет сильного запаха, но влияет на вкус и физиологию</x:v>
      </x:c>
      <x:c r="S262" s="28" t="str">
        <x:v>водный напиток с растворёнными кислотами, меланоидинами и маслами; в зерне — пористая обжаренная матрица</x:v>
      </x:c>
      <x:c r="T26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62" s="28" t="str">
        <x:v>Кофе имеет профиль «жареный, ореховый, карамельный, цветочный, фруктовый, фенольный и древесный». Партнёр «кумкват»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6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62" s="28" t="str">
        <x:v>соль, ваниль или карамель</x:v>
      </x:c>
      <x:c r="X262" s="28" t="str">
        <x:v>кофейный напиток, холодный кофе, крем, сироп, десерт или соус с кумкват</x:v>
      </x:c>
      <x:c r="Y262" s="28" t="str">
        <x:v>напитки</x:v>
      </x:c>
      <x:c r="Z262" s="28" t="str">
        <x:v>Гипотеза / практическая</x:v>
      </x:c>
      <x:c r="AA262" s="28" t="str">
        <x:v>Таблица сочетания(1).pdf</x:v>
      </x:c>
      <x:c r="AB262" s="28" t="str">
        <x:v>Таблица сочетания(1).pdf: 10</x:v>
      </x:c>
      <x:c r="AC262" s="28" t="str">
        <x:v>Пара встречается как table; научное объяснение сформировано по ароматическому профилю и пищевой матрице.</x:v>
      </x:c>
      <x:c r="AD262" s="28" t="n">
        <x:v>1</x:v>
      </x:c>
      <x:c r="AE262" s="28" t="n">
        <x:v>1</x:v>
      </x:c>
      <x:c r="AF262" s="28" t="n">
        <x:f>IF(Z262="Высокая",3,IF(Z262="Средняя",2,1))+AD262*2+MIN(AE262,3)</x:f>
        <x:v>4</x:v>
      </x:c>
    </x:row>
    <x:row r="263" ht="62" customHeight="1">
      <x:c r="A263" s="28" t="str">
        <x:v>NCT-0262</x:v>
      </x:c>
      <x:c r="B263" s="28" t="str">
        <x:v>кофе</x:v>
      </x:c>
      <x:c r="C263" s="28" t="str">
        <x:v>Универсальные</x:v>
      </x:c>
      <x:c r="D263" s="28" t="str">
        <x:v>кофе</x:v>
      </x:c>
      <x:c r="E263" s="28" t="str">
        <x:v>freshly ground coffee</x:v>
      </x:c>
      <x:c r="F263" s="28" t="str">
        <x:v>Кофе</x:v>
      </x:c>
      <x:c r="G263" s="28" t="str">
        <x:v>лангустин</x:v>
      </x:c>
      <x:c r="H263" s="28" t="str">
        <x:v>langoustine</x:v>
      </x:c>
      <x:c r="I263" s="28" t="str">
        <x:v>Прочее</x:v>
      </x:c>
      <x:c r="J263" s="28" t="str">
        <x:v>жареный, ореховый, карамельный, цветочный, фруктовый, фенольный и древесный</x:v>
      </x:c>
      <x:c r="K263" s="28" t="str">
        <x:v>профиль зависит от конкретного продукта</x:v>
      </x:c>
      <x:c r="L263" s="28" t="str">
        <x:v>пиразины, фураны, гваякол, 2-фурфурилтиол, диацетил</x:v>
      </x:c>
      <x:c r="M263" s="28" t="str">
        <x:v>характерный профиль зависит от конкретного продукта</x:v>
      </x:c>
      <x:c r="N263" s="28" t="str">
        <x:v>прямое пересечение семейств не является единственным объяснением</x:v>
      </x:c>
      <x:c r="O263" s="28" t="str">
        <x:v>надежная общая ключевая молекула не подтверждена</x:v>
      </x:c>
      <x:c r="P263" s="28" t="str">
        <x:v>сенсорная комплементарность</x:v>
      </x:c>
      <x:c r="Q263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63" s="28" t="str">
        <x:v>сухость и горечь; кофеин не имеет сильного запаха, но влияет на вкус и физиологию</x:v>
      </x:c>
      <x:c r="S263" s="28" t="str">
        <x:v>водный напиток с растворёнными кислотами, меланоидинами и маслами; в зерне — пористая обжаренная матрица</x:v>
      </x:c>
      <x:c r="T26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63" s="28" t="str">
        <x:v>Кофе имеет профиль «жареный, ореховый, карамельный, цветочный, фруктовый, фенольный и древесный». Партнёр «лангустин»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6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63" s="28" t="str">
        <x:v>соль, ваниль или карамель</x:v>
      </x:c>
      <x:c r="X263" s="28" t="str">
        <x:v>кофейный напиток, холодный кофе, крем, сироп, десерт или соус с лангустин</x:v>
      </x:c>
      <x:c r="Y263" s="28" t="str">
        <x:v>напитки</x:v>
      </x:c>
      <x:c r="Z263" s="28" t="str">
        <x:v>Высокая</x:v>
      </x:c>
      <x:c r="AA263" s="28" t="str">
        <x:v>The Art &amp; Science of Foodpairing.pdf</x:v>
      </x:c>
      <x:c r="AB263" s="28" t="str">
        <x:v>The Art &amp; Science of Foodpairing.pdf: 151</x:v>
      </x:c>
      <x:c r="AC263" s="28" t="str">
        <x:v>Пара встречается как chef's; научное объяснение сформировано по ароматическому профилю и пищевой матрице.</x:v>
      </x:c>
      <x:c r="AD263" s="28" t="n">
        <x:v>1</x:v>
      </x:c>
      <x:c r="AE263" s="28" t="n">
        <x:v>1</x:v>
      </x:c>
      <x:c r="AF263" s="28" t="n">
        <x:f>IF(Z263="Высокая",3,IF(Z263="Средняя",2,1))+AD263*2+MIN(AE263,3)</x:f>
        <x:v>6</x:v>
      </x:c>
    </x:row>
    <x:row r="264" ht="62" customHeight="1">
      <x:c r="A264" s="28" t="str">
        <x:v>NCT-0263</x:v>
      </x:c>
      <x:c r="B264" s="28" t="str">
        <x:v>кофе</x:v>
      </x:c>
      <x:c r="C264" s="28" t="str">
        <x:v>Универсальные</x:v>
      </x:c>
      <x:c r="D264" s="28" t="str">
        <x:v>кофе</x:v>
      </x:c>
      <x:c r="E264" s="28" t="str">
        <x:v>coffee</x:v>
      </x:c>
      <x:c r="F264" s="28" t="str">
        <x:v>Кофе</x:v>
      </x:c>
      <x:c r="G264" s="28" t="str">
        <x:v>лепестки розы</x:v>
      </x:c>
      <x:c r="H264" s="28" t="str">
        <x:v>fresh edible rose petals</x:v>
      </x:c>
      <x:c r="I264" s="28" t="str">
        <x:v>Прочее</x:v>
      </x:c>
      <x:c r="J264" s="28" t="str">
        <x:v>жареный, ореховый, карамельный, цветочный, фруктовый, фенольный и древесный</x:v>
      </x:c>
      <x:c r="K264" s="28" t="str">
        <x:v>профиль зависит от конкретного продукта</x:v>
      </x:c>
      <x:c r="L264" s="28" t="str">
        <x:v>пиразины, фураны, гваякол, 2-фурфурилтиол, диацетил</x:v>
      </x:c>
      <x:c r="M264" s="28" t="str">
        <x:v>характерный профиль зависит от конкретного продукта</x:v>
      </x:c>
      <x:c r="N264" s="28" t="str">
        <x:v>прямое пересечение семейств не является единственным объяснением</x:v>
      </x:c>
      <x:c r="O264" s="28" t="str">
        <x:v>надежная общая ключевая молекула не подтверждена</x:v>
      </x:c>
      <x:c r="P264" s="28" t="str">
        <x:v>сенсорная комплементарность</x:v>
      </x:c>
      <x:c r="Q264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64" s="28" t="str">
        <x:v>сухость и горечь; кофеин не имеет сильного запаха, но влияет на вкус и физиологию</x:v>
      </x:c>
      <x:c r="S264" s="28" t="str">
        <x:v>водный напиток с растворёнными кислотами, меланоидинами и маслами; в зерне — пористая обжаренная матрица</x:v>
      </x:c>
      <x:c r="T26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64" s="28" t="str">
        <x:v>Кофе имеет профиль «жареный, ореховый, карамельный, цветочный, фруктовый, фенольный и древесный». Партнёр «лепестки розы»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6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64" s="28" t="str">
        <x:v>соль, ваниль или карамель</x:v>
      </x:c>
      <x:c r="X264" s="28" t="str">
        <x:v>кофейный напиток, холодный кофе, крем, сироп, десерт или соус с лепестки розы</x:v>
      </x:c>
      <x:c r="Y264" s="28" t="str">
        <x:v>напитки</x:v>
      </x:c>
      <x:c r="Z264" s="28" t="str">
        <x:v>Средняя</x:v>
      </x:c>
      <x:c r="AA264" s="28" t="str">
        <x:v>The Art &amp; Science of Foodpairing.pdf</x:v>
      </x:c>
      <x:c r="AB264" s="28" t="str">
        <x:v>The Art &amp; Science of Foodpairing.pdf: 297</x:v>
      </x:c>
      <x:c r="AC264" s="28" t="str">
        <x:v>Пара встречается как grid; научное объяснение сформировано по ароматическому профилю и пищевой матрице.</x:v>
      </x:c>
      <x:c r="AD264" s="28" t="n">
        <x:v>1</x:v>
      </x:c>
      <x:c r="AE264" s="28" t="n">
        <x:v>1</x:v>
      </x:c>
      <x:c r="AF264" s="28" t="n">
        <x:f>IF(Z264="Высокая",3,IF(Z264="Средняя",2,1))+AD264*2+MIN(AE264,3)</x:f>
        <x:v>5</x:v>
      </x:c>
    </x:row>
    <x:row r="265" ht="62" customHeight="1">
      <x:c r="A265" s="28" t="str">
        <x:v>NCT-0264</x:v>
      </x:c>
      <x:c r="B265" s="28" t="str">
        <x:v>кофе</x:v>
      </x:c>
      <x:c r="C265" s="28" t="str">
        <x:v>Универсальные</x:v>
      </x:c>
      <x:c r="D265" s="28" t="str">
        <x:v>кофе</x:v>
      </x:c>
      <x:c r="E265" s="28" t="str">
        <x:v>coffee</x:v>
      </x:c>
      <x:c r="F265" s="28" t="str">
        <x:v>Кофе</x:v>
      </x:c>
      <x:c r="G265" s="28" t="str">
        <x:v>мадрасская паста карри</x:v>
      </x:c>
      <x:c r="H265" s="28" t="str">
        <x:v>Madrascurry paste</x:v>
      </x:c>
      <x:c r="I265" s="28" t="str">
        <x:v>Прочее</x:v>
      </x:c>
      <x:c r="J265" s="28" t="str">
        <x:v>жареный, ореховый, карамельный, цветочный, фруктовый, фенольный и древесный</x:v>
      </x:c>
      <x:c r="K265" s="28" t="str">
        <x:v>профиль зависит от конкретного продукта</x:v>
      </x:c>
      <x:c r="L265" s="28" t="str">
        <x:v>пиразины, фураны, гваякол, 2-фурфурилтиол, диацетил</x:v>
      </x:c>
      <x:c r="M265" s="28" t="str">
        <x:v>характерный профиль зависит от конкретного продукта</x:v>
      </x:c>
      <x:c r="N265" s="28" t="str">
        <x:v>прямое пересечение семейств не является единственным объяснением</x:v>
      </x:c>
      <x:c r="O265" s="28" t="str">
        <x:v>надежная общая ключевая молекула не подтверждена</x:v>
      </x:c>
      <x:c r="P265" s="28" t="str">
        <x:v>сенсорная комплементарность</x:v>
      </x:c>
      <x:c r="Q265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65" s="28" t="str">
        <x:v>сухость и горечь; кофеин не имеет сильного запаха, но влияет на вкус и физиологию</x:v>
      </x:c>
      <x:c r="S265" s="28" t="str">
        <x:v>водный напиток с растворёнными кислотами, меланоидинами и маслами; в зерне — пористая обжаренная матрица</x:v>
      </x:c>
      <x:c r="T26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65" s="28" t="str">
        <x:v>Кофе имеет профиль «жареный, ореховый, карамельный, цветочный, фруктовый, фенольный и древесный». Партнёр «мадрасская паста карри»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6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65" s="28" t="str">
        <x:v>соль, ваниль или карамель</x:v>
      </x:c>
      <x:c r="X265" s="28" t="str">
        <x:v>кофейный напиток, холодный кофе, крем, сироп, десерт или соус с мадрасская паста карри</x:v>
      </x:c>
      <x:c r="Y265" s="28" t="str">
        <x:v>напитки</x:v>
      </x:c>
      <x:c r="Z265" s="28" t="str">
        <x:v>Средняя</x:v>
      </x:c>
      <x:c r="AA265" s="28" t="str">
        <x:v>The Art &amp; Science of Foodpairing.pdf</x:v>
      </x:c>
      <x:c r="AB265" s="28" t="str">
        <x:v>The Art &amp; Science of Foodpairing.pdf: 297</x:v>
      </x:c>
      <x:c r="AC265" s="28" t="str">
        <x:v>Пара встречается как grid; научное объяснение сформировано по ароматическому профилю и пищевой матрице.</x:v>
      </x:c>
      <x:c r="AD265" s="28" t="n">
        <x:v>1</x:v>
      </x:c>
      <x:c r="AE265" s="28" t="n">
        <x:v>1</x:v>
      </x:c>
      <x:c r="AF265" s="28" t="n">
        <x:f>IF(Z265="Высокая",3,IF(Z265="Средняя",2,1))+AD265*2+MIN(AE265,3)</x:f>
        <x:v>5</x:v>
      </x:c>
    </x:row>
    <x:row r="266" ht="62" customHeight="1">
      <x:c r="A266" s="28" t="str">
        <x:v>NCT-0265</x:v>
      </x:c>
      <x:c r="B266" s="28" t="str">
        <x:v>кофе</x:v>
      </x:c>
      <x:c r="C266" s="28" t="str">
        <x:v>Десерты и выпечка</x:v>
      </x:c>
      <x:c r="D266" s="28" t="str">
        <x:v>кофе</x:v>
      </x:c>
      <x:c r="E266" s="28" t="str">
        <x:v>roastedArabica coffee bean</x:v>
      </x:c>
      <x:c r="F266" s="28" t="str">
        <x:v>Кофе</x:v>
      </x:c>
      <x:c r="G266" s="28" t="str">
        <x:v>манго</x:v>
      </x:c>
      <x:c r="H266" s="28" t="str">
        <x:v>mango</x:v>
      </x:c>
      <x:c r="I266" s="28" t="str">
        <x:v>Фрукты и ягоды</x:v>
      </x:c>
      <x:c r="J266" s="28" t="str">
        <x:v>жареный, ореховый, карамельный, цветочный, фруктовый, фенольный и древесный</x:v>
      </x:c>
      <x:c r="K266" s="28" t="str">
        <x:v>фруктовый, цветочный и свежий</x:v>
      </x:c>
      <x:c r="L266" s="28" t="str">
        <x:v>пиразины, фураны, гваякол, 2-фурфурилтиол, диацетил</x:v>
      </x:c>
      <x:c r="M266" s="28" t="str">
        <x:v>альдегиды, эфиры</x:v>
      </x:c>
      <x:c r="N266" s="28" t="str">
        <x:v>цветочный</x:v>
      </x:c>
      <x:c r="O266" s="28" t="str">
        <x:v>надежная общая ключевая молекула не подтверждена</x:v>
      </x:c>
      <x:c r="P266" s="28" t="str">
        <x:v>пересечение ароматических семейств, контраст кислоты и жирной/горькой матрицы</x:v>
      </x:c>
      <x:c r="Q266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66" s="28" t="str">
        <x:v>сухость и горечь; кофеин не имеет сильного запаха, но влияет на вкус и физиологию</x:v>
      </x:c>
      <x:c r="S266" s="28" t="str">
        <x:v>водный напиток с растворёнными кислотами, меланоидинами и маслами; в зерне — пористая обжаренная матрица Водная фруктовая фаза требует эмульсии или мелкого измельчения, если орех или шоколад вводится как паста.</x:v>
      </x:c>
      <x:c r="T26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66" s="28" t="str">
        <x:v>Кофе имеет профиль «жареный, ореховый, карамельный, цветочный, фруктовый, фенольный и древесный». Партнёр «манго»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V26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W266" s="28" t="str">
        <x:v>ваниль, цитрус или молочный жир</x:v>
      </x:c>
      <x:c r="X266" s="28" t="str">
        <x:v>кофейный напиток, холодный кофе, крем, сироп, десерт или соус с манго</x:v>
      </x:c>
      <x:c r="Y266" s="28" t="str">
        <x:v>напитки, десерты</x:v>
      </x:c>
      <x:c r="Z266" s="28" t="str">
        <x:v>Средняя</x:v>
      </x:c>
      <x:c r="AA266" s="28" t="str">
        <x:v>The Art &amp; Science of Foodpairing.pdf</x:v>
      </x:c>
      <x:c r="AB266" s="28" t="str">
        <x:v>The Art &amp; Science of Foodpairing.pdf: 312</x:v>
      </x:c>
      <x:c r="AC266" s="28" t="str">
        <x:v>Пара встречается как grid; научное объяснение сформировано по ароматическому профилю и пищевой матрице.</x:v>
      </x:c>
      <x:c r="AD266" s="28" t="n">
        <x:v>1</x:v>
      </x:c>
      <x:c r="AE266" s="28" t="n">
        <x:v>1</x:v>
      </x:c>
      <x:c r="AF266" s="28" t="n">
        <x:f>IF(Z266="Высокая",3,IF(Z266="Средняя",2,1))+AD266*2+MIN(AE266,3)</x:f>
        <x:v>5</x:v>
      </x:c>
    </x:row>
    <x:row r="267" ht="62" customHeight="1">
      <x:c r="A267" s="28" t="str">
        <x:v>NCT-0266</x:v>
      </x:c>
      <x:c r="B267" s="28" t="str">
        <x:v>кофе</x:v>
      </x:c>
      <x:c r="C267" s="28" t="str">
        <x:v>Универсальные</x:v>
      </x:c>
      <x:c r="D267" s="28" t="str">
        <x:v>кофе</x:v>
      </x:c>
      <x:c r="E267" s="28" t="str">
        <x:v>кофе</x:v>
      </x:c>
      <x:c r="F267" s="28" t="str">
        <x:v>Кофе</x:v>
      </x:c>
      <x:c r="G267" s="28" t="str">
        <x:v>мандарин</x:v>
      </x:c>
      <x:c r="H267" s="28" t="str">
        <x:v>Мандарин</x:v>
      </x:c>
      <x:c r="I267" s="28" t="str">
        <x:v>Прочее</x:v>
      </x:c>
      <x:c r="J267" s="28" t="str">
        <x:v>жареный, ореховый, карамельный, цветочный, фруктовый, фенольный и древесный</x:v>
      </x:c>
      <x:c r="K267" s="28" t="str">
        <x:v>профиль зависит от конкретного продукта</x:v>
      </x:c>
      <x:c r="L267" s="28" t="str">
        <x:v>пиразины, фураны, гваякол, 2-фурфурилтиол, диацетил</x:v>
      </x:c>
      <x:c r="M267" s="28" t="str">
        <x:v>характерный профиль зависит от конкретного продукта</x:v>
      </x:c>
      <x:c r="N267" s="28" t="str">
        <x:v>прямое пересечение семейств не является единственным объяснением</x:v>
      </x:c>
      <x:c r="O267" s="28" t="str">
        <x:v>надежная общая ключевая молекула не подтверждена</x:v>
      </x:c>
      <x:c r="P267" s="28" t="str">
        <x:v>сенсорная комплементарность</x:v>
      </x:c>
      <x:c r="Q267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67" s="28" t="str">
        <x:v>сухость и горечь; кофеин не имеет сильного запаха, но влияет на вкус и физиологию</x:v>
      </x:c>
      <x:c r="S267" s="28" t="str">
        <x:v>водный напиток с растворёнными кислотами, меланоидинами и маслами; в зерне — пористая обжаренная матрица</x:v>
      </x:c>
      <x:c r="T26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67" s="28" t="str">
        <x:v>Кофе имеет профиль «жареный, ореховый, карамельный, цветочный, фруктовый, фенольный и древесный». Партнёр «мандарин»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6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67" s="28" t="str">
        <x:v>соль, ваниль или карамель</x:v>
      </x:c>
      <x:c r="X267" s="28" t="str">
        <x:v>кофейный напиток, холодный кофе, крем, сироп, десерт или соус с мандарин</x:v>
      </x:c>
      <x:c r="Y267" s="28" t="str">
        <x:v>напитки</x:v>
      </x:c>
      <x:c r="Z267" s="28" t="str">
        <x:v>Гипотеза / практическая</x:v>
      </x:c>
      <x:c r="AA267" s="28" t="str">
        <x:v>Таблица сочетания(1).pdf</x:v>
      </x:c>
      <x:c r="AB267" s="28" t="str">
        <x:v>Таблица сочетания(1).pdf: 12</x:v>
      </x:c>
      <x:c r="AC267" s="28" t="str">
        <x:v>Пара встречается как table; научное объяснение сформировано по ароматическому профилю и пищевой матрице.</x:v>
      </x:c>
      <x:c r="AD267" s="28" t="n">
        <x:v>1</x:v>
      </x:c>
      <x:c r="AE267" s="28" t="n">
        <x:v>1</x:v>
      </x:c>
      <x:c r="AF267" s="28" t="n">
        <x:f>IF(Z267="Высокая",3,IF(Z267="Средняя",2,1))+AD267*2+MIN(AE267,3)</x:f>
        <x:v>4</x:v>
      </x:c>
    </x:row>
    <x:row r="268" ht="62" customHeight="1">
      <x:c r="A268" s="28" t="str">
        <x:v>NCT-0267</x:v>
      </x:c>
      <x:c r="B268" s="28" t="str">
        <x:v>кофе</x:v>
      </x:c>
      <x:c r="C268" s="28" t="str">
        <x:v>Универсальные</x:v>
      </x:c>
      <x:c r="D268" s="28" t="str">
        <x:v>кофе</x:v>
      </x:c>
      <x:c r="E268" s="28" t="str">
        <x:v>coffee</x:v>
      </x:c>
      <x:c r="F268" s="28" t="str">
        <x:v>Кофе</x:v>
      </x:c>
      <x:c r="G268" s="28" t="str">
        <x:v>мирин</x:v>
      </x:c>
      <x:c r="H268" s="28" t="str">
        <x:v>mirin (Japanese sweet rice wine)</x:v>
      </x:c>
      <x:c r="I268" s="28" t="str">
        <x:v>Прочее</x:v>
      </x:c>
      <x:c r="J268" s="28" t="str">
        <x:v>жареный, ореховый, карамельный, цветочный, фруктовый, фенольный и древесный</x:v>
      </x:c>
      <x:c r="K268" s="28" t="str">
        <x:v>профиль зависит от конкретного продукта</x:v>
      </x:c>
      <x:c r="L268" s="28" t="str">
        <x:v>пиразины, фураны, гваякол, 2-фурфурилтиол, диацетил</x:v>
      </x:c>
      <x:c r="M268" s="28" t="str">
        <x:v>характерный профиль зависит от конкретного продукта</x:v>
      </x:c>
      <x:c r="N268" s="28" t="str">
        <x:v>прямое пересечение семейств не является единственным объяснением</x:v>
      </x:c>
      <x:c r="O268" s="28" t="str">
        <x:v>надежная общая ключевая молекула не подтверждена</x:v>
      </x:c>
      <x:c r="P268" s="28" t="str">
        <x:v>сенсорная комплементарность</x:v>
      </x:c>
      <x:c r="Q268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68" s="28" t="str">
        <x:v>сухость и горечь; кофеин не имеет сильного запаха, но влияет на вкус и физиологию</x:v>
      </x:c>
      <x:c r="S268" s="28" t="str">
        <x:v>водный напиток с растворёнными кислотами, меланоидинами и маслами; в зерне — пористая обжаренная матрица</x:v>
      </x:c>
      <x:c r="T26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68" s="28" t="str">
        <x:v>Кофе имеет профиль «жареный, ореховый, карамельный, цветочный, фруктовый, фенольный и древесный». Партнёр «мирин»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6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68" s="28" t="str">
        <x:v>соль, ваниль или карамель</x:v>
      </x:c>
      <x:c r="X268" s="28" t="str">
        <x:v>кофейный напиток, холодный кофе, крем, сироп, десерт или соус с мирин</x:v>
      </x:c>
      <x:c r="Y268" s="28" t="str">
        <x:v>напитки</x:v>
      </x:c>
      <x:c r="Z268" s="28" t="str">
        <x:v>Средняя</x:v>
      </x:c>
      <x:c r="AA268" s="28" t="str">
        <x:v>The Art &amp; Science of Foodpairing.pdf</x:v>
      </x:c>
      <x:c r="AB268" s="28" t="str">
        <x:v>The Art &amp; Science of Foodpairing.pdf: 297</x:v>
      </x:c>
      <x:c r="AC268" s="28" t="str">
        <x:v>Пара встречается как grid; научное объяснение сформировано по ароматическому профилю и пищевой матрице.</x:v>
      </x:c>
      <x:c r="AD268" s="28" t="n">
        <x:v>1</x:v>
      </x:c>
      <x:c r="AE268" s="28" t="n">
        <x:v>1</x:v>
      </x:c>
      <x:c r="AF268" s="28" t="n">
        <x:f>IF(Z268="Высокая",3,IF(Z268="Средняя",2,1))+AD268*2+MIN(AE268,3)</x:f>
        <x:v>5</x:v>
      </x:c>
    </x:row>
    <x:row r="269" ht="62" customHeight="1">
      <x:c r="A269" s="28" t="str">
        <x:v>NCT-0268</x:v>
      </x:c>
      <x:c r="B269" s="28" t="str">
        <x:v>кофе</x:v>
      </x:c>
      <x:c r="C269" s="28" t="str">
        <x:v>Десерты и выпечка</x:v>
      </x:c>
      <x:c r="D269" s="28" t="str">
        <x:v>кофе</x:v>
      </x:c>
      <x:c r="E269" s="28" t="str">
        <x:v>кофе</x:v>
      </x:c>
      <x:c r="F269" s="28" t="str">
        <x:v>Кофе</x:v>
      </x:c>
      <x:c r="G269" s="28" t="str">
        <x:v>мускатный орех</x:v>
      </x:c>
      <x:c r="H269" s="28" t="str">
        <x:v>Мускатный орех</x:v>
      </x:c>
      <x:c r="I269" s="28" t="str">
        <x:v>Орехи и семена</x:v>
      </x:c>
      <x:c r="J269" s="28" t="str">
        <x:v>жареный, ореховый, карамельный, цветочный, фруктовый, фенольный и древесный</x:v>
      </x:c>
      <x:c r="K269" s="28" t="str">
        <x:v>камфорный, ореховый, пряный</x:v>
      </x:c>
      <x:c r="L269" s="28" t="str">
        <x:v>пиразины, фураны, гваякол, 2-фурфурилтиол, диацетил</x:v>
      </x:c>
      <x:c r="M269" s="28" t="str">
        <x:v>пинены, сабинен</x:v>
      </x:c>
      <x:c r="N269" s="28" t="str">
        <x:v>ореховый</x:v>
      </x:c>
      <x:c r="O269" s="28" t="str">
        <x:v>надежная общая ключевая молекула не подтверждена</x:v>
      </x:c>
      <x:c r="P269" s="28" t="str">
        <x:v>пересечение ароматических семейств, жареная химия и реакции Майяра</x:v>
      </x:c>
      <x:c r="Q269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69" s="28" t="str">
        <x:v>сухость и горечь; кофеин не имеет сильного запаха, но влияет на вкус и физиологию</x:v>
      </x:c>
      <x:c r="S269" s="28" t="str">
        <x:v>водный напиток с растворёнными кислотами, меланоидинами и маслами; в зерне — пористая обжаренная матрица</x:v>
      </x:c>
      <x:c r="T26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69" s="28" t="str">
        <x:v>Кофе имеет профиль «жареный, ореховый, карамельный, цветочный, фруктовый, фенольный и древесный».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ореховый; механизм не следует сводить к одной общей молекуле.</x:v>
      </x:c>
      <x:c r="V26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69" s="28" t="str">
        <x:v>соль, ваниль или карамель</x:v>
      </x:c>
      <x:c r="X269" s="28" t="str">
        <x:v>кофейный напиток, холодный кофе, крем, сироп, десерт или соус с мускатный орех</x:v>
      </x:c>
      <x:c r="Y269" s="28" t="str">
        <x:v>напитки, десерты</x:v>
      </x:c>
      <x:c r="Z269" s="28" t="str">
        <x:v>Гипотеза / практическая</x:v>
      </x:c>
      <x:c r="AA269" s="28" t="str">
        <x:v>Таблица сочетания(1).pdf</x:v>
      </x:c>
      <x:c r="AB269" s="28" t="str">
        <x:v>Таблица сочетания(1).pdf: 14</x:v>
      </x:c>
      <x:c r="AC269" s="28" t="str">
        <x:v>Пара встречается как table; научное объяснение сформировано по ароматическому профилю и пищевой матрице.</x:v>
      </x:c>
      <x:c r="AD269" s="28" t="n">
        <x:v>1</x:v>
      </x:c>
      <x:c r="AE269" s="28" t="n">
        <x:v>1</x:v>
      </x:c>
      <x:c r="AF269" s="28" t="n">
        <x:f>IF(Z269="Высокая",3,IF(Z269="Средняя",2,1))+AD269*2+MIN(AE269,3)</x:f>
        <x:v>4</x:v>
      </x:c>
    </x:row>
    <x:row r="270" ht="62" customHeight="1">
      <x:c r="A270" s="28" t="str">
        <x:v>NCT-0269</x:v>
      </x:c>
      <x:c r="B270" s="28" t="str">
        <x:v>кофе</x:v>
      </x:c>
      <x:c r="C270" s="28" t="str">
        <x:v>Универсальные</x:v>
      </x:c>
      <x:c r="D270" s="28" t="str">
        <x:v>кофе</x:v>
      </x:c>
      <x:c r="E270" s="28" t="str">
        <x:v>coffee</x:v>
      </x:c>
      <x:c r="F270" s="28" t="str">
        <x:v>Кофе</x:v>
      </x:c>
      <x:c r="G270" s="28" t="str">
        <x:v>мягкий сыр</x:v>
      </x:c>
      <x:c r="H270" s="28" t="str">
        <x:v>soft cheese</x:v>
      </x:c>
      <x:c r="I270" s="28" t="str">
        <x:v>Молочные продукты и сыры</x:v>
      </x:c>
      <x:c r="J270" s="28" t="str">
        <x:v>жареный, ореховый, карамельный, цветочный, фруктовый, фенольный и древесный</x:v>
      </x:c>
      <x:c r="K270" s="28" t="str">
        <x:v>молочный, умами, ферментированный</x:v>
      </x:c>
      <x:c r="L270" s="28" t="str">
        <x:v>пиразины, фураны, гваякол, 2-фурфурилтиол, диацетил</x:v>
      </x:c>
      <x:c r="M270" s="28" t="str">
        <x:v>диацетил, жирные кислоты</x:v>
      </x:c>
      <x:c r="N270" s="28" t="str">
        <x:v>прямое пересечение семейств не является единственным объяснением</x:v>
      </x:c>
      <x:c r="O270" s="28" t="str">
        <x:v>диацетил</x:v>
      </x:c>
      <x:c r="P270" s="28" t="str">
        <x:v>общие ароматические соединения, жировая экстракция и связывание полифенолов белком</x:v>
      </x:c>
      <x:c r="Q270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70" s="28" t="str">
        <x:v>сухость и горечь; кофеин не имеет сильного запаха, но влияет на вкус и физиологию</x:v>
      </x:c>
      <x:c r="S270" s="28" t="str">
        <x:v>водный напиток с растворёнными кислотами, меланоидинами и маслами; в зерне — пористая обжаренная матрица Совпадающие жирные фазы облегчают перенос аромата, но могут сделать продукт тяжёлым.</x:v>
      </x:c>
      <x:c r="T27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70" s="28" t="str">
        <x:v>Кофе имеет профиль «жареный, ореховый, карамельный, цветочный, фруктовый, фенольный и древесный». Партнёр «мягкий сыр» относится к группе «Молочные продукты и сыры» и даёт молочный, умами,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V27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W270" s="28" t="str">
        <x:v>мёд, карамель или фруктовая кислота</x:v>
      </x:c>
      <x:c r="X270" s="28" t="str">
        <x:v>кофейный напиток, холодный кофе, крем, сироп, десерт или соус с мягкий сыр</x:v>
      </x:c>
      <x:c r="Y270" s="28" t="str">
        <x:v>напитки, десерты</x:v>
      </x:c>
      <x:c r="Z270" s="28" t="str">
        <x:v>Средняя</x:v>
      </x:c>
      <x:c r="AA270" s="28" t="str">
        <x:v>The Art &amp; Science of Foodpairing.pdf</x:v>
      </x:c>
      <x:c r="AB270" s="28" t="str">
        <x:v>The Art &amp; Science of Foodpairing.pdf: 297</x:v>
      </x:c>
      <x:c r="AC270" s="28" t="str">
        <x:v>Пара встречается как grid; научное объяснение сформировано по ароматическому профилю и пищевой матрице.</x:v>
      </x:c>
      <x:c r="AD270" s="28" t="n">
        <x:v>1</x:v>
      </x:c>
      <x:c r="AE270" s="28" t="n">
        <x:v>1</x:v>
      </x:c>
      <x:c r="AF270" s="28" t="n">
        <x:f>IF(Z270="Высокая",3,IF(Z270="Средняя",2,1))+AD270*2+MIN(AE270,3)</x:f>
        <x:v>5</x:v>
      </x:c>
    </x:row>
    <x:row r="271" ht="62" customHeight="1">
      <x:c r="A271" s="28" t="str">
        <x:v>NCT-0270</x:v>
      </x:c>
      <x:c r="B271" s="28" t="str">
        <x:v>кофе</x:v>
      </x:c>
      <x:c r="C271" s="28" t="str">
        <x:v>Универсальные</x:v>
      </x:c>
      <x:c r="D271" s="28" t="str">
        <x:v>кофе</x:v>
      </x:c>
      <x:c r="E271" s="28" t="str">
        <x:v>Кофе</x:v>
      </x:c>
      <x:c r="F271" s="28" t="str">
        <x:v>Кофе</x:v>
      </x:c>
      <x:c r="G271" s="28" t="str">
        <x:v>мята</x:v>
      </x:c>
      <x:c r="H271" s="28" t="str">
        <x:v>мята</x:v>
      </x:c>
      <x:c r="I271" s="28" t="str">
        <x:v>Травы, цветы и листья</x:v>
      </x:c>
      <x:c r="J271" s="28" t="str">
        <x:v>жареный, ореховый, карамельный, цветочный, фруктовый, фенольный и древесный</x:v>
      </x:c>
      <x:c r="K271" s="28" t="str">
        <x:v>зелёный, холодящий</x:v>
      </x:c>
      <x:c r="L271" s="28" t="str">
        <x:v>пиразины, фураны, гваякол, 2-фурфурилтиол, диацетил</x:v>
      </x:c>
      <x:c r="M271" s="28" t="str">
        <x:v>ментол</x:v>
      </x:c>
      <x:c r="N271" s="28" t="str">
        <x:v>прямое пересечение семейств не является единственным объяснением</x:v>
      </x:c>
      <x:c r="O271" s="28" t="str">
        <x:v>надежная общая ключевая молекула не подтверждена</x:v>
      </x:c>
      <x:c r="P271" s="28" t="str">
        <x:v>сенсорная комплементарность</x:v>
      </x:c>
      <x:c r="Q271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71" s="28" t="str">
        <x:v>сухость и горечь; кофеин не имеет сильного запаха, но влияет на вкус и физиологию</x:v>
      </x:c>
      <x:c r="S271" s="28" t="str">
        <x:v>водный напиток с растворёнными кислотами, меланоидинами и маслами; в зерне — пористая обжаренная матрица</x:v>
      </x:c>
      <x:c r="T27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71" s="28" t="str">
        <x:v>Кофе имеет профиль «жареный, ореховый, карамельный, цветочный, фруктовый, фенольный и древесный». Партнёр «мята» относится к группе «Травы, цветы и листья» и даёт зелёный, холодящий.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7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71" s="28" t="str">
        <x:v>цитрус, мёд или сливки</x:v>
      </x:c>
      <x:c r="X271" s="28" t="str">
        <x:v>кофейный напиток, холодный кофе, крем, сироп, десерт или соус с мята</x:v>
      </x:c>
      <x:c r="Y271" s="28" t="str">
        <x:v>напитки</x:v>
      </x:c>
      <x:c r="Z271" s="28" t="str">
        <x:v>Гипотеза / практическая</x:v>
      </x:c>
      <x:c r="AA271" s="28" t="str">
        <x:v>Таблица сочетания(1).pdf</x:v>
      </x:c>
      <x:c r="AB271" s="28" t="str">
        <x:v>Таблица сочетания(1).pdf: 6</x:v>
      </x:c>
      <x:c r="AC271" s="28" t="str">
        <x:v>Пара встречается как table; научное объяснение сформировано по ароматическому профилю и пищевой матрице.</x:v>
      </x:c>
      <x:c r="AD271" s="28" t="n">
        <x:v>1</x:v>
      </x:c>
      <x:c r="AE271" s="28" t="n">
        <x:v>1</x:v>
      </x:c>
      <x:c r="AF271" s="28" t="n">
        <x:f>IF(Z271="Высокая",3,IF(Z271="Средняя",2,1))+AD271*2+MIN(AE271,3)</x:f>
        <x:v>4</x:v>
      </x:c>
    </x:row>
    <x:row r="272" ht="62" customHeight="1">
      <x:c r="A272" s="28" t="str">
        <x:v>NCT-0271</x:v>
      </x:c>
      <x:c r="B272" s="28" t="str">
        <x:v>кофе</x:v>
      </x:c>
      <x:c r="C272" s="28" t="str">
        <x:v>Десерты и выпечка</x:v>
      </x:c>
      <x:c r="D272" s="28" t="str">
        <x:v>кофе</x:v>
      </x:c>
      <x:c r="E272" s="28" t="str">
        <x:v>coffee | Кофе</x:v>
      </x:c>
      <x:c r="F272" s="28" t="str">
        <x:v>Кофе</x:v>
      </x:c>
      <x:c r="G272" s="28" t="str">
        <x:v>мёд</x:v>
      </x:c>
      <x:c r="H272" s="28" t="str">
        <x:v>honey | мёд</x:v>
      </x:c>
      <x:c r="I272" s="28" t="str">
        <x:v>Выпечка, сахара и десерты</x:v>
      </x:c>
      <x:c r="J272" s="28" t="str">
        <x:v>жареный, ореховый, карамельный, цветочный, фруктовый, фенольный и древесный</x:v>
      </x:c>
      <x:c r="K272" s="28" t="str">
        <x:v>медовый, цветочный</x:v>
      </x:c>
      <x:c r="L272" s="28" t="str">
        <x:v>пиразины, фураны, гваякол, 2-фурфурилтиол, диацетил</x:v>
      </x:c>
      <x:c r="M272" s="28" t="str">
        <x:v>норизопреноиды, фенилуксусная кислота</x:v>
      </x:c>
      <x:c r="N272" s="28" t="str">
        <x:v>цветочный</x:v>
      </x:c>
      <x:c r="O272" s="28" t="str">
        <x:v>надежная общая ключевая молекула не подтверждена</x:v>
      </x:c>
      <x:c r="P272" s="28" t="str">
        <x:v>пересечение ароматических семейств, жареная химия и реакции Майяра</x:v>
      </x:c>
      <x:c r="Q272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72" s="28" t="str">
        <x:v>сухость и горечь; кофеин не имеет сильного запаха, но влияет на вкус и физиологию</x:v>
      </x:c>
      <x:c r="S272" s="28" t="str">
        <x:v>водный напиток с растворёнными кислотами, меланоидинами и маслами; в зерне — пористая обжаренная матрица</x:v>
      </x:c>
      <x:c r="T27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72" s="28" t="str">
        <x:v>Кофе имеет профиль «жареный, ореховый, карамельный, цветочный, фруктовый, фенольный и древесный». Партнёр «мёд» относится к группе «Выпечка, сахара и десерты» и даёт медовый, цветочный. Профили пересекаются в семействах: цветочный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V27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72" s="28" t="str">
        <x:v>соль, ваниль или карамель</x:v>
      </x:c>
      <x:c r="X272" s="28" t="str">
        <x:v>кофейный напиток, холодный кофе, крем, сироп, десерт или соус с мёд</x:v>
      </x:c>
      <x:c r="Y272" s="28" t="str">
        <x:v>напитки, десерты</x:v>
      </x:c>
      <x:c r="Z272" s="28" t="str">
        <x:v>Высокая</x:v>
      </x:c>
      <x:c r="AA272" s="28" t="str">
        <x:v>The Art &amp; Science of Foodpairing.pdf | Таблица сочетания(1).pdf</x:v>
      </x:c>
      <x:c r="AB272" s="28" t="str">
        <x:v>The Art &amp; Science of Foodpairing.pdf: 297; Таблица сочетания(1).pdf: 6</x:v>
      </x:c>
      <x:c r="AC272" s="28" t="str">
        <x:v>Пара встречается как grid, table; научное объяснение сформировано по ароматическому профилю и пищевой матрице.</x:v>
      </x:c>
      <x:c r="AD272" s="28" t="n">
        <x:v>2</x:v>
      </x:c>
      <x:c r="AE272" s="28" t="n">
        <x:v>2</x:v>
      </x:c>
      <x:c r="AF272" s="28" t="n">
        <x:f>IF(Z272="Высокая",3,IF(Z272="Средняя",2,1))+AD272*2+MIN(AE272,3)</x:f>
        <x:v>9</x:v>
      </x:c>
    </x:row>
    <x:row r="273" ht="62" customHeight="1">
      <x:c r="A273" s="28" t="str">
        <x:v>NCT-0272</x:v>
      </x:c>
      <x:c r="B273" s="28" t="str">
        <x:v>кофе</x:v>
      </x:c>
      <x:c r="C273" s="28" t="str">
        <x:v>Универсальные</x:v>
      </x:c>
      <x:c r="D273" s="28" t="str">
        <x:v>кофе</x:v>
      </x:c>
      <x:c r="E273" s="28" t="str">
        <x:v>freshly ground coffee</x:v>
      </x:c>
      <x:c r="F273" s="28" t="str">
        <x:v>Кофе</x:v>
      </x:c>
      <x:c r="G273" s="28" t="str">
        <x:v>оливковое масло</x:v>
      </x:c>
      <x:c r="H273" s="28" t="str">
        <x:v>olive oil</x:v>
      </x:c>
      <x:c r="I273" s="28" t="str">
        <x:v>Масла и жиры</x:v>
      </x:c>
      <x:c r="J273" s="28" t="str">
        <x:v>жареный, ореховый, карамельный, цветочный, фруктовый, фенольный и древесный</x:v>
      </x:c>
      <x:c r="K273" s="28" t="str">
        <x:v>жирный и мягкий</x:v>
      </x:c>
      <x:c r="L273" s="28" t="str">
        <x:v>пиразины, фураны, гваякол, 2-фурфурилтиол, диацетил</x:v>
      </x:c>
      <x:c r="M273" s="28" t="str">
        <x:v>альдегиды, лактоны</x:v>
      </x:c>
      <x:c r="N273" s="28" t="str">
        <x:v>прямое пересечение семейств не является единственным объяснением</x:v>
      </x:c>
      <x:c r="O273" s="28" t="str">
        <x:v>надежная общая ключевая молекула не подтверждена</x:v>
      </x:c>
      <x:c r="P273" s="28" t="str">
        <x:v>сенсорная комплементарность</x:v>
      </x:c>
      <x:c r="Q273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73" s="28" t="str">
        <x:v>сухость и горечь; кофеин не имеет сильного запаха, но влияет на вкус и физиологию</x:v>
      </x:c>
      <x:c r="S273" s="28" t="str">
        <x:v>водный напиток с растворёнными кислотами, меланоидинами и маслами; в зерне — пористая обжаренная матрица</x:v>
      </x:c>
      <x:c r="T27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73" s="28" t="str">
        <x:v>Кофе имеет профиль «жареный, ореховый, карамельный, цветочный, фруктовый, фенольный и древесный». Партнёр «оливковое масло» относится к группе «Масла и жиры» и даёт жирный и мягкий.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7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73" s="28" t="str">
        <x:v>соль, ваниль или карамель</x:v>
      </x:c>
      <x:c r="X273" s="28" t="str">
        <x:v>кофейный напиток, холодный кофе, крем, сироп, десерт или соус с оливковое масло</x:v>
      </x:c>
      <x:c r="Y273" s="28" t="str">
        <x:v>напитки</x:v>
      </x:c>
      <x:c r="Z273" s="28" t="str">
        <x:v>Средняя</x:v>
      </x:c>
      <x:c r="AA273" s="28" t="str">
        <x:v>The Art &amp; Science of Foodpairing.pdf</x:v>
      </x:c>
      <x:c r="AB273" s="28" t="str">
        <x:v>The Art &amp; Science of Foodpairing.pdf: 172</x:v>
      </x:c>
      <x:c r="AC273" s="28" t="str">
        <x:v>Пара встречается как grid; научное объяснение сформировано по ароматическому профилю и пищевой матрице.</x:v>
      </x:c>
      <x:c r="AD273" s="28" t="n">
        <x:v>1</x:v>
      </x:c>
      <x:c r="AE273" s="28" t="n">
        <x:v>1</x:v>
      </x:c>
      <x:c r="AF273" s="28" t="n">
        <x:f>IF(Z273="Высокая",3,IF(Z273="Средняя",2,1))+AD273*2+MIN(AE273,3)</x:f>
        <x:v>5</x:v>
      </x:c>
    </x:row>
    <x:row r="274" ht="62" customHeight="1">
      <x:c r="A274" s="28" t="str">
        <x:v>NCT-0273</x:v>
      </x:c>
      <x:c r="B274" s="28" t="str">
        <x:v>кофе</x:v>
      </x:c>
      <x:c r="C274" s="28" t="str">
        <x:v>Универсальные</x:v>
      </x:c>
      <x:c r="D274" s="28" t="str">
        <x:v>кофе</x:v>
      </x:c>
      <x:c r="E274" s="28" t="str">
        <x:v>coffee</x:v>
      </x:c>
      <x:c r="F274" s="28" t="str">
        <x:v>Кофе</x:v>
      </x:c>
      <x:c r="G274" s="28" t="str">
        <x:v>оливковое масло арбекина</x:v>
      </x:c>
      <x:c r="H274" s="28" t="str">
        <x:v>Arbequina olive oil</x:v>
      </x:c>
      <x:c r="I274" s="28" t="str">
        <x:v>Масла и жиры</x:v>
      </x:c>
      <x:c r="J274" s="28" t="str">
        <x:v>жареный, ореховый, карамельный, цветочный, фруктовый, фенольный и древесный</x:v>
      </x:c>
      <x:c r="K274" s="28" t="str">
        <x:v>жирный и мягкий</x:v>
      </x:c>
      <x:c r="L274" s="28" t="str">
        <x:v>пиразины, фураны, гваякол, 2-фурфурилтиол, диацетил</x:v>
      </x:c>
      <x:c r="M274" s="28" t="str">
        <x:v>альдегиды, лактоны</x:v>
      </x:c>
      <x:c r="N274" s="28" t="str">
        <x:v>прямое пересечение семейств не является единственным объяснением</x:v>
      </x:c>
      <x:c r="O274" s="28" t="str">
        <x:v>надежная общая ключевая молекула не подтверждена</x:v>
      </x:c>
      <x:c r="P274" s="28" t="str">
        <x:v>сенсорная комплементарность</x:v>
      </x:c>
      <x:c r="Q274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74" s="28" t="str">
        <x:v>сухость и горечь; кофеин не имеет сильного запаха, но влияет на вкус и физиологию</x:v>
      </x:c>
      <x:c r="S274" s="28" t="str">
        <x:v>водный напиток с растворёнными кислотами, меланоидинами и маслами; в зерне — пористая обжаренная матрица</x:v>
      </x:c>
      <x:c r="T27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74" s="28" t="str">
        <x:v>Кофе имеет профиль «жареный, ореховый, карамельный, цветочный, фруктовый, фенольный и древесный». Партнёр «оливковое масло арбекина» относится к группе «Масла и жиры» и даёт жирный и мягкий.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7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74" s="28" t="str">
        <x:v>соль, ваниль или карамель</x:v>
      </x:c>
      <x:c r="X274" s="28" t="str">
        <x:v>кофейный напиток, холодный кофе, крем, сироп, десерт или соус с оливковое масло арбекина</x:v>
      </x:c>
      <x:c r="Y274" s="28" t="str">
        <x:v>напитки</x:v>
      </x:c>
      <x:c r="Z274" s="28" t="str">
        <x:v>Средняя</x:v>
      </x:c>
      <x:c r="AA274" s="28" t="str">
        <x:v>The Art &amp; Science of Foodpairing.pdf</x:v>
      </x:c>
      <x:c r="AB274" s="28" t="str">
        <x:v>The Art &amp; Science of Foodpairing.pdf: 297</x:v>
      </x:c>
      <x:c r="AC274" s="28" t="str">
        <x:v>Пара встречается как grid; научное объяснение сформировано по ароматическому профилю и пищевой матрице.</x:v>
      </x:c>
      <x:c r="AD274" s="28" t="n">
        <x:v>1</x:v>
      </x:c>
      <x:c r="AE274" s="28" t="n">
        <x:v>1</x:v>
      </x:c>
      <x:c r="AF274" s="28" t="n">
        <x:f>IF(Z274="Высокая",3,IF(Z274="Средняя",2,1))+AD274*2+MIN(AE274,3)</x:f>
        <x:v>5</x:v>
      </x:c>
    </x:row>
    <x:row r="275" ht="62" customHeight="1">
      <x:c r="A275" s="28" t="str">
        <x:v>NCT-0274</x:v>
      </x:c>
      <x:c r="B275" s="28" t="str">
        <x:v>кофе</x:v>
      </x:c>
      <x:c r="C275" s="28" t="str">
        <x:v>Универсальные</x:v>
      </x:c>
      <x:c r="D275" s="28" t="str">
        <x:v>кофе</x:v>
      </x:c>
      <x:c r="E275" s="28" t="str">
        <x:v>coffee</x:v>
      </x:c>
      <x:c r="F275" s="28" t="str">
        <x:v>Кофе</x:v>
      </x:c>
      <x:c r="G275" s="28" t="str">
        <x:v>полба</x:v>
      </x:c>
      <x:c r="H275" s="28" t="str">
        <x:v>cooked spelt</x:v>
      </x:c>
      <x:c r="I275" s="28" t="str">
        <x:v>Прочее</x:v>
      </x:c>
      <x:c r="J275" s="28" t="str">
        <x:v>жареный, ореховый, карамельный, цветочный, фруктовый, фенольный и древесный</x:v>
      </x:c>
      <x:c r="K275" s="28" t="str">
        <x:v>профиль зависит от конкретного продукта</x:v>
      </x:c>
      <x:c r="L275" s="28" t="str">
        <x:v>пиразины, фураны, гваякол, 2-фурфурилтиол, диацетил</x:v>
      </x:c>
      <x:c r="M275" s="28" t="str">
        <x:v>характерный профиль зависит от конкретного продукта</x:v>
      </x:c>
      <x:c r="N275" s="28" t="str">
        <x:v>прямое пересечение семейств не является единственным объяснением</x:v>
      </x:c>
      <x:c r="O275" s="28" t="str">
        <x:v>надежная общая ключевая молекула не подтверждена</x:v>
      </x:c>
      <x:c r="P275" s="28" t="str">
        <x:v>сенсорная комплементарность</x:v>
      </x:c>
      <x:c r="Q275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75" s="28" t="str">
        <x:v>сухость и горечь; кофеин не имеет сильного запаха, но влияет на вкус и физиологию</x:v>
      </x:c>
      <x:c r="S275" s="28" t="str">
        <x:v>водный напиток с растворёнными кислотами, меланоидинами и маслами; в зерне — пористая обжаренная матрица</x:v>
      </x:c>
      <x:c r="T27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75" s="28" t="str">
        <x:v>Кофе имеет профиль «жареный, ореховый, карамельный, цветочный, фруктовый, фенольный и древесный». Партнёр «полба»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7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75" s="28" t="str">
        <x:v>соль, ваниль или карамель</x:v>
      </x:c>
      <x:c r="X275" s="28" t="str">
        <x:v>кофейный напиток, холодный кофе, крем, сироп, десерт или соус с полба</x:v>
      </x:c>
      <x:c r="Y275" s="28" t="str">
        <x:v>напитки</x:v>
      </x:c>
      <x:c r="Z275" s="28" t="str">
        <x:v>Средняя</x:v>
      </x:c>
      <x:c r="AA275" s="28" t="str">
        <x:v>The Art &amp; Science of Foodpairing.pdf</x:v>
      </x:c>
      <x:c r="AB275" s="28" t="str">
        <x:v>The Art &amp; Science of Foodpairing.pdf: 297</x:v>
      </x:c>
      <x:c r="AC275" s="28" t="str">
        <x:v>Пара встречается как grid; научное объяснение сформировано по ароматическому профилю и пищевой матрице.</x:v>
      </x:c>
      <x:c r="AD275" s="28" t="n">
        <x:v>1</x:v>
      </x:c>
      <x:c r="AE275" s="28" t="n">
        <x:v>1</x:v>
      </x:c>
      <x:c r="AF275" s="28" t="n">
        <x:f>IF(Z275="Высокая",3,IF(Z275="Средняя",2,1))+AD275*2+MIN(AE275,3)</x:f>
        <x:v>5</x:v>
      </x:c>
    </x:row>
    <x:row r="276" ht="62" customHeight="1">
      <x:c r="A276" s="28" t="str">
        <x:v>NCT-0275</x:v>
      </x:c>
      <x:c r="B276" s="28" t="str">
        <x:v>кофе</x:v>
      </x:c>
      <x:c r="C276" s="28" t="str">
        <x:v>Универсальные</x:v>
      </x:c>
      <x:c r="D276" s="28" t="str">
        <x:v>кофе</x:v>
      </x:c>
      <x:c r="E276" s="28" t="str">
        <x:v>Кофе | кофе</x:v>
      </x:c>
      <x:c r="F276" s="28" t="str">
        <x:v>Кофе</x:v>
      </x:c>
      <x:c r="G276" s="28" t="str">
        <x:v>роза</x:v>
      </x:c>
      <x:c r="H276" s="28" t="str">
        <x:v>Роза | роза</x:v>
      </x:c>
      <x:c r="I276" s="28" t="str">
        <x:v>Травы, цветы и листья</x:v>
      </x:c>
      <x:c r="J276" s="28" t="str">
        <x:v>жареный, ореховый, карамельный, цветочный, фруктовый, фенольный и древесный</x:v>
      </x:c>
      <x:c r="K276" s="28" t="str">
        <x:v>цветочный</x:v>
      </x:c>
      <x:c r="L276" s="28" t="str">
        <x:v>пиразины, фураны, гваякол, 2-фурфурилтиол, диацетил</x:v>
      </x:c>
      <x:c r="M276" s="28" t="str">
        <x:v>гераниол, цитронеллол</x:v>
      </x:c>
      <x:c r="N276" s="28" t="str">
        <x:v>цветочный</x:v>
      </x:c>
      <x:c r="O276" s="28" t="str">
        <x:v>надежная общая ключевая молекула не подтверждена</x:v>
      </x:c>
      <x:c r="P276" s="28" t="str">
        <x:v>пересечение ароматических семейств</x:v>
      </x:c>
      <x:c r="Q276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76" s="28" t="str">
        <x:v>сухость и горечь; кофеин не имеет сильного запаха, но влияет на вкус и физиологию</x:v>
      </x:c>
      <x:c r="S276" s="28" t="str">
        <x:v>водный напиток с растворёнными кислотами, меланоидинами и маслами; в зерне — пористая обжаренная матрица</x:v>
      </x:c>
      <x:c r="T27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76" s="28" t="str">
        <x:v>Кофе имеет профиль «жареный, ореховый, карамельный, цветочный, фруктовый, фенольный и древесный». Партнёр «роза» относится к группе «Травы, цветы и листья» и даёт цветочный. Профили пересекаются в семействах: цветочный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V27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76" s="28" t="str">
        <x:v>цитрус, мёд или сливки</x:v>
      </x:c>
      <x:c r="X276" s="28" t="str">
        <x:v>кофейный напиток, холодный кофе, крем, сироп, десерт или соус с роза</x:v>
      </x:c>
      <x:c r="Y276" s="28" t="str">
        <x:v>напитки</x:v>
      </x:c>
      <x:c r="Z276" s="28" t="str">
        <x:v>Средняя</x:v>
      </x:c>
      <x:c r="AA276" s="28" t="str">
        <x:v>Тезариус вкусов (Ники Сегнит)(1).pdf</x:v>
      </x:c>
      <x:c r="AB276" s="28" t="str">
        <x:v>Тезариус вкусов (Ники Сегнит)(1).pdf: 47, 899</x:v>
      </x:c>
      <x:c r="AC276" s="28" t="str">
        <x:v>Пара встречается как thesaurus; научное объяснение сформировано по ароматическому профилю и пищевой матрице.</x:v>
      </x:c>
      <x:c r="AD276" s="28" t="n">
        <x:v>1</x:v>
      </x:c>
      <x:c r="AE276" s="28" t="n">
        <x:v>2</x:v>
      </x:c>
      <x:c r="AF276" s="28" t="n">
        <x:f>IF(Z276="Высокая",3,IF(Z276="Средняя",2,1))+AD276*2+MIN(AE276,3)</x:f>
        <x:v>6</x:v>
      </x:c>
    </x:row>
    <x:row r="277" ht="62" customHeight="1">
      <x:c r="A277" s="28" t="str">
        <x:v>NCT-0276</x:v>
      </x:c>
      <x:c r="B277" s="28" t="str">
        <x:v>кофе</x:v>
      </x:c>
      <x:c r="C277" s="28" t="str">
        <x:v>Напитки</x:v>
      </x:c>
      <x:c r="D277" s="28" t="str">
        <x:v>кофе</x:v>
      </x:c>
      <x:c r="E277" s="28" t="str">
        <x:v>кофе</x:v>
      </x:c>
      <x:c r="F277" s="28" t="str">
        <x:v>Кофе</x:v>
      </x:c>
      <x:c r="G277" s="28" t="str">
        <x:v>ромашка</x:v>
      </x:c>
      <x:c r="H277" s="28" t="str">
        <x:v>Ромашка</x:v>
      </x:c>
      <x:c r="I277" s="28" t="str">
        <x:v>Алкогольные напитки</x:v>
      </x:c>
      <x:c r="J277" s="28" t="str">
        <x:v>жареный, ореховый, карамельный, цветочный, фруктовый, фенольный и древесный</x:v>
      </x:c>
      <x:c r="K277" s="28" t="str">
        <x:v>спиртовой, фруктовый или древесный</x:v>
      </x:c>
      <x:c r="L277" s="28" t="str">
        <x:v>пиразины, фураны, гваякол, 2-фурфурилтиол, диацетил</x:v>
      </x:c>
      <x:c r="M277" s="28" t="str">
        <x:v>альдегиды, эфиры</x:v>
      </x:c>
      <x:c r="N277" s="28" t="str">
        <x:v>прямое пересечение семейств не является единственным объяснением</x:v>
      </x:c>
      <x:c r="O277" s="28" t="str">
        <x:v>надежная общая ключевая молекула не подтверждена</x:v>
      </x:c>
      <x:c r="P277" s="28" t="str">
        <x:v>сенсорная комплементарность</x:v>
      </x:c>
      <x:c r="Q277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77" s="28" t="str">
        <x:v>сухость и горечь; кофеин не имеет сильного запаха, но влияет на вкус и физиологию</x:v>
      </x:c>
      <x:c r="S277" s="28" t="str">
        <x:v>водный напиток с растворёнными кислотами, меланоидинами и маслами; в зерне — пористая обжаренная матрица Этанол эффективно извлекает терпены, фенолы и жареные молекулы; время контакта нужно ограничивать.</x:v>
      </x:c>
      <x:c r="T27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77" s="28" t="str">
        <x:v>Кофе имеет профиль «жареный, ореховый, карамельный, цветочный, фруктовый, фенольный и древесный». Партнёр «ромашка» относится к группе «Алкогольные напитки» и даёт спиртовой, фруктовый или древесный.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7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77" s="28" t="str">
        <x:v>соль, ваниль или карамель</x:v>
      </x:c>
      <x:c r="X277" s="28" t="str">
        <x:v>кофейный напиток, холодный кофе, крем, сироп, десерт или соус с ромашка</x:v>
      </x:c>
      <x:c r="Y277" s="28" t="str">
        <x:v>напитки</x:v>
      </x:c>
      <x:c r="Z277" s="28" t="str">
        <x:v>Гипотеза / практическая</x:v>
      </x:c>
      <x:c r="AA277" s="28" t="str">
        <x:v>Таблица сочетания(1).pdf</x:v>
      </x:c>
      <x:c r="AB277" s="28" t="str">
        <x:v>Таблица сочетания(1).pdf: 4</x:v>
      </x:c>
      <x:c r="AC277" s="28" t="str">
        <x:v>Пара встречается как table; научное объяснение сформировано по ароматическому профилю и пищевой матрице.</x:v>
      </x:c>
      <x:c r="AD277" s="28" t="n">
        <x:v>1</x:v>
      </x:c>
      <x:c r="AE277" s="28" t="n">
        <x:v>1</x:v>
      </x:c>
      <x:c r="AF277" s="28" t="n">
        <x:f>IF(Z277="Высокая",3,IF(Z277="Средняя",2,1))+AD277*2+MIN(AE277,3)</x:f>
        <x:v>4</x:v>
      </x:c>
    </x:row>
    <x:row r="278" ht="62" customHeight="1">
      <x:c r="A278" s="28" t="str">
        <x:v>NCT-0277</x:v>
      </x:c>
      <x:c r="B278" s="28" t="str">
        <x:v>кофе</x:v>
      </x:c>
      <x:c r="C278" s="28" t="str">
        <x:v>Еда и соусы</x:v>
      </x:c>
      <x:c r="D278" s="28" t="str">
        <x:v>кофе</x:v>
      </x:c>
      <x:c r="E278" s="28" t="str">
        <x:v>coffee</x:v>
      </x:c>
      <x:c r="F278" s="28" t="str">
        <x:v>Кофе</x:v>
      </x:c>
      <x:c r="G278" s="28" t="str">
        <x:v>свёкла</x:v>
      </x:c>
      <x:c r="H278" s="28" t="str">
        <x:v>pan-fried beetroot</x:v>
      </x:c>
      <x:c r="I278" s="28" t="str">
        <x:v>Овощи, бобовые и грибы</x:v>
      </x:c>
      <x:c r="J278" s="28" t="str">
        <x:v>жареный, ореховый, карамельный, цветочный, фруктовый, фенольный и древесный</x:v>
      </x:c>
      <x:c r="K278" s="28" t="str">
        <x:v>землистый, сладкий</x:v>
      </x:c>
      <x:c r="L278" s="28" t="str">
        <x:v>пиразины, фураны, гваякол, 2-фурфурилтиол, диацетил</x:v>
      </x:c>
      <x:c r="M278" s="28" t="str">
        <x:v>геосмин</x:v>
      </x:c>
      <x:c r="N278" s="28" t="str">
        <x:v>прямое пересечение семейств не является единственным объяснением</x:v>
      </x:c>
      <x:c r="O278" s="28" t="str">
        <x:v>надежная общая ключевая молекула не подтверждена</x:v>
      </x:c>
      <x:c r="P278" s="28" t="str">
        <x:v>сенсорная комплементарность</x:v>
      </x:c>
      <x:c r="Q278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78" s="28" t="str">
        <x:v>сухость и горечь; кофеин не имеет сильного запаха, но влияет на вкус и физиологию</x:v>
      </x:c>
      <x:c r="S278" s="28" t="str">
        <x:v>водный напиток с растворёнными кислотами, меланоидинами и маслами; в зерне — пористая обжаренная матрица</x:v>
      </x:c>
      <x:c r="T27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78" s="28" t="str">
        <x:v>Кофе имеет профиль «жареный, ореховый, карамельный, цветочный, фруктовый, фенольный и древесный». Партнёр «свёкла» относится к группе «Овощи, бобовые и грибы» и даёт землистый, сладкий.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7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78" s="28" t="str">
        <x:v>соль, ваниль или карамель</x:v>
      </x:c>
      <x:c r="X278" s="28" t="str">
        <x:v>кофейный напиток, холодный кофе, крем, сироп, десерт или соус с свёкла</x:v>
      </x:c>
      <x:c r="Y278" s="28" t="str">
        <x:v>напитки, еда, соусы/маринады</x:v>
      </x:c>
      <x:c r="Z278" s="28" t="str">
        <x:v>Средняя</x:v>
      </x:c>
      <x:c r="AA278" s="28" t="str">
        <x:v>The Art &amp; Science of Foodpairing.pdf</x:v>
      </x:c>
      <x:c r="AB278" s="28" t="str">
        <x:v>The Art &amp; Science of Foodpairing.pdf: 297</x:v>
      </x:c>
      <x:c r="AC278" s="28" t="str">
        <x:v>Пара встречается как grid; научное объяснение сформировано по ароматическому профилю и пищевой матрице.</x:v>
      </x:c>
      <x:c r="AD278" s="28" t="n">
        <x:v>1</x:v>
      </x:c>
      <x:c r="AE278" s="28" t="n">
        <x:v>1</x:v>
      </x:c>
      <x:c r="AF278" s="28" t="n">
        <x:f>IF(Z278="Высокая",3,IF(Z278="Средняя",2,1))+AD278*2+MIN(AE278,3)</x:f>
        <x:v>5</x:v>
      </x:c>
    </x:row>
    <x:row r="279" ht="62" customHeight="1">
      <x:c r="A279" s="28" t="str">
        <x:v>NCT-0278</x:v>
      </x:c>
      <x:c r="B279" s="28" t="str">
        <x:v>кофе</x:v>
      </x:c>
      <x:c r="C279" s="28" t="str">
        <x:v>Универсальные</x:v>
      </x:c>
      <x:c r="D279" s="28" t="str">
        <x:v>кофе</x:v>
      </x:c>
      <x:c r="E279" s="28" t="str">
        <x:v>Кофе | кофе</x:v>
      </x:c>
      <x:c r="F279" s="28" t="str">
        <x:v>Кофе</x:v>
      </x:c>
      <x:c r="G279" s="28" t="str">
        <x:v>семена кориандра</x:v>
      </x:c>
      <x:c r="H279" s="28" t="str">
        <x:v>Семена кориандра | семена кориандра</x:v>
      </x:c>
      <x:c r="I279" s="28" t="str">
        <x:v>Травы, цветы и листья</x:v>
      </x:c>
      <x:c r="J279" s="28" t="str">
        <x:v>жареный, ореховый, карамельный, цветочный, фруктовый, фенольный и древесный</x:v>
      </x:c>
      <x:c r="K279" s="28" t="str">
        <x:v>зелёный, цветочный и терпеновый</x:v>
      </x:c>
      <x:c r="L279" s="28" t="str">
        <x:v>пиразины, фураны, гваякол, 2-фурфурилтиол, диацетил</x:v>
      </x:c>
      <x:c r="M279" s="28" t="str">
        <x:v>линалоол, терпены</x:v>
      </x:c>
      <x:c r="N279" s="28" t="str">
        <x:v>цветочный</x:v>
      </x:c>
      <x:c r="O279" s="28" t="str">
        <x:v>надежная общая ключевая молекула не подтверждена</x:v>
      </x:c>
      <x:c r="P279" s="28" t="str">
        <x:v>пересечение ароматических семейств</x:v>
      </x:c>
      <x:c r="Q279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79" s="28" t="str">
        <x:v>сухость и горечь; кофеин не имеет сильного запаха, но влияет на вкус и физиологию</x:v>
      </x:c>
      <x:c r="S279" s="28" t="str">
        <x:v>водный напиток с растворёнными кислотами, меланоидинами и маслами; в зерне — пористая обжаренная матрица</x:v>
      </x:c>
      <x:c r="T27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79" s="28" t="str">
        <x:v>Кофе имеет профиль «жареный, ореховый, карамельный, цветочный, фруктовый, фенольный и древесный». Партнёр «семена кориандра» относится к группе «Травы, цветы и листья» и даёт зелёный, цветочный и терпеновый. Профили пересекаются в семействах: цветочный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V27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79" s="28" t="str">
        <x:v>цитрус, мёд или сливки</x:v>
      </x:c>
      <x:c r="X279" s="28" t="str">
        <x:v>кофейный напиток, холодный кофе, крем, сироп, десерт или соус с семена кориандра</x:v>
      </x:c>
      <x:c r="Y279" s="28" t="str">
        <x:v>напитки</x:v>
      </x:c>
      <x:c r="Z279" s="28" t="str">
        <x:v>Средняя</x:v>
      </x:c>
      <x:c r="AA279" s="28" t="str">
        <x:v>Тезариус вкусов (Ники Сегнит)(1).pdf</x:v>
      </x:c>
      <x:c r="AB279" s="28" t="str">
        <x:v>Тезариус вкусов (Ники Сегнит)(1).pdf: 47, 907</x:v>
      </x:c>
      <x:c r="AC279" s="28" t="str">
        <x:v>Пара встречается как thesaurus; научное объяснение сформировано по ароматическому профилю и пищевой матрице.</x:v>
      </x:c>
      <x:c r="AD279" s="28" t="n">
        <x:v>1</x:v>
      </x:c>
      <x:c r="AE279" s="28" t="n">
        <x:v>2</x:v>
      </x:c>
      <x:c r="AF279" s="28" t="n">
        <x:f>IF(Z279="Высокая",3,IF(Z279="Средняя",2,1))+AD279*2+MIN(AE279,3)</x:f>
        <x:v>6</x:v>
      </x:c>
    </x:row>
    <x:row r="280" ht="62" customHeight="1">
      <x:c r="A280" s="28" t="str">
        <x:v>NCT-0279</x:v>
      </x:c>
      <x:c r="B280" s="28" t="str">
        <x:v>кофе</x:v>
      </x:c>
      <x:c r="C280" s="28" t="str">
        <x:v>Универсальные</x:v>
      </x:c>
      <x:c r="D280" s="28" t="str">
        <x:v>кофе</x:v>
      </x:c>
      <x:c r="E280" s="28" t="str">
        <x:v>coffee</x:v>
      </x:c>
      <x:c r="F280" s="28" t="str">
        <x:v>Кофе</x:v>
      </x:c>
      <x:c r="G280" s="28" t="str">
        <x:v>сладкая паприка</x:v>
      </x:c>
      <x:c r="H280" s="28" t="str">
        <x:v>sweet paprika powder</x:v>
      </x:c>
      <x:c r="I280" s="28" t="str">
        <x:v>Прочее</x:v>
      </x:c>
      <x:c r="J280" s="28" t="str">
        <x:v>жареный, ореховый, карамельный, цветочный, фруктовый, фенольный и древесный</x:v>
      </x:c>
      <x:c r="K280" s="28" t="str">
        <x:v>профиль зависит от конкретного продукта</x:v>
      </x:c>
      <x:c r="L280" s="28" t="str">
        <x:v>пиразины, фураны, гваякол, 2-фурфурилтиол, диацетил</x:v>
      </x:c>
      <x:c r="M280" s="28" t="str">
        <x:v>характерный профиль зависит от конкретного продукта</x:v>
      </x:c>
      <x:c r="N280" s="28" t="str">
        <x:v>прямое пересечение семейств не является единственным объяснением</x:v>
      </x:c>
      <x:c r="O280" s="28" t="str">
        <x:v>надежная общая ключевая молекула не подтверждена</x:v>
      </x:c>
      <x:c r="P280" s="28" t="str">
        <x:v>сенсорная комплементарность</x:v>
      </x:c>
      <x:c r="Q280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80" s="28" t="str">
        <x:v>сухость и горечь; кофеин не имеет сильного запаха, но влияет на вкус и физиологию</x:v>
      </x:c>
      <x:c r="S280" s="28" t="str">
        <x:v>водный напиток с растворёнными кислотами, меланоидинами и маслами; в зерне — пористая обжаренная матрица</x:v>
      </x:c>
      <x:c r="T28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80" s="28" t="str">
        <x:v>Кофе имеет профиль «жареный, ореховый, карамельный, цветочный, фруктовый, фенольный и древесный». Партнёр «сладкая паприка»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8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80" s="28" t="str">
        <x:v>соль, ваниль или карамель</x:v>
      </x:c>
      <x:c r="X280" s="28" t="str">
        <x:v>кофейный напиток, холодный кофе, крем, сироп, десерт или соус с сладкая паприка</x:v>
      </x:c>
      <x:c r="Y280" s="28" t="str">
        <x:v>напитки</x:v>
      </x:c>
      <x:c r="Z280" s="28" t="str">
        <x:v>Средняя</x:v>
      </x:c>
      <x:c r="AA280" s="28" t="str">
        <x:v>The Art &amp; Science of Foodpairing.pdf</x:v>
      </x:c>
      <x:c r="AB280" s="28" t="str">
        <x:v>The Art &amp; Science of Foodpairing.pdf: 297</x:v>
      </x:c>
      <x:c r="AC280" s="28" t="str">
        <x:v>Пара встречается как grid; научное объяснение сформировано по ароматическому профилю и пищевой матрице.</x:v>
      </x:c>
      <x:c r="AD280" s="28" t="n">
        <x:v>1</x:v>
      </x:c>
      <x:c r="AE280" s="28" t="n">
        <x:v>1</x:v>
      </x:c>
      <x:c r="AF280" s="28" t="n">
        <x:f>IF(Z280="Высокая",3,IF(Z280="Средняя",2,1))+AD280*2+MIN(AE280,3)</x:f>
        <x:v>5</x:v>
      </x:c>
    </x:row>
    <x:row r="281" ht="62" customHeight="1">
      <x:c r="A281" s="28" t="str">
        <x:v>NCT-0280</x:v>
      </x:c>
      <x:c r="B281" s="28" t="str">
        <x:v>кофе</x:v>
      </x:c>
      <x:c r="C281" s="28" t="str">
        <x:v>Универсальные</x:v>
      </x:c>
      <x:c r="D281" s="28" t="str">
        <x:v>кофе</x:v>
      </x:c>
      <x:c r="E281" s="28" t="str">
        <x:v>coffee</x:v>
      </x:c>
      <x:c r="F281" s="28" t="str">
        <x:v>Кофе</x:v>
      </x:c>
      <x:c r="G281" s="28" t="str">
        <x:v>сливочный сыр</x:v>
      </x:c>
      <x:c r="H281" s="28" t="str">
        <x:v>cream cheese</x:v>
      </x:c>
      <x:c r="I281" s="28" t="str">
        <x:v>Молочные продукты и сыры</x:v>
      </x:c>
      <x:c r="J281" s="28" t="str">
        <x:v>жареный, ореховый, карамельный, цветочный, фруктовый, фенольный и древесный</x:v>
      </x:c>
      <x:c r="K281" s="28" t="str">
        <x:v>молочный, умами, ферментированный</x:v>
      </x:c>
      <x:c r="L281" s="28" t="str">
        <x:v>пиразины, фураны, гваякол, 2-фурфурилтиол, диацетил</x:v>
      </x:c>
      <x:c r="M281" s="28" t="str">
        <x:v>диацетил, жирные кислоты</x:v>
      </x:c>
      <x:c r="N281" s="28" t="str">
        <x:v>прямое пересечение семейств не является единственным объяснением</x:v>
      </x:c>
      <x:c r="O281" s="28" t="str">
        <x:v>диацетил</x:v>
      </x:c>
      <x:c r="P281" s="28" t="str">
        <x:v>общие ароматические соединения, жировая экстракция и связывание полифенолов белком</x:v>
      </x:c>
      <x:c r="Q281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81" s="28" t="str">
        <x:v>сухость и горечь; кофеин не имеет сильного запаха, но влияет на вкус и физиологию</x:v>
      </x:c>
      <x:c r="S281" s="28" t="str">
        <x:v>водный напиток с растворёнными кислотами, меланоидинами и маслами; в зерне — пористая обжаренная матрица Совпадающие жирные фазы облегчают перенос аромата, но могут сделать продукт тяжёлым.</x:v>
      </x:c>
      <x:c r="T28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81" s="28" t="str">
        <x:v>Кофе имеет профиль «жареный, ореховый, карамельный, цветочный, фруктовый, фенольный и древесный». Партнёр «сливочный сыр» относится к группе «Молочные продукты и сыры» и даёт молочный, умами,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V28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W281" s="28" t="str">
        <x:v>мёд, карамель или фруктовая кислота</x:v>
      </x:c>
      <x:c r="X281" s="28" t="str">
        <x:v>кофейный напиток, холодный кофе, крем, сироп, десерт или соус с сливочный сыр</x:v>
      </x:c>
      <x:c r="Y281" s="28" t="str">
        <x:v>напитки, десерты</x:v>
      </x:c>
      <x:c r="Z281" s="28" t="str">
        <x:v>Средняя</x:v>
      </x:c>
      <x:c r="AA281" s="28" t="str">
        <x:v>The Art &amp; Science of Foodpairing.pdf</x:v>
      </x:c>
      <x:c r="AB281" s="28" t="str">
        <x:v>The Art &amp; Science of Foodpairing.pdf: 297</x:v>
      </x:c>
      <x:c r="AC281" s="28" t="str">
        <x:v>Пара встречается как grid; научное объяснение сформировано по ароматическому профилю и пищевой матрице.</x:v>
      </x:c>
      <x:c r="AD281" s="28" t="n">
        <x:v>1</x:v>
      </x:c>
      <x:c r="AE281" s="28" t="n">
        <x:v>1</x:v>
      </x:c>
      <x:c r="AF281" s="28" t="n">
        <x:f>IF(Z281="Высокая",3,IF(Z281="Средняя",2,1))+AD281*2+MIN(AE281,3)</x:f>
        <x:v>5</x:v>
      </x:c>
    </x:row>
    <x:row r="282" ht="62" customHeight="1">
      <x:c r="A282" s="28" t="str">
        <x:v>NCT-0281</x:v>
      </x:c>
      <x:c r="B282" s="28" t="str">
        <x:v>кофе</x:v>
      </x:c>
      <x:c r="C282" s="28" t="str">
        <x:v>Еда и соусы</x:v>
      </x:c>
      <x:c r="D282" s="28" t="str">
        <x:v>кофе</x:v>
      </x:c>
      <x:c r="E282" s="28" t="str">
        <x:v>coffee</x:v>
      </x:c>
      <x:c r="F282" s="28" t="str">
        <x:v>Кофе</x:v>
      </x:c>
      <x:c r="G282" s="28" t="str">
        <x:v>соевый соус</x:v>
      </x:c>
      <x:c r="H282" s="28" t="str">
        <x:v>soy sauce</x:v>
      </x:c>
      <x:c r="I282" s="28" t="str">
        <x:v>Ферментированные продукты и соусы</x:v>
      </x:c>
      <x:c r="J282" s="28" t="str">
        <x:v>жареный, ореховый, карамельный, цветочный, фруктовый, фенольный и древесный</x:v>
      </x:c>
      <x:c r="K282" s="28" t="str">
        <x:v>жареный, умами, ферментированный</x:v>
      </x:c>
      <x:c r="L282" s="28" t="str">
        <x:v>пиразины, фураны, гваякол, 2-фурфурилтиол, диацетил</x:v>
      </x:c>
      <x:c r="M282" s="28" t="str">
        <x:v>пиразины, фураны, эфиры</x:v>
      </x:c>
      <x:c r="N282" s="28" t="str">
        <x:v>жареный</x:v>
      </x:c>
      <x:c r="O282" s="28" t="str">
        <x:v>пиразины, фураны</x:v>
      </x:c>
      <x:c r="P282" s="28" t="str">
        <x:v>общие ароматические соединения, пересечение ароматических семейств, солёно-умами контраст</x:v>
      </x:c>
      <x:c r="Q282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82" s="28" t="str">
        <x:v>сухость и горечь; кофеин не имеет сильного запаха, но влияет на вкус и физиологию</x:v>
      </x:c>
      <x:c r="S282" s="28" t="str">
        <x:v>водный напиток с растворёнными кислотами, меланоидинами и маслами; в зерне — пористая обжаренная матрица</x:v>
      </x:c>
      <x:c r="T28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82" s="28" t="str">
        <x:v>Кофе имеет профиль «жареный, ореховый, карамельный, цветочный, фруктовый, фенольный и древесный». Партнёр «соевый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пиразины, фураны.</x:v>
      </x:c>
      <x:c r="V28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82" s="28" t="str">
        <x:v>карамелизированный лук, грибы или сливочное масло</x:v>
      </x:c>
      <x:c r="X282" s="28" t="str">
        <x:v>кофейный напиток, холодный кофе, крем, сироп, десерт или соус с соевый соус</x:v>
      </x:c>
      <x:c r="Y282" s="28" t="str">
        <x:v>напитки, еда, соусы/маринады</x:v>
      </x:c>
      <x:c r="Z282" s="28" t="str">
        <x:v>Высокая</x:v>
      </x:c>
      <x:c r="AA282" s="28" t="str">
        <x:v>The Art &amp; Science of Foodpairing.pdf</x:v>
      </x:c>
      <x:c r="AB282" s="28" t="str">
        <x:v>The Art &amp; Science of Foodpairing.pdf: 297</x:v>
      </x:c>
      <x:c r="AC282" s="28" t="str">
        <x:v>Пара встречается как potential; научное объяснение сформировано по ароматическому профилю и пищевой матрице.</x:v>
      </x:c>
      <x:c r="AD282" s="28" t="n">
        <x:v>1</x:v>
      </x:c>
      <x:c r="AE282" s="28" t="n">
        <x:v>1</x:v>
      </x:c>
      <x:c r="AF282" s="28" t="n">
        <x:f>IF(Z282="Высокая",3,IF(Z282="Средняя",2,1))+AD282*2+MIN(AE282,3)</x:f>
        <x:v>6</x:v>
      </x:c>
    </x:row>
    <x:row r="283" ht="62" customHeight="1">
      <x:c r="A283" s="28" t="str">
        <x:v>NCT-0282</x:v>
      </x:c>
      <x:c r="B283" s="28" t="str">
        <x:v>кофе</x:v>
      </x:c>
      <x:c r="C283" s="28" t="str">
        <x:v>Еда и соусы</x:v>
      </x:c>
      <x:c r="D283" s="28" t="str">
        <x:v>кофе</x:v>
      </x:c>
      <x:c r="E283" s="28" t="str">
        <x:v>Colombian coffee</x:v>
      </x:c>
      <x:c r="F283" s="28" t="str">
        <x:v>Кофе</x:v>
      </x:c>
      <x:c r="G283" s="28" t="str">
        <x:v>соус тукупи</x:v>
      </x:c>
      <x:c r="H283" s="28" t="str">
        <x:v>tucupi sauce</x:v>
      </x:c>
      <x:c r="I283" s="28" t="str">
        <x:v>Ферментированные продукты и соусы</x:v>
      </x:c>
      <x:c r="J283" s="28" t="str">
        <x:v>жареный, ореховый, карамельный, цветочный, фруктовый, фенольный и древесный</x:v>
      </x:c>
      <x:c r="K283" s="28" t="str">
        <x:v>ферментированный, умами и сложный</x:v>
      </x:c>
      <x:c r="L283" s="28" t="str">
        <x:v>пиразины, фураны, гваякол, 2-фурфурилтиол, диацетил</x:v>
      </x:c>
      <x:c r="M283" s="28" t="str">
        <x:v>пиразины, фураны, эфиры</x:v>
      </x:c>
      <x:c r="N283" s="28" t="str">
        <x:v>жареный</x:v>
      </x:c>
      <x:c r="O283" s="28" t="str">
        <x:v>пиразины, фураны</x:v>
      </x:c>
      <x:c r="P283" s="28" t="str">
        <x:v>общие ароматические соединения, пересечение ароматических семейств, солёно-умами контраст</x:v>
      </x:c>
      <x:c r="Q283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83" s="28" t="str">
        <x:v>сухость и горечь; кофеин не имеет сильного запаха, но влияет на вкус и физиологию</x:v>
      </x:c>
      <x:c r="S283" s="28" t="str">
        <x:v>водный напиток с растворёнными кислотами, меланоидинами и маслами; в зерне — пористая обжаренная матрица</x:v>
      </x:c>
      <x:c r="T28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83" s="28" t="str">
        <x:v>Кофе имеет профиль «жареный, ореховый, карамельный, цветочный, фруктовый, фенольный и древесный». Партнёр «соус тукупи»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пиразины, фураны.</x:v>
      </x:c>
      <x:c r="V28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83" s="28" t="str">
        <x:v>карамелизированный лук, грибы или сливочное масло</x:v>
      </x:c>
      <x:c r="X283" s="28" t="str">
        <x:v>кофейный напиток, холодный кофе, крем, сироп, десерт или соус с соус тукупи</x:v>
      </x:c>
      <x:c r="Y283" s="28" t="str">
        <x:v>напитки, еда, соусы/маринады</x:v>
      </x:c>
      <x:c r="Z283" s="28" t="str">
        <x:v>Высокая</x:v>
      </x:c>
      <x:c r="AA283" s="28" t="str">
        <x:v>The Art &amp; Science of Foodpairing.pdf</x:v>
      </x:c>
      <x:c r="AB283" s="28" t="str">
        <x:v>The Art &amp; Science of Foodpairing.pdf: 250</x:v>
      </x:c>
      <x:c r="AC283" s="28" t="str">
        <x:v>Пара встречается как potential; научное объяснение сформировано по ароматическому профилю и пищевой матрице.</x:v>
      </x:c>
      <x:c r="AD283" s="28" t="n">
        <x:v>1</x:v>
      </x:c>
      <x:c r="AE283" s="28" t="n">
        <x:v>1</x:v>
      </x:c>
      <x:c r="AF283" s="28" t="n">
        <x:f>IF(Z283="Высокая",3,IF(Z283="Средняя",2,1))+AD283*2+MIN(AE283,3)</x:f>
        <x:v>6</x:v>
      </x:c>
    </x:row>
    <x:row r="284" ht="62" customHeight="1">
      <x:c r="A284" s="28" t="str">
        <x:v>NCT-0283</x:v>
      </x:c>
      <x:c r="B284" s="28" t="str">
        <x:v>кофе</x:v>
      </x:c>
      <x:c r="C284" s="28" t="str">
        <x:v>Универсальные</x:v>
      </x:c>
      <x:c r="D284" s="28" t="str">
        <x:v>кофе</x:v>
      </x:c>
      <x:c r="E284" s="28" t="str">
        <x:v>coffee</x:v>
      </x:c>
      <x:c r="F284" s="28" t="str">
        <x:v>Кофе</x:v>
      </x:c>
      <x:c r="G284" s="28" t="str">
        <x:v>таитянская ваниль</x:v>
      </x:c>
      <x:c r="H284" s="28" t="str">
        <x:v>Tahitian vanilla</x:v>
      </x:c>
      <x:c r="I284" s="28" t="str">
        <x:v>Специи</x:v>
      </x:c>
      <x:c r="J284" s="28" t="str">
        <x:v>жареный, ореховый, карамельный, цветочный, фруктовый, фенольный и древесный</x:v>
      </x:c>
      <x:c r="K284" s="28" t="str">
        <x:v>ванильный, цветочный</x:v>
      </x:c>
      <x:c r="L284" s="28" t="str">
        <x:v>пиразины, фураны, гваякол, 2-фурфурилтиол, диацетил</x:v>
      </x:c>
      <x:c r="M284" s="28" t="str">
        <x:v>ванилин</x:v>
      </x:c>
      <x:c r="N284" s="28" t="str">
        <x:v>цветочный</x:v>
      </x:c>
      <x:c r="O284" s="28" t="str">
        <x:v>надежная общая ключевая молекула не подтверждена</x:v>
      </x:c>
      <x:c r="P284" s="28" t="str">
        <x:v>пересечение ароматических семейств</x:v>
      </x:c>
      <x:c r="Q284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84" s="28" t="str">
        <x:v>сухость и горечь; кофеин не имеет сильного запаха, но влияет на вкус и физиологию</x:v>
      </x:c>
      <x:c r="S284" s="28" t="str">
        <x:v>водный напиток с растворёнными кислотами, меланоидинами и маслами; в зерне — пористая обжаренная матрица</x:v>
      </x:c>
      <x:c r="T28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84" s="28" t="str">
        <x:v>Кофе имеет профиль «жареный, ореховый, карамельный, цветочный, фруктовый, фенольный и древесный». Партнёр «таитянская ваниль» относится к группе «Специи» и даёт ванильный, цветочный. Профили пересекаются в семействах: цветочный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V28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84" s="28" t="str">
        <x:v>ваниль, апельсин или мёд</x:v>
      </x:c>
      <x:c r="X284" s="28" t="str">
        <x:v>кофейный напиток, холодный кофе, крем, сироп, десерт или соус с таитянская ваниль</x:v>
      </x:c>
      <x:c r="Y284" s="28" t="str">
        <x:v>напитки</x:v>
      </x:c>
      <x:c r="Z284" s="28" t="str">
        <x:v>Средняя</x:v>
      </x:c>
      <x:c r="AA284" s="28" t="str">
        <x:v>The Art &amp; Science of Foodpairing.pdf</x:v>
      </x:c>
      <x:c r="AB284" s="28" t="str">
        <x:v>The Art &amp; Science of Foodpairing.pdf: 297</x:v>
      </x:c>
      <x:c r="AC284" s="28" t="str">
        <x:v>Пара встречается как grid; научное объяснение сформировано по ароматическому профилю и пищевой матрице.</x:v>
      </x:c>
      <x:c r="AD284" s="28" t="n">
        <x:v>1</x:v>
      </x:c>
      <x:c r="AE284" s="28" t="n">
        <x:v>1</x:v>
      </x:c>
      <x:c r="AF284" s="28" t="n">
        <x:f>IF(Z284="Высокая",3,IF(Z284="Средняя",2,1))+AD284*2+MIN(AE284,3)</x:f>
        <x:v>5</x:v>
      </x:c>
    </x:row>
    <x:row r="285" ht="62" customHeight="1">
      <x:c r="A285" s="28" t="str">
        <x:v>NCT-0284</x:v>
      </x:c>
      <x:c r="B285" s="28" t="str">
        <x:v>кофе</x:v>
      </x:c>
      <x:c r="C285" s="28" t="str">
        <x:v>Еда и соусы</x:v>
      </x:c>
      <x:c r="D285" s="28" t="str">
        <x:v>кофе</x:v>
      </x:c>
      <x:c r="E285" s="28" t="str">
        <x:v>coffee</x:v>
      </x:c>
      <x:c r="F285" s="28" t="str">
        <x:v>Кофе</x:v>
      </x:c>
      <x:c r="G285" s="28" t="str">
        <x:v>томат</x:v>
      </x:c>
      <x:c r="H285" s="28" t="str">
        <x:v>tomato</x:v>
      </x:c>
      <x:c r="I285" s="28" t="str">
        <x:v>Овощи, бобовые и грибы</x:v>
      </x:c>
      <x:c r="J285" s="28" t="str">
        <x:v>жареный, ореховый, карамельный, цветочный, фруктовый, фенольный и древесный</x:v>
      </x:c>
      <x:c r="K285" s="28" t="str">
        <x:v>зелёный, умами, фруктовый</x:v>
      </x:c>
      <x:c r="L285" s="28" t="str">
        <x:v>пиразины, фураны, гваякол, 2-фурфурилтиол, диацетил</x:v>
      </x:c>
      <x:c r="M285" s="28" t="str">
        <x:v>гексаналь, ионoны</x:v>
      </x:c>
      <x:c r="N285" s="28" t="str">
        <x:v>прямое пересечение семейств не является единственным объяснением</x:v>
      </x:c>
      <x:c r="O285" s="28" t="str">
        <x:v>надежная общая ключевая молекула не подтверждена</x:v>
      </x:c>
      <x:c r="P285" s="28" t="str">
        <x:v>сенсорная комплементарность</x:v>
      </x:c>
      <x:c r="Q285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85" s="28" t="str">
        <x:v>сухость и горечь; кофеин не имеет сильного запаха, но влияет на вкус и физиологию</x:v>
      </x:c>
      <x:c r="S285" s="28" t="str">
        <x:v>водный напиток с растворёнными кислотами, меланоидинами и маслами; в зерне — пористая обжаренная матрица</x:v>
      </x:c>
      <x:c r="T28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85" s="28" t="str">
        <x:v>Кофе имеет профиль «жареный, ореховый, карамельный, цветочный, фруктовый, фенольный и древесный». Партнёр «томат» относится к группе «Овощи, бобовые и грибы» и даёт зелёный, умами, фруктовый.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8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85" s="28" t="str">
        <x:v>соль, ваниль или карамель</x:v>
      </x:c>
      <x:c r="X285" s="28" t="str">
        <x:v>кофейный напиток, холодный кофе, крем, сироп, десерт или соус с томат</x:v>
      </x:c>
      <x:c r="Y285" s="28" t="str">
        <x:v>напитки, еда, соусы/маринады</x:v>
      </x:c>
      <x:c r="Z285" s="28" t="str">
        <x:v>Средняя</x:v>
      </x:c>
      <x:c r="AA285" s="28" t="str">
        <x:v>The Art &amp; Science of Foodpairing.pdf</x:v>
      </x:c>
      <x:c r="AB285" s="28" t="str">
        <x:v>The Art &amp; Science of Foodpairing.pdf: 297</x:v>
      </x:c>
      <x:c r="AC285" s="28" t="str">
        <x:v>Пара встречается как grid; научное объяснение сформировано по ароматическому профилю и пищевой матрице.</x:v>
      </x:c>
      <x:c r="AD285" s="28" t="n">
        <x:v>1</x:v>
      </x:c>
      <x:c r="AE285" s="28" t="n">
        <x:v>1</x:v>
      </x:c>
      <x:c r="AF285" s="28" t="n">
        <x:f>IF(Z285="Высокая",3,IF(Z285="Средняя",2,1))+AD285*2+MIN(AE285,3)</x:f>
        <x:v>5</x:v>
      </x:c>
    </x:row>
    <x:row r="286" ht="62" customHeight="1">
      <x:c r="A286" s="28" t="str">
        <x:v>NCT-0285</x:v>
      </x:c>
      <x:c r="B286" s="28" t="str">
        <x:v>кофе</x:v>
      </x:c>
      <x:c r="C286" s="28" t="str">
        <x:v>Универсальные</x:v>
      </x:c>
      <x:c r="D286" s="28" t="str">
        <x:v>кофе</x:v>
      </x:c>
      <x:c r="E286" s="28" t="str">
        <x:v>coffee</x:v>
      </x:c>
      <x:c r="F286" s="28" t="str">
        <x:v>Кофе</x:v>
      </x:c>
      <x:c r="G286" s="28" t="str">
        <x:v>тушёная мольва</x:v>
      </x:c>
      <x:c r="H286" s="28" t="str">
        <x:v>braised ling</x:v>
      </x:c>
      <x:c r="I286" s="28" t="str">
        <x:v>Прочее</x:v>
      </x:c>
      <x:c r="J286" s="28" t="str">
        <x:v>жареный, ореховый, карамельный, цветочный, фруктовый, фенольный и древесный</x:v>
      </x:c>
      <x:c r="K286" s="28" t="str">
        <x:v>профиль зависит от конкретного продукта</x:v>
      </x:c>
      <x:c r="L286" s="28" t="str">
        <x:v>пиразины, фураны, гваякол, 2-фурфурилтиол, диацетил</x:v>
      </x:c>
      <x:c r="M286" s="28" t="str">
        <x:v>характерный профиль зависит от конкретного продукта</x:v>
      </x:c>
      <x:c r="N286" s="28" t="str">
        <x:v>прямое пересечение семейств не является единственным объяснением</x:v>
      </x:c>
      <x:c r="O286" s="28" t="str">
        <x:v>надежная общая ключевая молекула не подтверждена</x:v>
      </x:c>
      <x:c r="P286" s="28" t="str">
        <x:v>сенсорная комплементарность</x:v>
      </x:c>
      <x:c r="Q286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86" s="28" t="str">
        <x:v>сухость и горечь; кофеин не имеет сильного запаха, но влияет на вкус и физиологию</x:v>
      </x:c>
      <x:c r="S286" s="28" t="str">
        <x:v>водный напиток с растворёнными кислотами, меланоидинами и маслами; в зерне — пористая обжаренная матрица</x:v>
      </x:c>
      <x:c r="T28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86" s="28" t="str">
        <x:v>Кофе имеет профиль «жареный, ореховый, карамельный, цветочный, фруктовый, фенольный и древесный». Партнёр «тушёная мольва»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8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86" s="28" t="str">
        <x:v>соль, ваниль или карамель</x:v>
      </x:c>
      <x:c r="X286" s="28" t="str">
        <x:v>кофейный напиток, холодный кофе, крем, сироп, десерт или соус с тушёная мольва</x:v>
      </x:c>
      <x:c r="Y286" s="28" t="str">
        <x:v>напитки</x:v>
      </x:c>
      <x:c r="Z286" s="28" t="str">
        <x:v>Средняя</x:v>
      </x:c>
      <x:c r="AA286" s="28" t="str">
        <x:v>The Art &amp; Science of Foodpairing.pdf</x:v>
      </x:c>
      <x:c r="AB286" s="28" t="str">
        <x:v>The Art &amp; Science of Foodpairing.pdf: 297</x:v>
      </x:c>
      <x:c r="AC286" s="28" t="str">
        <x:v>Пара встречается как grid; научное объяснение сформировано по ароматическому профилю и пищевой матрице.</x:v>
      </x:c>
      <x:c r="AD286" s="28" t="n">
        <x:v>1</x:v>
      </x:c>
      <x:c r="AE286" s="28" t="n">
        <x:v>1</x:v>
      </x:c>
      <x:c r="AF286" s="28" t="n">
        <x:f>IF(Z286="Высокая",3,IF(Z286="Средняя",2,1))+AD286*2+MIN(AE286,3)</x:f>
        <x:v>5</x:v>
      </x:c>
    </x:row>
    <x:row r="287" ht="62" customHeight="1">
      <x:c r="A287" s="28" t="str">
        <x:v>NCT-0286</x:v>
      </x:c>
      <x:c r="B287" s="28" t="str">
        <x:v>кофе</x:v>
      </x:c>
      <x:c r="C287" s="28" t="str">
        <x:v>Еда и соусы</x:v>
      </x:c>
      <x:c r="D287" s="28" t="str">
        <x:v>кофе</x:v>
      </x:c>
      <x:c r="E287" s="28" t="str">
        <x:v>coffee | Кофе | кофе</x:v>
      </x:c>
      <x:c r="F287" s="28" t="str">
        <x:v>Кофе</x:v>
      </x:c>
      <x:c r="G287" s="28" t="str">
        <x:v>тыква</x:v>
      </x:c>
      <x:c r="H287" s="28" t="str">
        <x:v>boiled pumpkin | Тыква | тыква</x:v>
      </x:c>
      <x:c r="I287" s="28" t="str">
        <x:v>Овощи, бобовые и грибы</x:v>
      </x:c>
      <x:c r="J287" s="28" t="str">
        <x:v>жареный, ореховый, карамельный, цветочный, фруктовый, фенольный и древесный</x:v>
      </x:c>
      <x:c r="K287" s="28" t="str">
        <x:v>зелёный, землистый или умами</x:v>
      </x:c>
      <x:c r="L287" s="28" t="str">
        <x:v>пиразины, фураны, гваякол, 2-фурфурилтиол, диацетил</x:v>
      </x:c>
      <x:c r="M287" s="28" t="str">
        <x:v>альдегиды, сернистые соединения</x:v>
      </x:c>
      <x:c r="N287" s="28" t="str">
        <x:v>прямое пересечение семейств не является единственным объяснением</x:v>
      </x:c>
      <x:c r="O287" s="28" t="str">
        <x:v>надежная общая ключевая молекула не подтверждена</x:v>
      </x:c>
      <x:c r="P287" s="28" t="str">
        <x:v>сенсорная комплементарность</x:v>
      </x:c>
      <x:c r="Q287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87" s="28" t="str">
        <x:v>сухость и горечь; кофеин не имеет сильного запаха, но влияет на вкус и физиологию</x:v>
      </x:c>
      <x:c r="S287" s="28" t="str">
        <x:v>водный напиток с растворёнными кислотами, меланоидинами и маслами; в зерне — пористая обжаренная матрица</x:v>
      </x:c>
      <x:c r="T28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87" s="28" t="str">
        <x:v>Кофе имеет профиль «жареный, ореховый, карамельный, цветочный, фруктовый, фенольный и древесный». Партнёр «тыква»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8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87" s="28" t="str">
        <x:v>соль, ваниль или карамель</x:v>
      </x:c>
      <x:c r="X287" s="28" t="str">
        <x:v>кофейный напиток, холодный кофе, крем, сироп, десерт или соус с тыква</x:v>
      </x:c>
      <x:c r="Y287" s="28" t="str">
        <x:v>напитки, еда, соусы/маринады</x:v>
      </x:c>
      <x:c r="Z287" s="28" t="str">
        <x:v>Высокая</x:v>
      </x:c>
      <x:c r="AA287" s="28" t="str">
        <x:v>The Art &amp; Science of Foodpairing.pdf | Таблица сочетания(1).pdf</x:v>
      </x:c>
      <x:c r="AB287" s="28" t="str">
        <x:v>The Art &amp; Science of Foodpairing.pdf: 297; Таблица сочетания(1).pdf: 6, 18</x:v>
      </x:c>
      <x:c r="AC287" s="28" t="str">
        <x:v>Пара встречается как grid, table; научное объяснение сформировано по ароматическому профилю и пищевой матрице.</x:v>
      </x:c>
      <x:c r="AD287" s="28" t="n">
        <x:v>2</x:v>
      </x:c>
      <x:c r="AE287" s="28" t="n">
        <x:v>3</x:v>
      </x:c>
      <x:c r="AF287" s="28" t="n">
        <x:f>IF(Z287="Высокая",3,IF(Z287="Средняя",2,1))+AD287*2+MIN(AE287,3)</x:f>
        <x:v>10</x:v>
      </x:c>
    </x:row>
    <x:row r="288" ht="62" customHeight="1">
      <x:c r="A288" s="28" t="str">
        <x:v>NCT-0287</x:v>
      </x:c>
      <x:c r="B288" s="28" t="str">
        <x:v>кофе</x:v>
      </x:c>
      <x:c r="C288" s="28" t="str">
        <x:v>Универсальные</x:v>
      </x:c>
      <x:c r="D288" s="28" t="str">
        <x:v>кофе</x:v>
      </x:c>
      <x:c r="E288" s="28" t="str">
        <x:v>coffee</x:v>
      </x:c>
      <x:c r="F288" s="28" t="str">
        <x:v>Кофе</x:v>
      </x:c>
      <x:c r="G288" s="28" t="str">
        <x:v>уакаатай</x:v>
      </x:c>
      <x:c r="H288" s="28" t="str">
        <x:v>huacatay</x:v>
      </x:c>
      <x:c r="I288" s="28" t="str">
        <x:v>Прочее</x:v>
      </x:c>
      <x:c r="J288" s="28" t="str">
        <x:v>жареный, ореховый, карамельный, цветочный, фруктовый, фенольный и древесный</x:v>
      </x:c>
      <x:c r="K288" s="28" t="str">
        <x:v>профиль зависит от конкретного продукта</x:v>
      </x:c>
      <x:c r="L288" s="28" t="str">
        <x:v>пиразины, фураны, гваякол, 2-фурфурилтиол, диацетил</x:v>
      </x:c>
      <x:c r="M288" s="28" t="str">
        <x:v>характерный профиль зависит от конкретного продукта</x:v>
      </x:c>
      <x:c r="N288" s="28" t="str">
        <x:v>прямое пересечение семейств не является единственным объяснением</x:v>
      </x:c>
      <x:c r="O288" s="28" t="str">
        <x:v>надежная общая ключевая молекула не подтверждена</x:v>
      </x:c>
      <x:c r="P288" s="28" t="str">
        <x:v>сенсорная комплементарность</x:v>
      </x:c>
      <x:c r="Q288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88" s="28" t="str">
        <x:v>сухость и горечь; кофеин не имеет сильного запаха, но влияет на вкус и физиологию</x:v>
      </x:c>
      <x:c r="S288" s="28" t="str">
        <x:v>водный напиток с растворёнными кислотами, меланоидинами и маслами; в зерне — пористая обжаренная матрица</x:v>
      </x:c>
      <x:c r="T28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88" s="28" t="str">
        <x:v>Кофе имеет профиль «жареный, ореховый, карамельный, цветочный, фруктовый, фенольный и древесный». Партнёр «уакаатай»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8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88" s="28" t="str">
        <x:v>соль, ваниль или карамель</x:v>
      </x:c>
      <x:c r="X288" s="28" t="str">
        <x:v>кофейный напиток, холодный кофе, крем, сироп, десерт или соус с уакаатай</x:v>
      </x:c>
      <x:c r="Y288" s="28" t="str">
        <x:v>напитки</x:v>
      </x:c>
      <x:c r="Z288" s="28" t="str">
        <x:v>Средняя</x:v>
      </x:c>
      <x:c r="AA288" s="28" t="str">
        <x:v>The Art &amp; Science of Foodpairing.pdf</x:v>
      </x:c>
      <x:c r="AB288" s="28" t="str">
        <x:v>The Art &amp; Science of Foodpairing.pdf: 297</x:v>
      </x:c>
      <x:c r="AC288" s="28" t="str">
        <x:v>Пара встречается как grid; научное объяснение сформировано по ароматическому профилю и пищевой матрице.</x:v>
      </x:c>
      <x:c r="AD288" s="28" t="n">
        <x:v>1</x:v>
      </x:c>
      <x:c r="AE288" s="28" t="n">
        <x:v>1</x:v>
      </x:c>
      <x:c r="AF288" s="28" t="n">
        <x:f>IF(Z288="Высокая",3,IF(Z288="Средняя",2,1))+AD288*2+MIN(AE288,3)</x:f>
        <x:v>5</x:v>
      </x:c>
    </x:row>
    <x:row r="289" ht="62" customHeight="1">
      <x:c r="A289" s="28" t="str">
        <x:v>NCT-0288</x:v>
      </x:c>
      <x:c r="B289" s="28" t="str">
        <x:v>кофе</x:v>
      </x:c>
      <x:c r="C289" s="28" t="str">
        <x:v>Универсальные</x:v>
      </x:c>
      <x:c r="D289" s="28" t="str">
        <x:v>кофе</x:v>
      </x:c>
      <x:c r="E289" s="28" t="str">
        <x:v>coffee</x:v>
      </x:c>
      <x:c r="F289" s="28" t="str">
        <x:v>Кофе</x:v>
      </x:c>
      <x:c r="G289" s="28" t="str">
        <x:v>фрике</x:v>
      </x:c>
      <x:c r="H289" s="28" t="str">
        <x:v>cookedfreekeh</x:v>
      </x:c>
      <x:c r="I289" s="28" t="str">
        <x:v>Прочее</x:v>
      </x:c>
      <x:c r="J289" s="28" t="str">
        <x:v>жареный, ореховый, карамельный, цветочный, фруктовый, фенольный и древесный</x:v>
      </x:c>
      <x:c r="K289" s="28" t="str">
        <x:v>профиль зависит от конкретного продукта</x:v>
      </x:c>
      <x:c r="L289" s="28" t="str">
        <x:v>пиразины, фураны, гваякол, 2-фурфурилтиол, диацетил</x:v>
      </x:c>
      <x:c r="M289" s="28" t="str">
        <x:v>характерный профиль зависит от конкретного продукта</x:v>
      </x:c>
      <x:c r="N289" s="28" t="str">
        <x:v>прямое пересечение семейств не является единственным объяснением</x:v>
      </x:c>
      <x:c r="O289" s="28" t="str">
        <x:v>надежная общая ключевая молекула не подтверждена</x:v>
      </x:c>
      <x:c r="P289" s="28" t="str">
        <x:v>сенсорная комплементарность</x:v>
      </x:c>
      <x:c r="Q289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89" s="28" t="str">
        <x:v>сухость и горечь; кофеин не имеет сильного запаха, но влияет на вкус и физиологию</x:v>
      </x:c>
      <x:c r="S289" s="28" t="str">
        <x:v>водный напиток с растворёнными кислотами, меланоидинами и маслами; в зерне — пористая обжаренная матрица</x:v>
      </x:c>
      <x:c r="T28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89" s="28" t="str">
        <x:v>Кофе имеет профиль «жареный, ореховый, карамельный, цветочный, фруктовый, фенольный и древесный». Партнёр «фрике»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8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89" s="28" t="str">
        <x:v>соль, ваниль или карамель</x:v>
      </x:c>
      <x:c r="X289" s="28" t="str">
        <x:v>кофейный напиток, холодный кофе, крем, сироп, десерт или соус с фрике</x:v>
      </x:c>
      <x:c r="Y289" s="28" t="str">
        <x:v>напитки</x:v>
      </x:c>
      <x:c r="Z289" s="28" t="str">
        <x:v>Средняя</x:v>
      </x:c>
      <x:c r="AA289" s="28" t="str">
        <x:v>The Art &amp; Science of Foodpairing.pdf</x:v>
      </x:c>
      <x:c r="AB289" s="28" t="str">
        <x:v>The Art &amp; Science of Foodpairing.pdf: 297</x:v>
      </x:c>
      <x:c r="AC289" s="28" t="str">
        <x:v>Пара встречается как grid; научное объяснение сформировано по ароматическому профилю и пищевой матрице.</x:v>
      </x:c>
      <x:c r="AD289" s="28" t="n">
        <x:v>1</x:v>
      </x:c>
      <x:c r="AE289" s="28" t="n">
        <x:v>1</x:v>
      </x:c>
      <x:c r="AF289" s="28" t="n">
        <x:f>IF(Z289="Высокая",3,IF(Z289="Средняя",2,1))+AD289*2+MIN(AE289,3)</x:f>
        <x:v>5</x:v>
      </x:c>
    </x:row>
    <x:row r="290" ht="62" customHeight="1">
      <x:c r="A290" s="28" t="str">
        <x:v>NCT-0289</x:v>
      </x:c>
      <x:c r="B290" s="28" t="str">
        <x:v>кофе</x:v>
      </x:c>
      <x:c r="C290" s="28" t="str">
        <x:v>Еда и соусы</x:v>
      </x:c>
      <x:c r="D290" s="28" t="str">
        <x:v>кофе</x:v>
      </x:c>
      <x:c r="E290" s="28" t="str">
        <x:v>coffee</x:v>
      </x:c>
      <x:c r="F290" s="28" t="str">
        <x:v>Кофе</x:v>
      </x:c>
      <x:c r="G290" s="28" t="str">
        <x:v>цветная капуста</x:v>
      </x:c>
      <x:c r="H290" s="28" t="str">
        <x:v>boiled cauliflower</x:v>
      </x:c>
      <x:c r="I290" s="28" t="str">
        <x:v>Овощи, бобовые и грибы</x:v>
      </x:c>
      <x:c r="J290" s="28" t="str">
        <x:v>жареный, ореховый, карамельный, цветочный, фруктовый, фенольный и древесный</x:v>
      </x:c>
      <x:c r="K290" s="28" t="str">
        <x:v>зелёный, землистый или умами</x:v>
      </x:c>
      <x:c r="L290" s="28" t="str">
        <x:v>пиразины, фураны, гваякол, 2-фурфурилтиол, диацетил</x:v>
      </x:c>
      <x:c r="M290" s="28" t="str">
        <x:v>альдегиды, сернистые соединения</x:v>
      </x:c>
      <x:c r="N290" s="28" t="str">
        <x:v>прямое пересечение семейств не является единственным объяснением</x:v>
      </x:c>
      <x:c r="O290" s="28" t="str">
        <x:v>надежная общая ключевая молекула не подтверждена</x:v>
      </x:c>
      <x:c r="P290" s="28" t="str">
        <x:v>сенсорная комплементарность</x:v>
      </x:c>
      <x:c r="Q290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90" s="28" t="str">
        <x:v>сухость и горечь; кофеин не имеет сильного запаха, но влияет на вкус и физиологию</x:v>
      </x:c>
      <x:c r="S290" s="28" t="str">
        <x:v>водный напиток с растворёнными кислотами, меланоидинами и маслами; в зерне — пористая обжаренная матрица</x:v>
      </x:c>
      <x:c r="T29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90" s="28" t="str">
        <x:v>Кофе имеет профиль «жареный, ореховый, карамельный, цветочный, фруктовый, фенольный и древесный». Партнёр «цветная капуста»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9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90" s="28" t="str">
        <x:v>соль, ваниль или карамель</x:v>
      </x:c>
      <x:c r="X290" s="28" t="str">
        <x:v>кофейный напиток, холодный кофе, крем, сироп, десерт или соус с цветная капуста</x:v>
      </x:c>
      <x:c r="Y290" s="28" t="str">
        <x:v>напитки, еда, соусы/маринады</x:v>
      </x:c>
      <x:c r="Z290" s="28" t="str">
        <x:v>Средняя</x:v>
      </x:c>
      <x:c r="AA290" s="28" t="str">
        <x:v>The Art &amp; Science of Foodpairing.pdf</x:v>
      </x:c>
      <x:c r="AB290" s="28" t="str">
        <x:v>The Art &amp; Science of Foodpairing.pdf: 297</x:v>
      </x:c>
      <x:c r="AC290" s="28" t="str">
        <x:v>Пара встречается как grid; научное объяснение сформировано по ароматическому профилю и пищевой матрице.</x:v>
      </x:c>
      <x:c r="AD290" s="28" t="n">
        <x:v>1</x:v>
      </x:c>
      <x:c r="AE290" s="28" t="n">
        <x:v>1</x:v>
      </x:c>
      <x:c r="AF290" s="28" t="n">
        <x:f>IF(Z290="Высокая",3,IF(Z290="Средняя",2,1))+AD290*2+MIN(AE290,3)</x:f>
        <x:v>5</x:v>
      </x:c>
    </x:row>
    <x:row r="291" ht="62" customHeight="1">
      <x:c r="A291" s="28" t="str">
        <x:v>NCT-0290</x:v>
      </x:c>
      <x:c r="B291" s="28" t="str">
        <x:v>кофе</x:v>
      </x:c>
      <x:c r="C291" s="28" t="str">
        <x:v>Универсальные</x:v>
      </x:c>
      <x:c r="D291" s="28" t="str">
        <x:v>кофе</x:v>
      </x:c>
      <x:c r="E291" s="28" t="str">
        <x:v>coffee</x:v>
      </x:c>
      <x:c r="F291" s="28" t="str">
        <x:v>Кофе</x:v>
      </x:c>
      <x:c r="G291" s="28" t="str">
        <x:v>цесарка</x:v>
      </x:c>
      <x:c r="H291" s="28" t="str">
        <x:v>pan-fried guinea fowl</x:v>
      </x:c>
      <x:c r="I291" s="28" t="str">
        <x:v>Прочее</x:v>
      </x:c>
      <x:c r="J291" s="28" t="str">
        <x:v>жареный, ореховый, карамельный, цветочный, фруктовый, фенольный и древесный</x:v>
      </x:c>
      <x:c r="K291" s="28" t="str">
        <x:v>профиль зависит от конкретного продукта</x:v>
      </x:c>
      <x:c r="L291" s="28" t="str">
        <x:v>пиразины, фураны, гваякол, 2-фурфурилтиол, диацетил</x:v>
      </x:c>
      <x:c r="M291" s="28" t="str">
        <x:v>характерный профиль зависит от конкретного продукта</x:v>
      </x:c>
      <x:c r="N291" s="28" t="str">
        <x:v>прямое пересечение семейств не является единственным объяснением</x:v>
      </x:c>
      <x:c r="O291" s="28" t="str">
        <x:v>надежная общая ключевая молекула не подтверждена</x:v>
      </x:c>
      <x:c r="P291" s="28" t="str">
        <x:v>сенсорная комплементарность</x:v>
      </x:c>
      <x:c r="Q291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91" s="28" t="str">
        <x:v>сухость и горечь; кофеин не имеет сильного запаха, но влияет на вкус и физиологию</x:v>
      </x:c>
      <x:c r="S291" s="28" t="str">
        <x:v>водный напиток с растворёнными кислотами, меланоидинами и маслами; в зерне — пористая обжаренная матрица</x:v>
      </x:c>
      <x:c r="T29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91" s="28" t="str">
        <x:v>Кофе имеет профиль «жареный, ореховый, карамельный, цветочный, фруктовый, фенольный и древесный». Партнёр «цесарка»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9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91" s="28" t="str">
        <x:v>соль, ваниль или карамель</x:v>
      </x:c>
      <x:c r="X291" s="28" t="str">
        <x:v>кофейный напиток, холодный кофе, крем, сироп, десерт или соус с цесарка</x:v>
      </x:c>
      <x:c r="Y291" s="28" t="str">
        <x:v>напитки</x:v>
      </x:c>
      <x:c r="Z291" s="28" t="str">
        <x:v>Средняя</x:v>
      </x:c>
      <x:c r="AA291" s="28" t="str">
        <x:v>The Art &amp; Science of Foodpairing.pdf</x:v>
      </x:c>
      <x:c r="AB291" s="28" t="str">
        <x:v>The Art &amp; Science of Foodpairing.pdf: 297</x:v>
      </x:c>
      <x:c r="AC291" s="28" t="str">
        <x:v>Пара встречается как grid; научное объяснение сформировано по ароматическому профилю и пищевой матрице.</x:v>
      </x:c>
      <x:c r="AD291" s="28" t="n">
        <x:v>1</x:v>
      </x:c>
      <x:c r="AE291" s="28" t="n">
        <x:v>1</x:v>
      </x:c>
      <x:c r="AF291" s="28" t="n">
        <x:f>IF(Z291="Высокая",3,IF(Z291="Средняя",2,1))+AD291*2+MIN(AE291,3)</x:f>
        <x:v>5</x:v>
      </x:c>
    </x:row>
    <x:row r="292" ht="62" customHeight="1">
      <x:c r="A292" s="28" t="str">
        <x:v>NCT-0291</x:v>
      </x:c>
      <x:c r="B292" s="28" t="str">
        <x:v>кофе</x:v>
      </x:c>
      <x:c r="C292" s="28" t="str">
        <x:v>Универсальные</x:v>
      </x:c>
      <x:c r="D292" s="28" t="str">
        <x:v>кофе</x:v>
      </x:c>
      <x:c r="E292" s="28" t="str">
        <x:v>coffee</x:v>
      </x:c>
      <x:c r="F292" s="28" t="str">
        <x:v>Кофе</x:v>
      </x:c>
      <x:c r="G292" s="28" t="str">
        <x:v>черешня</x:v>
      </x:c>
      <x:c r="H292" s="28" t="str">
        <x:v>sweet cherry</x:v>
      </x:c>
      <x:c r="I292" s="28" t="str">
        <x:v>Прочее</x:v>
      </x:c>
      <x:c r="J292" s="28" t="str">
        <x:v>жареный, ореховый, карамельный, цветочный, фруктовый, фенольный и древесный</x:v>
      </x:c>
      <x:c r="K292" s="28" t="str">
        <x:v>профиль зависит от конкретного продукта</x:v>
      </x:c>
      <x:c r="L292" s="28" t="str">
        <x:v>пиразины, фураны, гваякол, 2-фурфурилтиол, диацетил</x:v>
      </x:c>
      <x:c r="M292" s="28" t="str">
        <x:v>характерный профиль зависит от конкретного продукта</x:v>
      </x:c>
      <x:c r="N292" s="28" t="str">
        <x:v>прямое пересечение семейств не является единственным объяснением</x:v>
      </x:c>
      <x:c r="O292" s="28" t="str">
        <x:v>надежная общая ключевая молекула не подтверждена</x:v>
      </x:c>
      <x:c r="P292" s="28" t="str">
        <x:v>сенсорная комплементарность</x:v>
      </x:c>
      <x:c r="Q292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92" s="28" t="str">
        <x:v>сухость и горечь; кофеин не имеет сильного запаха, но влияет на вкус и физиологию</x:v>
      </x:c>
      <x:c r="S292" s="28" t="str">
        <x:v>водный напиток с растворёнными кислотами, меланоидинами и маслами; в зерне — пористая обжаренная матрица</x:v>
      </x:c>
      <x:c r="T29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92" s="28" t="str">
        <x:v>Кофе имеет профиль «жареный, ореховый, карамельный, цветочный, фруктовый, фенольный и древесный». Партнёр «черешня»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9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92" s="28" t="str">
        <x:v>соль, ваниль или карамель</x:v>
      </x:c>
      <x:c r="X292" s="28" t="str">
        <x:v>кофейный напиток, холодный кофе, крем, сироп, десерт или соус с черешня</x:v>
      </x:c>
      <x:c r="Y292" s="28" t="str">
        <x:v>напитки</x:v>
      </x:c>
      <x:c r="Z292" s="28" t="str">
        <x:v>Средняя</x:v>
      </x:c>
      <x:c r="AA292" s="28" t="str">
        <x:v>The Art &amp; Science of Foodpairing.pdf</x:v>
      </x:c>
      <x:c r="AB292" s="28" t="str">
        <x:v>The Art &amp; Science of Foodpairing.pdf: 297</x:v>
      </x:c>
      <x:c r="AC292" s="28" t="str">
        <x:v>Пара встречается как grid; научное объяснение сформировано по ароматическому профилю и пищевой матрице.</x:v>
      </x:c>
      <x:c r="AD292" s="28" t="n">
        <x:v>1</x:v>
      </x:c>
      <x:c r="AE292" s="28" t="n">
        <x:v>1</x:v>
      </x:c>
      <x:c r="AF292" s="28" t="n">
        <x:f>IF(Z292="Высокая",3,IF(Z292="Средняя",2,1))+AD292*2+MIN(AE292,3)</x:f>
        <x:v>5</x:v>
      </x:c>
    </x:row>
    <x:row r="293" ht="62" customHeight="1">
      <x:c r="A293" s="28" t="str">
        <x:v>NCT-0292</x:v>
      </x:c>
      <x:c r="B293" s="28" t="str">
        <x:v>кофе</x:v>
      </x:c>
      <x:c r="C293" s="28" t="str">
        <x:v>Универсальные</x:v>
      </x:c>
      <x:c r="D293" s="28" t="str">
        <x:v>кофе</x:v>
      </x:c>
      <x:c r="E293" s="28" t="str">
        <x:v>Кофе | кофе</x:v>
      </x:c>
      <x:c r="F293" s="28" t="str">
        <x:v>Кофе</x:v>
      </x:c>
      <x:c r="G293" s="28" t="str">
        <x:v>черная смородина</x:v>
      </x:c>
      <x:c r="H293" s="28" t="str">
        <x:v>Черная смородина | черная смородина</x:v>
      </x:c>
      <x:c r="I293" s="28" t="str">
        <x:v>Прочее</x:v>
      </x:c>
      <x:c r="J293" s="28" t="str">
        <x:v>жареный, ореховый, карамельный, цветочный, фруктовый, фенольный и древесный</x:v>
      </x:c>
      <x:c r="K293" s="28" t="str">
        <x:v>профиль зависит от конкретного продукта</x:v>
      </x:c>
      <x:c r="L293" s="28" t="str">
        <x:v>пиразины, фураны, гваякол, 2-фурфурилтиол, диацетил</x:v>
      </x:c>
      <x:c r="M293" s="28" t="str">
        <x:v>характерный профиль зависит от конкретного продукта</x:v>
      </x:c>
      <x:c r="N293" s="28" t="str">
        <x:v>прямое пересечение семейств не является единственным объяснением</x:v>
      </x:c>
      <x:c r="O293" s="28" t="str">
        <x:v>надежная общая ключевая молекула не подтверждена</x:v>
      </x:c>
      <x:c r="P293" s="28" t="str">
        <x:v>сенсорная комплементарность</x:v>
      </x:c>
      <x:c r="Q293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93" s="28" t="str">
        <x:v>сухость и горечь; кофеин не имеет сильного запаха, но влияет на вкус и физиологию</x:v>
      </x:c>
      <x:c r="S293" s="28" t="str">
        <x:v>водный напиток с растворёнными кислотами, меланоидинами и маслами; в зерне — пористая обжаренная матрица</x:v>
      </x:c>
      <x:c r="T29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93" s="28" t="str">
        <x:v>Кофе имеет профиль «жареный, ореховый, карамельный, цветочный, фруктовый, фенольный и древесный». Партнёр «черная смородина»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9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93" s="28" t="str">
        <x:v>соль, ваниль или карамель</x:v>
      </x:c>
      <x:c r="X293" s="28" t="str">
        <x:v>кофейный напиток, холодный кофе, крем, сироп, десерт или соус с черная смородина</x:v>
      </x:c>
      <x:c r="Y293" s="28" t="str">
        <x:v>напитки</x:v>
      </x:c>
      <x:c r="Z293" s="28" t="str">
        <x:v>Средняя</x:v>
      </x:c>
      <x:c r="AA293" s="28" t="str">
        <x:v>Тезариус вкусов (Ники Сегнит)(1).pdf</x:v>
      </x:c>
      <x:c r="AB293" s="28" t="str">
        <x:v>Тезариус вкусов (Ники Сегнит)(1).pdf: 48, 877</x:v>
      </x:c>
      <x:c r="AC293" s="28" t="str">
        <x:v>Пара встречается как thesaurus; научное объяснение сформировано по ароматическому профилю и пищевой матрице.</x:v>
      </x:c>
      <x:c r="AD293" s="28" t="n">
        <x:v>1</x:v>
      </x:c>
      <x:c r="AE293" s="28" t="n">
        <x:v>2</x:v>
      </x:c>
      <x:c r="AF293" s="28" t="n">
        <x:f>IF(Z293="Высокая",3,IF(Z293="Средняя",2,1))+AD293*2+MIN(AE293,3)</x:f>
        <x:v>6</x:v>
      </x:c>
    </x:row>
    <x:row r="294" ht="62" customHeight="1">
      <x:c r="A294" s="28" t="str">
        <x:v>NCT-0293</x:v>
      </x:c>
      <x:c r="B294" s="28" t="str">
        <x:v>кофе</x:v>
      </x:c>
      <x:c r="C294" s="28" t="str">
        <x:v>Универсальные</x:v>
      </x:c>
      <x:c r="D294" s="28" t="str">
        <x:v>кофе</x:v>
      </x:c>
      <x:c r="E294" s="28" t="str">
        <x:v>кофе</x:v>
      </x:c>
      <x:c r="F294" s="28" t="str">
        <x:v>Кофе</x:v>
      </x:c>
      <x:c r="G294" s="28" t="str">
        <x:v>юдзу</x:v>
      </x:c>
      <x:c r="H294" s="28" t="str">
        <x:v>Юдзу</x:v>
      </x:c>
      <x:c r="I294" s="28" t="str">
        <x:v>Прочее</x:v>
      </x:c>
      <x:c r="J294" s="28" t="str">
        <x:v>жареный, ореховый, карамельный, цветочный, фруктовый, фенольный и древесный</x:v>
      </x:c>
      <x:c r="K294" s="28" t="str">
        <x:v>профиль зависит от конкретного продукта</x:v>
      </x:c>
      <x:c r="L294" s="28" t="str">
        <x:v>пиразины, фураны, гваякол, 2-фурфурилтиол, диацетил</x:v>
      </x:c>
      <x:c r="M294" s="28" t="str">
        <x:v>характерный профиль зависит от конкретного продукта</x:v>
      </x:c>
      <x:c r="N294" s="28" t="str">
        <x:v>прямое пересечение семейств не является единственным объяснением</x:v>
      </x:c>
      <x:c r="O294" s="28" t="str">
        <x:v>надежная общая ключевая молекула не подтверждена</x:v>
      </x:c>
      <x:c r="P294" s="28" t="str">
        <x:v>сенсорная комплементарность</x:v>
      </x:c>
      <x:c r="Q294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94" s="28" t="str">
        <x:v>сухость и горечь; кофеин не имеет сильного запаха, но влияет на вкус и физиологию</x:v>
      </x:c>
      <x:c r="S294" s="28" t="str">
        <x:v>водный напиток с растворёнными кислотами, меланоидинами и маслами; в зерне — пористая обжаренная матрица</x:v>
      </x:c>
      <x:c r="T29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94" s="28" t="str">
        <x:v>Кофе имеет профиль «жареный, ореховый, карамельный, цветочный, фруктовый, фенольный и древесный». Партнёр «юдзу»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V29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W294" s="28" t="str">
        <x:v>соль, ваниль или карамель</x:v>
      </x:c>
      <x:c r="X294" s="28" t="str">
        <x:v>кофейный напиток, холодный кофе, крем, сироп, десерт или соус с юдзу</x:v>
      </x:c>
      <x:c r="Y294" s="28" t="str">
        <x:v>напитки</x:v>
      </x:c>
      <x:c r="Z294" s="28" t="str">
        <x:v>Гипотеза / практическая</x:v>
      </x:c>
      <x:c r="AA294" s="28" t="str">
        <x:v>Таблица сочетания(1).pdf</x:v>
      </x:c>
      <x:c r="AB294" s="28" t="str">
        <x:v>Таблица сочетания(1).pdf: 22</x:v>
      </x:c>
      <x:c r="AC294" s="28" t="str">
        <x:v>Пара встречается как table; научное объяснение сформировано по ароматическому профилю и пищевой матрице.</x:v>
      </x:c>
      <x:c r="AD294" s="28" t="n">
        <x:v>1</x:v>
      </x:c>
      <x:c r="AE294" s="28" t="n">
        <x:v>1</x:v>
      </x:c>
      <x:c r="AF294" s="28" t="n">
        <x:f>IF(Z294="Высокая",3,IF(Z294="Средняя",2,1))+AD294*2+MIN(AE294,3)</x:f>
        <x:v>4</x:v>
      </x:c>
    </x:row>
    <x:row r="295" ht="62" customHeight="1">
      <x:c r="A295" s="28" t="str">
        <x:v>NCT-0294</x:v>
      </x:c>
      <x:c r="B295" s="28" t="str">
        <x:v>кофе</x:v>
      </x:c>
      <x:c r="C295" s="28" t="str">
        <x:v>Десерты и выпечка</x:v>
      </x:c>
      <x:c r="D295" s="28" t="str">
        <x:v>кофе</x:v>
      </x:c>
      <x:c r="E295" s="28" t="str">
        <x:v>кофе</x:v>
      </x:c>
      <x:c r="F295" s="28" t="str">
        <x:v>Кофе</x:v>
      </x:c>
      <x:c r="G295" s="28" t="str">
        <x:v>ягоды годжи</x:v>
      </x:c>
      <x:c r="H295" s="28" t="str">
        <x:v>Ягоды годжи</x:v>
      </x:c>
      <x:c r="I295" s="28" t="str">
        <x:v>Фрукты и ягоды</x:v>
      </x:c>
      <x:c r="J295" s="28" t="str">
        <x:v>жареный, ореховый, карамельный, цветочный, фруктовый, фенольный и древесный</x:v>
      </x:c>
      <x:c r="K295" s="28" t="str">
        <x:v>фруктовый, цветочный и свежий</x:v>
      </x:c>
      <x:c r="L295" s="28" t="str">
        <x:v>пиразины, фураны, гваякол, 2-фурфурилтиол, диацетил</x:v>
      </x:c>
      <x:c r="M295" s="28" t="str">
        <x:v>альдегиды, эфиры</x:v>
      </x:c>
      <x:c r="N295" s="28" t="str">
        <x:v>цветочный</x:v>
      </x:c>
      <x:c r="O295" s="28" t="str">
        <x:v>надежная общая ключевая молекула не подтверждена</x:v>
      </x:c>
      <x:c r="P295" s="28" t="str">
        <x:v>пересечение ароматических семейств, контраст кислоты и жирной/горькой матрицы</x:v>
      </x:c>
      <x:c r="Q295" s="28" t="str">
        <x:v>Горечь и кислотность кофе балансируются сладостью, жиром и солью; умами переводит жареный профиль в соусную область.</x:v>
      </x:c>
      <x:c r="R295" s="28" t="str">
        <x:v>сухость и горечь; кофеин не имеет сильного запаха, но влияет на вкус и физиологию</x:v>
      </x:c>
      <x:c r="S295" s="28" t="str">
        <x:v>водный напиток с растворёнными кислотами, меланоидинами и маслами; в зерне — пористая обжаренная матрица Водная фруктовая фаза требует эмульсии или мелкого измельчения, если орех или шоколад вводится как паста.</x:v>
      </x:c>
      <x:c r="T29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U295" s="28" t="str">
        <x:v>Кофе имеет профиль «жареный, ореховый, карамельный, цветочный, фруктовый, фенольный и древесный». Партнёр «ягоды годжи»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V29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W295" s="28" t="str">
        <x:v>ваниль, цитрус или молочный жир</x:v>
      </x:c>
      <x:c r="X295" s="28" t="str">
        <x:v>кофейный напиток, холодный кофе, крем, сироп, десерт или соус с ягоды годжи</x:v>
      </x:c>
      <x:c r="Y295" s="28" t="str">
        <x:v>напитки, десерты</x:v>
      </x:c>
      <x:c r="Z295" s="28" t="str">
        <x:v>Гипотеза / практическая</x:v>
      </x:c>
      <x:c r="AA295" s="28" t="str">
        <x:v>Таблица сочетания(1).pdf</x:v>
      </x:c>
      <x:c r="AB295" s="28" t="str">
        <x:v>Таблица сочетания(1).pdf: 8</x:v>
      </x:c>
      <x:c r="AC295" s="28" t="str">
        <x:v>Пара встречается как table; научное объяснение сформировано по ароматическому профилю и пищевой матрице.</x:v>
      </x:c>
      <x:c r="AD295" s="28" t="n">
        <x:v>1</x:v>
      </x:c>
      <x:c r="AE295" s="28" t="n">
        <x:v>1</x:v>
      </x:c>
      <x:c r="AF295" s="28" t="n">
        <x:f>IF(Z295="Высокая",3,IF(Z295="Средняя",2,1))+AD295*2+MIN(AE295,3)</x:f>
        <x:v>4</x:v>
      </x:c>
    </x:row>
    <x:row r="296" ht="62" customHeight="1">
      <x:c r="A296" s="28" t="str">
        <x:v>NCT-0295</x:v>
      </x:c>
      <x:c r="B296" s="28" t="str">
        <x:v>макадамия</x:v>
      </x:c>
      <x:c r="C296" s="28" t="str">
        <x:v>Еда и соусы</x:v>
      </x:c>
      <x:c r="D296" s="28" t="str">
        <x:v>макадамия</x:v>
      </x:c>
      <x:c r="E296" s="28" t="str">
        <x:v>macadamia nut</x:v>
      </x:c>
      <x:c r="F296" s="28" t="str">
        <x:v>Орехи и семена</x:v>
      </x:c>
      <x:c r="G296" s="28" t="str">
        <x:v>bacon</x:v>
      </x:c>
      <x:c r="H296" s="28" t="str">
        <x:v>bacon</x:v>
      </x:c>
      <x:c r="I296" s="28" t="str">
        <x:v>Мясо и птица</x:v>
      </x:c>
      <x:c r="J296" s="28" t="str">
        <x:v>сливочный, маслянистый, сладко-ореховый и мягко-жареный</x:v>
      </x:c>
      <x:c r="K296" s="28" t="str">
        <x:v>жареный, мясной и умами</x:v>
      </x:c>
      <x:c r="L296" s="28" t="str">
        <x:v>лактоны, альдегиды, пиразины, фураны</x:v>
      </x:c>
      <x:c r="M296" s="28" t="str">
        <x:v>пиразины, сернистые соединения</x:v>
      </x:c>
      <x:c r="N296" s="28" t="str">
        <x:v>прямое пересечение семейств не является единственным объяснением</x:v>
      </x:c>
      <x:c r="O296" s="28" t="str">
        <x:v>пиразины</x:v>
      </x:c>
      <x:c r="P296" s="28" t="str">
        <x:v>общие ароматические соединения, жареная химия и реакции Майяра, солёно-умами контраст</x:v>
      </x:c>
      <x:c r="Q29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296" s="28" t="str">
        <x:v>минимальный</x:v>
      </x:c>
      <x:c r="S296" s="28" t="str">
        <x:v>очень жирная и кремовая; хорошо переносит липофильные ароматы</x:v>
      </x:c>
      <x:c r="T296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U296" s="28" t="str">
        <x:v>Макадамия имеет профиль «сливочный, маслянистый, сладко-ореховый и мягко-жареный». Партнёр «bacon»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V296" s="28" t="str">
        <x:v>аллерген; высокая энергетическая плотность и прогоркание</x:v>
      </x:c>
      <x:c r="W296" s="28" t="str">
        <x:v>соль, соевый соус, коричневое масло или специя</x:v>
      </x:c>
      <x:c r="X296" s="28" t="str">
        <x:v>пралине, паста, выпечка, гарнир, соус, молочный или коктейльный компонент с bacon</x:v>
      </x:c>
      <x:c r="Y296" s="28" t="str">
        <x:v>еда, десерты, соусы/маринады</x:v>
      </x:c>
      <x:c r="Z296" s="28" t="str">
        <x:v>Высокая</x:v>
      </x:c>
      <x:c r="AA296" s="28" t="str">
        <x:v>The Art &amp; Science of Foodpairing.pdf</x:v>
      </x:c>
      <x:c r="AB296" s="28" t="str">
        <x:v>The Art &amp; Science of Foodpairing.pdf: 188</x:v>
      </x:c>
      <x:c r="AC296" s="28" t="str">
        <x:v>Пара встречается как potential; научное объяснение сформировано по ароматическому профилю и пищевой матрице.</x:v>
      </x:c>
      <x:c r="AD296" s="28" t="n">
        <x:v>1</x:v>
      </x:c>
      <x:c r="AE296" s="28" t="n">
        <x:v>1</x:v>
      </x:c>
      <x:c r="AF296" s="28" t="n">
        <x:f>IF(Z296="Высокая",3,IF(Z296="Средняя",2,1))+AD296*2+MIN(AE296,3)</x:f>
        <x:v>6</x:v>
      </x:c>
    </x:row>
    <x:row r="297" ht="62" customHeight="1">
      <x:c r="A297" s="28" t="str">
        <x:v>NCT-0296</x:v>
      </x:c>
      <x:c r="B297" s="28" t="str">
        <x:v>макадамия</x:v>
      </x:c>
      <x:c r="C297" s="28" t="str">
        <x:v>Универсальные</x:v>
      </x:c>
      <x:c r="D297" s="28" t="str">
        <x:v>макадамия</x:v>
      </x:c>
      <x:c r="E297" s="28" t="str">
        <x:v>макадамия</x:v>
      </x:c>
      <x:c r="F297" s="28" t="str">
        <x:v>Орехи и семена</x:v>
      </x:c>
      <x:c r="G297" s="28" t="str">
        <x:v>ананас</x:v>
      </x:c>
      <x:c r="H297" s="28" t="str">
        <x:v>Ананас</x:v>
      </x:c>
      <x:c r="I297" s="28" t="str">
        <x:v>Прочее</x:v>
      </x:c>
      <x:c r="J297" s="28" t="str">
        <x:v>сливочный, маслянистый, сладко-ореховый и мягко-жареный</x:v>
      </x:c>
      <x:c r="K297" s="28" t="str">
        <x:v>профиль зависит от конкретного продукта</x:v>
      </x:c>
      <x:c r="L297" s="28" t="str">
        <x:v>лактоны, альдегиды, пиразины, фураны</x:v>
      </x:c>
      <x:c r="M297" s="28" t="str">
        <x:v>характерный профиль зависит от конкретного продукта</x:v>
      </x:c>
      <x:c r="N297" s="28" t="str">
        <x:v>прямое пересечение семейств не является единственным объяснением</x:v>
      </x:c>
      <x:c r="O297" s="28" t="str">
        <x:v>надежная общая ключевая молекула не подтверждена</x:v>
      </x:c>
      <x:c r="P297" s="28" t="str">
        <x:v>сенсорная комплементарность</x:v>
      </x:c>
      <x:c r="Q29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297" s="28" t="str">
        <x:v>минимальный</x:v>
      </x:c>
      <x:c r="S297" s="28" t="str">
        <x:v>очень жирная и кремовая; хорошо переносит липофильные ароматы</x:v>
      </x:c>
      <x:c r="T297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U297" s="28" t="str">
        <x:v>Макадамия имеет профиль «сливочный, маслянистый, сладко-ореховый и мягко-жареный». Партнёр «ананас»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297" s="28" t="str">
        <x:v>аллерген; высокая энергетическая плотность и прогоркание</x:v>
      </x:c>
      <x:c r="W297" s="28" t="str">
        <x:v>соль, ваниль или карамель</x:v>
      </x:c>
      <x:c r="X297" s="28" t="str">
        <x:v>пралине, паста, выпечка, гарнир, соус, молочный или коктейльный компонент с ананас</x:v>
      </x:c>
      <x:c r="Y297" s="28" t="str">
        <x:v>десерты</x:v>
      </x:c>
      <x:c r="Z297" s="28" t="str">
        <x:v>Гипотеза / практическая</x:v>
      </x:c>
      <x:c r="AA297" s="28" t="str">
        <x:v>Таблица сочетания(1).pdf</x:v>
      </x:c>
      <x:c r="AB297" s="28" t="str">
        <x:v>Таблица сочетания(1).pdf: 17</x:v>
      </x:c>
      <x:c r="AC297" s="28" t="str">
        <x:v>Пара встречается как table; научное объяснение сформировано по ароматическому профилю и пищевой матрице.</x:v>
      </x:c>
      <x:c r="AD297" s="28" t="n">
        <x:v>1</x:v>
      </x:c>
      <x:c r="AE297" s="28" t="n">
        <x:v>1</x:v>
      </x:c>
      <x:c r="AF297" s="28" t="n">
        <x:f>IF(Z297="Высокая",3,IF(Z297="Средняя",2,1))+AD297*2+MIN(AE297,3)</x:f>
        <x:v>4</x:v>
      </x:c>
    </x:row>
    <x:row r="298" ht="62" customHeight="1">
      <x:c r="A298" s="28" t="str">
        <x:v>NCT-0297</x:v>
      </x:c>
      <x:c r="B298" s="28" t="str">
        <x:v>макадамия</x:v>
      </x:c>
      <x:c r="C298" s="28" t="str">
        <x:v>Десерты и выпечка</x:v>
      </x:c>
      <x:c r="D298" s="28" t="str">
        <x:v>макадамия</x:v>
      </x:c>
      <x:c r="E298" s="28" t="str">
        <x:v>макадамия</x:v>
      </x:c>
      <x:c r="F298" s="28" t="str">
        <x:v>Орехи и семена</x:v>
      </x:c>
      <x:c r="G298" s="28" t="str">
        <x:v>банан</x:v>
      </x:c>
      <x:c r="H298" s="28" t="str">
        <x:v>Банан</x:v>
      </x:c>
      <x:c r="I298" s="28" t="str">
        <x:v>Фрукты и ягоды</x:v>
      </x:c>
      <x:c r="J298" s="28" t="str">
        <x:v>сливочный, маслянистый, сладко-ореховый и мягко-жареный</x:v>
      </x:c>
      <x:c r="K298" s="28" t="str">
        <x:v>сливочный, фруктовый</x:v>
      </x:c>
      <x:c r="L298" s="28" t="str">
        <x:v>лактоны, альдегиды, пиразины, фураны</x:v>
      </x:c>
      <x:c r="M298" s="28" t="str">
        <x:v>изоамилацетат</x:v>
      </x:c>
      <x:c r="N298" s="28" t="str">
        <x:v>сливочный</x:v>
      </x:c>
      <x:c r="O298" s="28" t="str">
        <x:v>надежная общая ключевая молекула не подтверждена</x:v>
      </x:c>
      <x:c r="P298" s="28" t="str">
        <x:v>пересечение ароматических семейств, контраст кислоты и жирной/горькой матрицы</x:v>
      </x:c>
      <x:c r="Q29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298" s="28" t="str">
        <x:v>минимальный</x:v>
      </x:c>
      <x:c r="S298" s="28" t="str">
        <x:v>очень жирная и кремовая; хорошо переносит липофильные ароматы Водная фруктовая фаза требует эмульсии или мелкого измельчения, если орех или шоколад вводится как паста.</x:v>
      </x:c>
      <x:c r="T298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U298" s="28" t="str">
        <x:v>Макадамия имеет профиль «сливочный, маслянистый, сладко-ореховый и мягко-жареный». Партнёр «банан» относится к группе «Фрукты и ягоды» и даёт сливочный, фруктовый. Профили пересекаются в семействах: сливочный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сливочный; механизм не следует сводить к одной общей молекуле.</x:v>
      </x:c>
      <x:c r="V298" s="28" t="str">
        <x:v>аллерген; высокая энергетическая плотность и прогоркание; избыток кислоты может сделать чай или кофе резкими и разрушить молочную эмульсию</x:v>
      </x:c>
      <x:c r="W298" s="28" t="str">
        <x:v>ваниль, цитрус или молочный жир</x:v>
      </x:c>
      <x:c r="X298" s="28" t="str">
        <x:v>пралине, паста, выпечка, гарнир, соус, молочный или коктейльный компонент с банан</x:v>
      </x:c>
      <x:c r="Y298" s="28" t="str">
        <x:v>десерты</x:v>
      </x:c>
      <x:c r="Z298" s="28" t="str">
        <x:v>Гипотеза / практическая</x:v>
      </x:c>
      <x:c r="AA298" s="28" t="str">
        <x:v>Таблица сочетания(1).pdf</x:v>
      </x:c>
      <x:c r="AB298" s="28" t="str">
        <x:v>Таблица сочетания(1).pdf: 2</x:v>
      </x:c>
      <x:c r="AC298" s="28" t="str">
        <x:v>Пара встречается как table; научное объяснение сформировано по ароматическому профилю и пищевой матрице.</x:v>
      </x:c>
      <x:c r="AD298" s="28" t="n">
        <x:v>1</x:v>
      </x:c>
      <x:c r="AE298" s="28" t="n">
        <x:v>1</x:v>
      </x:c>
      <x:c r="AF298" s="28" t="n">
        <x:f>IF(Z298="Высокая",3,IF(Z298="Средняя",2,1))+AD298*2+MIN(AE298,3)</x:f>
        <x:v>4</x:v>
      </x:c>
    </x:row>
    <x:row r="299" ht="62" customHeight="1">
      <x:c r="A299" s="28" t="str">
        <x:v>NCT-0298</x:v>
      </x:c>
      <x:c r="B299" s="28" t="str">
        <x:v>макадамия</x:v>
      </x:c>
      <x:c r="C299" s="28" t="str">
        <x:v>Десерты и выпечка</x:v>
      </x:c>
      <x:c r="D299" s="28" t="str">
        <x:v>макадамия</x:v>
      </x:c>
      <x:c r="E299" s="28" t="str">
        <x:v>Макадамия</x:v>
      </x:c>
      <x:c r="F299" s="28" t="str">
        <x:v>Орехи и семена</x:v>
      </x:c>
      <x:c r="G299" s="28" t="str">
        <x:v>вишня</x:v>
      </x:c>
      <x:c r="H299" s="28" t="str">
        <x:v>вишня</x:v>
      </x:c>
      <x:c r="I299" s="28" t="str">
        <x:v>Фрукты и ягоды</x:v>
      </x:c>
      <x:c r="J299" s="28" t="str">
        <x:v>сливочный, маслянистый, сладко-ореховый и мягко-жареный</x:v>
      </x:c>
      <x:c r="K299" s="28" t="str">
        <x:v>миндальный, фруктовый</x:v>
      </x:c>
      <x:c r="L299" s="28" t="str">
        <x:v>лактоны, альдегиды, пиразины, фураны</x:v>
      </x:c>
      <x:c r="M299" s="28" t="str">
        <x:v>бензальдегид, эфиры</x:v>
      </x:c>
      <x:c r="N299" s="28" t="str">
        <x:v>прямое пересечение семейств не является единственным объяснением</x:v>
      </x:c>
      <x:c r="O299" s="28" t="str">
        <x:v>надежная общая ключевая молекула не подтверждена</x:v>
      </x:c>
      <x:c r="P299" s="28" t="str">
        <x:v>контраст кислоты и жирной/горькой матрицы</x:v>
      </x:c>
      <x:c r="Q29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299" s="28" t="str">
        <x:v>минимальный</x:v>
      </x:c>
      <x:c r="S299" s="28" t="str">
        <x:v>очень жирная и кремовая; хорошо переносит липофильные ароматы Водная фруктовая фаза требует эмульсии или мелкого измельчения, если орех или шоколад вводится как паста.</x:v>
      </x:c>
      <x:c r="T299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U299" s="28" t="str">
        <x:v>Макадамия имеет профиль «сливочный, маслянистый, сладко-ореховый и мягко-жареный». Партнёр «вишня» относится к группе «Фрукты и ягоды» и даёт миндальный,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299" s="28" t="str">
        <x:v>аллерген; высокая энергетическая плотность и прогоркание; избыток кислоты может сделать чай или кофе резкими и разрушить молочную эмульсию</x:v>
      </x:c>
      <x:c r="W299" s="28" t="str">
        <x:v>ваниль, цитрус или молочный жир</x:v>
      </x:c>
      <x:c r="X299" s="28" t="str">
        <x:v>пралине, паста, выпечка, гарнир, соус, молочный или коктейльный компонент с вишня</x:v>
      </x:c>
      <x:c r="Y299" s="28" t="str">
        <x:v>десерты</x:v>
      </x:c>
      <x:c r="Z299" s="28" t="str">
        <x:v>Гипотеза / практическая</x:v>
      </x:c>
      <x:c r="AA299" s="28" t="str">
        <x:v>Таблица сочетания(1).pdf</x:v>
      </x:c>
      <x:c r="AB299" s="28" t="str">
        <x:v>Таблица сочетания(1).pdf: 12</x:v>
      </x:c>
      <x:c r="AC299" s="28" t="str">
        <x:v>Пара встречается как table; научное объяснение сформировано по ароматическому профилю и пищевой матрице.</x:v>
      </x:c>
      <x:c r="AD299" s="28" t="n">
        <x:v>1</x:v>
      </x:c>
      <x:c r="AE299" s="28" t="n">
        <x:v>1</x:v>
      </x:c>
      <x:c r="AF299" s="28" t="n">
        <x:f>IF(Z299="Высокая",3,IF(Z299="Средняя",2,1))+AD299*2+MIN(AE299,3)</x:f>
        <x:v>4</x:v>
      </x:c>
    </x:row>
    <x:row r="300" ht="62" customHeight="1">
      <x:c r="A300" s="28" t="str">
        <x:v>NCT-0299</x:v>
      </x:c>
      <x:c r="B300" s="28" t="str">
        <x:v>макадамия</x:v>
      </x:c>
      <x:c r="C300" s="28" t="str">
        <x:v>Десерты и выпечка</x:v>
      </x:c>
      <x:c r="D300" s="28" t="str">
        <x:v>макадамия</x:v>
      </x:c>
      <x:c r="E300" s="28" t="str">
        <x:v>макадамия</x:v>
      </x:c>
      <x:c r="F300" s="28" t="str">
        <x:v>Орехи и семена</x:v>
      </x:c>
      <x:c r="G300" s="28" t="str">
        <x:v>груша</x:v>
      </x:c>
      <x:c r="H300" s="28" t="str">
        <x:v>Груша</x:v>
      </x:c>
      <x:c r="I300" s="28" t="str">
        <x:v>Фрукты и ягоды</x:v>
      </x:c>
      <x:c r="J300" s="28" t="str">
        <x:v>сливочный, маслянистый, сладко-ореховый и мягко-жареный</x:v>
      </x:c>
      <x:c r="K300" s="28" t="str">
        <x:v>фруктовый, цветочный и свежий</x:v>
      </x:c>
      <x:c r="L300" s="28" t="str">
        <x:v>лактоны, альдегиды, пиразины, фураны</x:v>
      </x:c>
      <x:c r="M300" s="28" t="str">
        <x:v>альдегиды, эфиры</x:v>
      </x:c>
      <x:c r="N300" s="28" t="str">
        <x:v>прямое пересечение семейств не является единственным объяснением</x:v>
      </x:c>
      <x:c r="O300" s="28" t="str">
        <x:v>альдегиды</x:v>
      </x:c>
      <x:c r="P300" s="28" t="str">
        <x:v>общие ароматические соединения, контраст кислоты и жирной/горькой матрицы</x:v>
      </x:c>
      <x:c r="Q30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00" s="28" t="str">
        <x:v>минимальный</x:v>
      </x:c>
      <x:c r="S300" s="28" t="str">
        <x:v>очень жирная и кремовая; хорошо переносит липофильные ароматы Водная фруктовая фаза требует эмульсии или мелкого измельчения, если орех или шоколад вводится как паста.</x:v>
      </x:c>
      <x:c r="T300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U300" s="28" t="str">
        <x:v>Макадамия имеет профиль «сливочный, маслянистый, сладко-ореховый и мягко-жареный». Партнёр «груша»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300" s="28" t="str">
        <x:v>аллерген; высокая энергетическая плотность и прогоркание; избыток кислоты может сделать чай или кофе резкими и разрушить молочную эмульсию</x:v>
      </x:c>
      <x:c r="W300" s="28" t="str">
        <x:v>ваниль, цитрус или молочный жир</x:v>
      </x:c>
      <x:c r="X300" s="28" t="str">
        <x:v>пралине, паста, выпечка, гарнир, соус, молочный или коктейльный компонент с груша</x:v>
      </x:c>
      <x:c r="Y300" s="28" t="str">
        <x:v>десерты</x:v>
      </x:c>
      <x:c r="Z300" s="28" t="str">
        <x:v>Гипотеза / практическая</x:v>
      </x:c>
      <x:c r="AA300" s="28" t="str">
        <x:v>Таблица сочетания(1).pdf</x:v>
      </x:c>
      <x:c r="AB300" s="28" t="str">
        <x:v>Таблица сочетания(1).pdf: 16</x:v>
      </x:c>
      <x:c r="AC300" s="28" t="str">
        <x:v>Пара встречается как table; научное объяснение сформировано по ароматическому профилю и пищевой матрице.</x:v>
      </x:c>
      <x:c r="AD300" s="28" t="n">
        <x:v>1</x:v>
      </x:c>
      <x:c r="AE300" s="28" t="n">
        <x:v>1</x:v>
      </x:c>
      <x:c r="AF300" s="28" t="n">
        <x:f>IF(Z300="Высокая",3,IF(Z300="Средняя",2,1))+AD300*2+MIN(AE300,3)</x:f>
        <x:v>4</x:v>
      </x:c>
    </x:row>
    <x:row r="301" ht="62" customHeight="1">
      <x:c r="A301" s="28" t="str">
        <x:v>NCT-0300</x:v>
      </x:c>
      <x:c r="B301" s="28" t="str">
        <x:v>макадамия</x:v>
      </x:c>
      <x:c r="C301" s="28" t="str">
        <x:v>Универсальные</x:v>
      </x:c>
      <x:c r="D301" s="28" t="str">
        <x:v>макадамия</x:v>
      </x:c>
      <x:c r="E301" s="28" t="str">
        <x:v>Макадамия</x:v>
      </x:c>
      <x:c r="F301" s="28" t="str">
        <x:v>Орехи и семена</x:v>
      </x:c>
      <x:c r="G301" s="28" t="str">
        <x:v>имбирь</x:v>
      </x:c>
      <x:c r="H301" s="28" t="str">
        <x:v>имбирь</x:v>
      </x:c>
      <x:c r="I301" s="28" t="str">
        <x:v>Специи</x:v>
      </x:c>
      <x:c r="J301" s="28" t="str">
        <x:v>сливочный, маслянистый, сладко-ореховый и мягко-жареный</x:v>
      </x:c>
      <x:c r="K301" s="28" t="str">
        <x:v>пряный, тёплый, цитрусовый</x:v>
      </x:c>
      <x:c r="L301" s="28" t="str">
        <x:v>лактоны, альдегиды, пиразины, фураны</x:v>
      </x:c>
      <x:c r="M301" s="28" t="str">
        <x:v>гингеролы, цитраль</x:v>
      </x:c>
      <x:c r="N301" s="28" t="str">
        <x:v>прямое пересечение семейств не является единственным объяснением</x:v>
      </x:c>
      <x:c r="O301" s="28" t="str">
        <x:v>надежная общая ключевая молекула не подтверждена</x:v>
      </x:c>
      <x:c r="P301" s="28" t="str">
        <x:v>сенсорная комплементарность</x:v>
      </x:c>
      <x:c r="Q30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01" s="28" t="str">
        <x:v>минимальный; у острого партнёра тройничный эффект может доминировать</x:v>
      </x:c>
      <x:c r="S301" s="28" t="str">
        <x:v>очень жирная и кремовая; хорошо переносит липофильные ароматы</x:v>
      </x:c>
      <x:c r="T301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U301" s="28" t="str">
        <x:v>Макадамия имеет профиль «сливочный, маслянистый, сладко-ореховый и мягко-жареный». Партнёр «имбирь» относится к группе «Специи» и даёт пряный, тёплый,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01" s="28" t="str">
        <x:v>аллерген; высокая энергетическая плотность и прогоркание</x:v>
      </x:c>
      <x:c r="W301" s="28" t="str">
        <x:v>ваниль, апельсин или мёд</x:v>
      </x:c>
      <x:c r="X301" s="28" t="str">
        <x:v>пралине, паста, выпечка, гарнир, соус, молочный или коктейльный компонент с имбирь</x:v>
      </x:c>
      <x:c r="Y301" s="28" t="str">
        <x:v>десерты</x:v>
      </x:c>
      <x:c r="Z301" s="28" t="str">
        <x:v>Гипотеза / практическая</x:v>
      </x:c>
      <x:c r="AA301" s="28" t="str">
        <x:v>Таблица сочетания(1).pdf</x:v>
      </x:c>
      <x:c r="AB301" s="28" t="str">
        <x:v>Таблица сочетания(1).pdf: 12</x:v>
      </x:c>
      <x:c r="AC301" s="28" t="str">
        <x:v>Пара встречается как table; научное объяснение сформировано по ароматическому профилю и пищевой матрице.</x:v>
      </x:c>
      <x:c r="AD301" s="28" t="n">
        <x:v>1</x:v>
      </x:c>
      <x:c r="AE301" s="28" t="n">
        <x:v>1</x:v>
      </x:c>
      <x:c r="AF301" s="28" t="n">
        <x:f>IF(Z301="Высокая",3,IF(Z301="Средняя",2,1))+AD301*2+MIN(AE301,3)</x:f>
        <x:v>4</x:v>
      </x:c>
    </x:row>
    <x:row r="302" ht="62" customHeight="1">
      <x:c r="A302" s="28" t="str">
        <x:v>NCT-0301</x:v>
      </x:c>
      <x:c r="B302" s="28" t="str">
        <x:v>макадамия</x:v>
      </x:c>
      <x:c r="C302" s="28" t="str">
        <x:v>Универсальные</x:v>
      </x:c>
      <x:c r="D302" s="28" t="str">
        <x:v>макадамия</x:v>
      </x:c>
      <x:c r="E302" s="28" t="str">
        <x:v>Макадамия</x:v>
      </x:c>
      <x:c r="F302" s="28" t="str">
        <x:v>Орехи и семена</x:v>
      </x:c>
      <x:c r="G302" s="28" t="str">
        <x:v>кайенский перец</x:v>
      </x:c>
      <x:c r="H302" s="28" t="str">
        <x:v>кайенский перец</x:v>
      </x:c>
      <x:c r="I302" s="28" t="str">
        <x:v>Специи</x:v>
      </x:c>
      <x:c r="J302" s="28" t="str">
        <x:v>сливочный, маслянистый, сладко-ореховый и мягко-жареный</x:v>
      </x:c>
      <x:c r="K302" s="28" t="str">
        <x:v>пряный и древесный</x:v>
      </x:c>
      <x:c r="L302" s="28" t="str">
        <x:v>лактоны, альдегиды, пиразины, фураны</x:v>
      </x:c>
      <x:c r="M302" s="28" t="str">
        <x:v>терпены, фенилпропаноиды</x:v>
      </x:c>
      <x:c r="N302" s="28" t="str">
        <x:v>прямое пересечение семейств не является единственным объяснением</x:v>
      </x:c>
      <x:c r="O302" s="28" t="str">
        <x:v>надежная общая ключевая молекула не подтверждена</x:v>
      </x:c>
      <x:c r="P302" s="28" t="str">
        <x:v>сенсорная комплементарность</x:v>
      </x:c>
      <x:c r="Q30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02" s="28" t="str">
        <x:v>минимальный; у острого партнёра тройничный эффект может доминировать</x:v>
      </x:c>
      <x:c r="S302" s="28" t="str">
        <x:v>очень жирная и кремовая; хорошо переносит липофильные ароматы</x:v>
      </x:c>
      <x:c r="T302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U302" s="28" t="str">
        <x:v>Макадамия имеет профиль «сливочный, маслянистый, сладко-ореховый и мягко-жареный». Партнёр «кайенский перец»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02" s="28" t="str">
        <x:v>аллерген; высокая энергетическая плотность и прогоркание</x:v>
      </x:c>
      <x:c r="W302" s="28" t="str">
        <x:v>ваниль, апельсин или мёд</x:v>
      </x:c>
      <x:c r="X302" s="28" t="str">
        <x:v>пралине, паста, выпечка, гарнир, соус, молочный или коктейльный компонент с кайенский перец</x:v>
      </x:c>
      <x:c r="Y302" s="28" t="str">
        <x:v>десерты</x:v>
      </x:c>
      <x:c r="Z302" s="28" t="str">
        <x:v>Гипотеза / практическая</x:v>
      </x:c>
      <x:c r="AA302" s="28" t="str">
        <x:v>Таблица сочетания(1).pdf</x:v>
      </x:c>
      <x:c r="AB302" s="28" t="str">
        <x:v>Таблица сочетания(1).pdf: 12</x:v>
      </x:c>
      <x:c r="AC302" s="28" t="str">
        <x:v>Пара встречается как table; научное объяснение сформировано по ароматическому профилю и пищевой матрице.</x:v>
      </x:c>
      <x:c r="AD302" s="28" t="n">
        <x:v>1</x:v>
      </x:c>
      <x:c r="AE302" s="28" t="n">
        <x:v>1</x:v>
      </x:c>
      <x:c r="AF302" s="28" t="n">
        <x:f>IF(Z302="Высокая",3,IF(Z302="Средняя",2,1))+AD302*2+MIN(AE302,3)</x:f>
        <x:v>4</x:v>
      </x:c>
    </x:row>
    <x:row r="303" ht="62" customHeight="1">
      <x:c r="A303" s="28" t="str">
        <x:v>NCT-0302</x:v>
      </x:c>
      <x:c r="B303" s="28" t="str">
        <x:v>макадамия</x:v>
      </x:c>
      <x:c r="C303" s="28" t="str">
        <x:v>Десерты и выпечка</x:v>
      </x:c>
      <x:c r="D303" s="28" t="str">
        <x:v>макадамия</x:v>
      </x:c>
      <x:c r="E303" s="28" t="str">
        <x:v>макадамия</x:v>
      </x:c>
      <x:c r="F303" s="28" t="str">
        <x:v>Орехи и семена</x:v>
      </x:c>
      <x:c r="G303" s="28" t="str">
        <x:v>киви</x:v>
      </x:c>
      <x:c r="H303" s="28" t="str">
        <x:v>Киви</x:v>
      </x:c>
      <x:c r="I303" s="28" t="str">
        <x:v>Фрукты и ягоды</x:v>
      </x:c>
      <x:c r="J303" s="28" t="str">
        <x:v>сливочный, маслянистый, сладко-ореховый и мягко-жареный</x:v>
      </x:c>
      <x:c r="K303" s="28" t="str">
        <x:v>фруктовый, цветочный и свежий</x:v>
      </x:c>
      <x:c r="L303" s="28" t="str">
        <x:v>лактоны, альдегиды, пиразины, фураны</x:v>
      </x:c>
      <x:c r="M303" s="28" t="str">
        <x:v>альдегиды, эфиры</x:v>
      </x:c>
      <x:c r="N303" s="28" t="str">
        <x:v>прямое пересечение семейств не является единственным объяснением</x:v>
      </x:c>
      <x:c r="O303" s="28" t="str">
        <x:v>альдегиды</x:v>
      </x:c>
      <x:c r="P303" s="28" t="str">
        <x:v>общие ароматические соединения, контраст кислоты и жирной/горькой матрицы</x:v>
      </x:c>
      <x:c r="Q30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03" s="28" t="str">
        <x:v>минимальный</x:v>
      </x:c>
      <x:c r="S303" s="28" t="str">
        <x:v>очень жирная и кремовая; хорошо переносит липофильные ароматы Водная фруктовая фаза требует эмульсии или мелкого измельчения, если орех или шоколад вводится как паста.</x:v>
      </x:c>
      <x:c r="T303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U303" s="28" t="str">
        <x:v>Макадамия имеет профиль «сливочный, маслянистый, сладко-ореховый и мягко-жареный». Партнёр «киви»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303" s="28" t="str">
        <x:v>аллерген; высокая энергетическая плотность и прогоркание; избыток кислоты может сделать чай или кофе резкими и разрушить молочную эмульсию</x:v>
      </x:c>
      <x:c r="W303" s="28" t="str">
        <x:v>ваниль, цитрус или молочный жир</x:v>
      </x:c>
      <x:c r="X303" s="28" t="str">
        <x:v>пралине, паста, выпечка, гарнир, соус, молочный или коктейльный компонент с киви</x:v>
      </x:c>
      <x:c r="Y303" s="28" t="str">
        <x:v>десерты</x:v>
      </x:c>
      <x:c r="Z303" s="28" t="str">
        <x:v>Гипотеза / практическая</x:v>
      </x:c>
      <x:c r="AA303" s="28" t="str">
        <x:v>Таблица сочетания(1).pdf</x:v>
      </x:c>
      <x:c r="AB303" s="28" t="str">
        <x:v>Таблица сочетания(1).pdf: 10</x:v>
      </x:c>
      <x:c r="AC303" s="28" t="str">
        <x:v>Пара встречается как table; научное объяснение сформировано по ароматическому профилю и пищевой матрице.</x:v>
      </x:c>
      <x:c r="AD303" s="28" t="n">
        <x:v>1</x:v>
      </x:c>
      <x:c r="AE303" s="28" t="n">
        <x:v>1</x:v>
      </x:c>
      <x:c r="AF303" s="28" t="n">
        <x:f>IF(Z303="Высокая",3,IF(Z303="Средняя",2,1))+AD303*2+MIN(AE303,3)</x:f>
        <x:v>4</x:v>
      </x:c>
    </x:row>
    <x:row r="304" ht="62" customHeight="1">
      <x:c r="A304" s="28" t="str">
        <x:v>NCT-0303</x:v>
      </x:c>
      <x:c r="B304" s="28" t="str">
        <x:v>макадамия</x:v>
      </x:c>
      <x:c r="C304" s="28" t="str">
        <x:v>Десерты и выпечка</x:v>
      </x:c>
      <x:c r="D304" s="28" t="str">
        <x:v>макадамия</x:v>
      </x:c>
      <x:c r="E304" s="28" t="str">
        <x:v>Макадамия</x:v>
      </x:c>
      <x:c r="F304" s="28" t="str">
        <x:v>Орехи и семена</x:v>
      </x:c>
      <x:c r="G304" s="28" t="str">
        <x:v>кленовый сироп</x:v>
      </x:c>
      <x:c r="H304" s="28" t="str">
        <x:v>кленовый сироп</x:v>
      </x:c>
      <x:c r="I304" s="28" t="str">
        <x:v>Выпечка, сахара и десерты</x:v>
      </x:c>
      <x:c r="J304" s="28" t="str">
        <x:v>сливочный, маслянистый, сладко-ореховый и мягко-жареный</x:v>
      </x:c>
      <x:c r="K304" s="28" t="str">
        <x:v>сладкий, карамельный и жареный</x:v>
      </x:c>
      <x:c r="L304" s="28" t="str">
        <x:v>лактоны, альдегиды, пиразины, фураны</x:v>
      </x:c>
      <x:c r="M304" s="28" t="str">
        <x:v>мальтол, пиразины, фураны</x:v>
      </x:c>
      <x:c r="N304" s="28" t="str">
        <x:v>прямое пересечение семейств не является единственным объяснением</x:v>
      </x:c>
      <x:c r="O304" s="28" t="str">
        <x:v>пиразины, фураны</x:v>
      </x:c>
      <x:c r="P304" s="28" t="str">
        <x:v>общие ароматические соединения, жареная химия и реакции Майяра</x:v>
      </x:c>
      <x:c r="Q30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04" s="28" t="str">
        <x:v>минимальный</x:v>
      </x:c>
      <x:c r="S304" s="28" t="str">
        <x:v>очень жирная и кремовая; хорошо переносит липофильные ароматы</x:v>
      </x:c>
      <x:c r="T304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U304" s="28" t="str">
        <x:v>Макадамия имеет профиль «сливочный, маслянистый, сладко-ореховый и мягко-жареный».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пиразины, фураны.</x:v>
      </x:c>
      <x:c r="V304" s="28" t="str">
        <x:v>аллерген; высокая энергетическая плотность и прогоркание</x:v>
      </x:c>
      <x:c r="W304" s="28" t="str">
        <x:v>соль, ваниль или карамель</x:v>
      </x:c>
      <x:c r="X304" s="28" t="str">
        <x:v>пралине, паста, выпечка, гарнир, соус, молочный или коктейльный компонент с кленовый сироп</x:v>
      </x:c>
      <x:c r="Y304" s="28" t="str">
        <x:v>напитки, десерты</x:v>
      </x:c>
      <x:c r="Z304" s="28" t="str">
        <x:v>Гипотеза / практическая</x:v>
      </x:c>
      <x:c r="AA304" s="28" t="str">
        <x:v>Таблица сочетания(1).pdf</x:v>
      </x:c>
      <x:c r="AB304" s="28" t="str">
        <x:v>Таблица сочетания(1).pdf: 12</x:v>
      </x:c>
      <x:c r="AC304" s="28" t="str">
        <x:v>Пара встречается как table; научное объяснение сформировано по ароматическому профилю и пищевой матрице.</x:v>
      </x:c>
      <x:c r="AD304" s="28" t="n">
        <x:v>1</x:v>
      </x:c>
      <x:c r="AE304" s="28" t="n">
        <x:v>1</x:v>
      </x:c>
      <x:c r="AF304" s="28" t="n">
        <x:f>IF(Z304="Высокая",3,IF(Z304="Средняя",2,1))+AD304*2+MIN(AE304,3)</x:f>
        <x:v>4</x:v>
      </x:c>
    </x:row>
    <x:row r="305" ht="62" customHeight="1">
      <x:c r="A305" s="28" t="str">
        <x:v>NCT-0304</x:v>
      </x:c>
      <x:c r="B305" s="28" t="str">
        <x:v>макадамия</x:v>
      </x:c>
      <x:c r="C305" s="28" t="str">
        <x:v>Универсальные</x:v>
      </x:c>
      <x:c r="D305" s="28" t="str">
        <x:v>макадамия</x:v>
      </x:c>
      <x:c r="E305" s="28" t="str">
        <x:v>Макадамия</x:v>
      </x:c>
      <x:c r="F305" s="28" t="str">
        <x:v>Орехи и семена</x:v>
      </x:c>
      <x:c r="G305" s="28" t="str">
        <x:v>клубника</x:v>
      </x:c>
      <x:c r="H305" s="28" t="str">
        <x:v>клубника</x:v>
      </x:c>
      <x:c r="I305" s="28" t="str">
        <x:v>Прочее</x:v>
      </x:c>
      <x:c r="J305" s="28" t="str">
        <x:v>сливочный, маслянистый, сладко-ореховый и мягко-жареный</x:v>
      </x:c>
      <x:c r="K305" s="28" t="str">
        <x:v>зелёный, карамельный, фруктовый</x:v>
      </x:c>
      <x:c r="L305" s="28" t="str">
        <x:v>лактоны, альдегиды, пиразины, фураны</x:v>
      </x:c>
      <x:c r="M305" s="28" t="str">
        <x:v>фуранеол, эфиры</x:v>
      </x:c>
      <x:c r="N305" s="28" t="str">
        <x:v>прямое пересечение семейств не является единственным объяснением</x:v>
      </x:c>
      <x:c r="O305" s="28" t="str">
        <x:v>надежная общая ключевая молекула не подтверждена</x:v>
      </x:c>
      <x:c r="P305" s="28" t="str">
        <x:v>сенсорная комплементарность</x:v>
      </x:c>
      <x:c r="Q30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05" s="28" t="str">
        <x:v>минимальный</x:v>
      </x:c>
      <x:c r="S305" s="28" t="str">
        <x:v>очень жирная и кремовая; хорошо переносит липофильные ароматы</x:v>
      </x:c>
      <x:c r="T305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U305" s="28" t="str">
        <x:v>Макадамия имеет профиль «сливочный, маслянистый, сладко-ореховый и мягко-жареный». Партнёр «клубника» относится к группе «Прочее» и даёт зелёный, карамельный, фруктовый.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05" s="28" t="str">
        <x:v>аллерген; высокая энергетическая плотность и прогоркание</x:v>
      </x:c>
      <x:c r="W305" s="28" t="str">
        <x:v>соль, ваниль или карамель</x:v>
      </x:c>
      <x:c r="X305" s="28" t="str">
        <x:v>пралине, паста, выпечка, гарнир, соус, молочный или коктейльный компонент с клубника</x:v>
      </x:c>
      <x:c r="Y305" s="28" t="str">
        <x:v>десерты</x:v>
      </x:c>
      <x:c r="Z305" s="28" t="str">
        <x:v>Гипотеза / практическая</x:v>
      </x:c>
      <x:c r="AA305" s="28" t="str">
        <x:v>Таблица сочетания(1).pdf</x:v>
      </x:c>
      <x:c r="AB305" s="28" t="str">
        <x:v>Таблица сочетания(1).pdf: 12</x:v>
      </x:c>
      <x:c r="AC305" s="28" t="str">
        <x:v>Пара встречается как table; научное объяснение сформировано по ароматическому профилю и пищевой матрице.</x:v>
      </x:c>
      <x:c r="AD305" s="28" t="n">
        <x:v>1</x:v>
      </x:c>
      <x:c r="AE305" s="28" t="n">
        <x:v>1</x:v>
      </x:c>
      <x:c r="AF305" s="28" t="n">
        <x:f>IF(Z305="Высокая",3,IF(Z305="Средняя",2,1))+AD305*2+MIN(AE305,3)</x:f>
        <x:v>4</x:v>
      </x:c>
    </x:row>
    <x:row r="306" ht="62" customHeight="1">
      <x:c r="A306" s="28" t="str">
        <x:v>NCT-0305</x:v>
      </x:c>
      <x:c r="B306" s="28" t="str">
        <x:v>макадамия</x:v>
      </x:c>
      <x:c r="C306" s="28" t="str">
        <x:v>Универсальные</x:v>
      </x:c>
      <x:c r="D306" s="28" t="str">
        <x:v>макадамия</x:v>
      </x:c>
      <x:c r="E306" s="28" t="str">
        <x:v>Макадамия</x:v>
      </x:c>
      <x:c r="F306" s="28" t="str">
        <x:v>Орехи и семена</x:v>
      </x:c>
      <x:c r="G306" s="28" t="str">
        <x:v>кумин (зира)</x:v>
      </x:c>
      <x:c r="H306" s="28" t="str">
        <x:v>кумин (зира)</x:v>
      </x:c>
      <x:c r="I306" s="28" t="str">
        <x:v>Прочее</x:v>
      </x:c>
      <x:c r="J306" s="28" t="str">
        <x:v>сливочный, маслянистый, сладко-ореховый и мягко-жареный</x:v>
      </x:c>
      <x:c r="K306" s="28" t="str">
        <x:v>профиль зависит от конкретного продукта</x:v>
      </x:c>
      <x:c r="L306" s="28" t="str">
        <x:v>лактоны, альдегиды, пиразины, фураны</x:v>
      </x:c>
      <x:c r="M306" s="28" t="str">
        <x:v>характерный профиль зависит от конкретного продукта</x:v>
      </x:c>
      <x:c r="N306" s="28" t="str">
        <x:v>прямое пересечение семейств не является единственным объяснением</x:v>
      </x:c>
      <x:c r="O306" s="28" t="str">
        <x:v>надежная общая ключевая молекула не подтверждена</x:v>
      </x:c>
      <x:c r="P306" s="28" t="str">
        <x:v>сенсорная комплементарность</x:v>
      </x:c>
      <x:c r="Q30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06" s="28" t="str">
        <x:v>минимальный</x:v>
      </x:c>
      <x:c r="S306" s="28" t="str">
        <x:v>очень жирная и кремовая; хорошо переносит липофильные ароматы</x:v>
      </x:c>
      <x:c r="T306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U306" s="28" t="str">
        <x:v>Макадамия имеет профиль «сливочный, маслянистый, сладко-ореховый и мягко-жареный». Партнёр «кумин (зира)»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06" s="28" t="str">
        <x:v>аллерген; высокая энергетическая плотность и прогоркание</x:v>
      </x:c>
      <x:c r="W306" s="28" t="str">
        <x:v>соль, ваниль или карамель</x:v>
      </x:c>
      <x:c r="X306" s="28" t="str">
        <x:v>пралине, паста, выпечка, гарнир, соус, молочный или коктейльный компонент с кумин (зира)</x:v>
      </x:c>
      <x:c r="Y306" s="28" t="str">
        <x:v>десерты</x:v>
      </x:c>
      <x:c r="Z306" s="28" t="str">
        <x:v>Гипотеза / практическая</x:v>
      </x:c>
      <x:c r="AA306" s="28" t="str">
        <x:v>Таблица сочетания(1).pdf</x:v>
      </x:c>
      <x:c r="AB306" s="28" t="str">
        <x:v>Таблица сочетания(1).pdf: 12</x:v>
      </x:c>
      <x:c r="AC306" s="28" t="str">
        <x:v>Пара встречается как table; научное объяснение сформировано по ароматическому профилю и пищевой матрице.</x:v>
      </x:c>
      <x:c r="AD306" s="28" t="n">
        <x:v>1</x:v>
      </x:c>
      <x:c r="AE306" s="28" t="n">
        <x:v>1</x:v>
      </x:c>
      <x:c r="AF306" s="28" t="n">
        <x:f>IF(Z306="Высокая",3,IF(Z306="Средняя",2,1))+AD306*2+MIN(AE306,3)</x:f>
        <x:v>4</x:v>
      </x:c>
    </x:row>
    <x:row r="307" ht="62" customHeight="1">
      <x:c r="A307" s="28" t="str">
        <x:v>NCT-0306</x:v>
      </x:c>
      <x:c r="B307" s="28" t="str">
        <x:v>макадамия</x:v>
      </x:c>
      <x:c r="C307" s="28" t="str">
        <x:v>Универсальные</x:v>
      </x:c>
      <x:c r="D307" s="28" t="str">
        <x:v>макадамия</x:v>
      </x:c>
      <x:c r="E307" s="28" t="str">
        <x:v>макадамия</x:v>
      </x:c>
      <x:c r="F307" s="28" t="str">
        <x:v>Орехи и семена</x:v>
      </x:c>
      <x:c r="G307" s="28" t="str">
        <x:v>маракуйя</x:v>
      </x:c>
      <x:c r="H307" s="28" t="str">
        <x:v>Маракуйя</x:v>
      </x:c>
      <x:c r="I307" s="28" t="str">
        <x:v>Прочее</x:v>
      </x:c>
      <x:c r="J307" s="28" t="str">
        <x:v>сливочный, маслянистый, сладко-ореховый и мягко-жареный</x:v>
      </x:c>
      <x:c r="K307" s="28" t="str">
        <x:v>профиль зависит от конкретного продукта</x:v>
      </x:c>
      <x:c r="L307" s="28" t="str">
        <x:v>лактоны, альдегиды, пиразины, фураны</x:v>
      </x:c>
      <x:c r="M307" s="28" t="str">
        <x:v>характерный профиль зависит от конкретного продукта</x:v>
      </x:c>
      <x:c r="N307" s="28" t="str">
        <x:v>прямое пересечение семейств не является единственным объяснением</x:v>
      </x:c>
      <x:c r="O307" s="28" t="str">
        <x:v>надежная общая ключевая молекула не подтверждена</x:v>
      </x:c>
      <x:c r="P307" s="28" t="str">
        <x:v>сенсорная комплементарность</x:v>
      </x:c>
      <x:c r="Q30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07" s="28" t="str">
        <x:v>минимальный</x:v>
      </x:c>
      <x:c r="S307" s="28" t="str">
        <x:v>очень жирная и кремовая; хорошо переносит липофильные ароматы</x:v>
      </x:c>
      <x:c r="T307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U307" s="28" t="str">
        <x:v>Макадамия имеет профиль «сливочный, маслянистый, сладко-ореховый и мягко-жареный». Партнёр «маракуйя»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07" s="28" t="str">
        <x:v>аллерген; высокая энергетическая плотность и прогоркание</x:v>
      </x:c>
      <x:c r="W307" s="28" t="str">
        <x:v>соль, ваниль или карамель</x:v>
      </x:c>
      <x:c r="X307" s="28" t="str">
        <x:v>пралине, паста, выпечка, гарнир, соус, молочный или коктейльный компонент с маракуйя</x:v>
      </x:c>
      <x:c r="Y307" s="28" t="str">
        <x:v>десерты</x:v>
      </x:c>
      <x:c r="Z307" s="28" t="str">
        <x:v>Гипотеза / практическая</x:v>
      </x:c>
      <x:c r="AA307" s="28" t="str">
        <x:v>Таблица сочетания(1).pdf</x:v>
      </x:c>
      <x:c r="AB307" s="28" t="str">
        <x:v>Таблица сочетания(1).pdf: 15</x:v>
      </x:c>
      <x:c r="AC307" s="28" t="str">
        <x:v>Пара встречается как table; научное объяснение сформировано по ароматическому профилю и пищевой матрице.</x:v>
      </x:c>
      <x:c r="AD307" s="28" t="n">
        <x:v>1</x:v>
      </x:c>
      <x:c r="AE307" s="28" t="n">
        <x:v>1</x:v>
      </x:c>
      <x:c r="AF307" s="28" t="n">
        <x:f>IF(Z307="Высокая",3,IF(Z307="Средняя",2,1))+AD307*2+MIN(AE307,3)</x:f>
        <x:v>4</x:v>
      </x:c>
    </x:row>
    <x:row r="308" ht="62" customHeight="1">
      <x:c r="A308" s="28" t="str">
        <x:v>NCT-0307</x:v>
      </x:c>
      <x:c r="B308" s="28" t="str">
        <x:v>макадамия</x:v>
      </x:c>
      <x:c r="C308" s="28" t="str">
        <x:v>Универсальные</x:v>
      </x:c>
      <x:c r="D308" s="28" t="str">
        <x:v>макадамия</x:v>
      </x:c>
      <x:c r="E308" s="28" t="str">
        <x:v>Макадамия</x:v>
      </x:c>
      <x:c r="F308" s="28" t="str">
        <x:v>Орехи и семена</x:v>
      </x:c>
      <x:c r="G308" s="28" t="str">
        <x:v>мята</x:v>
      </x:c>
      <x:c r="H308" s="28" t="str">
        <x:v>мята</x:v>
      </x:c>
      <x:c r="I308" s="28" t="str">
        <x:v>Травы, цветы и листья</x:v>
      </x:c>
      <x:c r="J308" s="28" t="str">
        <x:v>сливочный, маслянистый, сладко-ореховый и мягко-жареный</x:v>
      </x:c>
      <x:c r="K308" s="28" t="str">
        <x:v>зелёный, холодящий</x:v>
      </x:c>
      <x:c r="L308" s="28" t="str">
        <x:v>лактоны, альдегиды, пиразины, фураны</x:v>
      </x:c>
      <x:c r="M308" s="28" t="str">
        <x:v>ментол</x:v>
      </x:c>
      <x:c r="N308" s="28" t="str">
        <x:v>прямое пересечение семейств не является единственным объяснением</x:v>
      </x:c>
      <x:c r="O308" s="28" t="str">
        <x:v>надежная общая ключевая молекула не подтверждена</x:v>
      </x:c>
      <x:c r="P308" s="28" t="str">
        <x:v>сенсорная комплементарность</x:v>
      </x:c>
      <x:c r="Q30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08" s="28" t="str">
        <x:v>минимальный</x:v>
      </x:c>
      <x:c r="S308" s="28" t="str">
        <x:v>очень жирная и кремовая; хорошо переносит липофильные ароматы</x:v>
      </x:c>
      <x:c r="T308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U308" s="28" t="str">
        <x:v>Макадамия имеет профиль «сливочный, маслянистый, сладко-ореховый и мягко-жареный». Партнёр «мята» относится к группе «Травы, цветы и листья» и даёт зелёный, холодящий.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08" s="28" t="str">
        <x:v>аллерген; высокая энергетическая плотность и прогоркание</x:v>
      </x:c>
      <x:c r="W308" s="28" t="str">
        <x:v>цитрус, мёд или сливки</x:v>
      </x:c>
      <x:c r="X308" s="28" t="str">
        <x:v>пралине, паста, выпечка, гарнир, соус, молочный или коктейльный компонент с мята</x:v>
      </x:c>
      <x:c r="Y308" s="28" t="str">
        <x:v>десерты</x:v>
      </x:c>
      <x:c r="Z308" s="28" t="str">
        <x:v>Гипотеза / практическая</x:v>
      </x:c>
      <x:c r="AA308" s="28" t="str">
        <x:v>Таблица сочетания(1).pdf</x:v>
      </x:c>
      <x:c r="AB308" s="28" t="str">
        <x:v>Таблица сочетания(1).pdf: 12</x:v>
      </x:c>
      <x:c r="AC308" s="28" t="str">
        <x:v>Пара встречается как table; научное объяснение сформировано по ароматическому профилю и пищевой матрице.</x:v>
      </x:c>
      <x:c r="AD308" s="28" t="n">
        <x:v>1</x:v>
      </x:c>
      <x:c r="AE308" s="28" t="n">
        <x:v>1</x:v>
      </x:c>
      <x:c r="AF308" s="28" t="n">
        <x:f>IF(Z308="Высокая",3,IF(Z308="Средняя",2,1))+AD308*2+MIN(AE308,3)</x:f>
        <x:v>4</x:v>
      </x:c>
    </x:row>
    <x:row r="309" ht="62" customHeight="1">
      <x:c r="A309" s="28" t="str">
        <x:v>NCT-0308</x:v>
      </x:c>
      <x:c r="B309" s="28" t="str">
        <x:v>макадамия</x:v>
      </x:c>
      <x:c r="C309" s="28" t="str">
        <x:v>Универсальные</x:v>
      </x:c>
      <x:c r="D309" s="28" t="str">
        <x:v>макадамия</x:v>
      </x:c>
      <x:c r="E309" s="28" t="str">
        <x:v>макадамия</x:v>
      </x:c>
      <x:c r="F309" s="28" t="str">
        <x:v>Орехи и семена</x:v>
      </x:c>
      <x:c r="G309" s="28" t="str">
        <x:v>папайя</x:v>
      </x:c>
      <x:c r="H309" s="28" t="str">
        <x:v>Папайя</x:v>
      </x:c>
      <x:c r="I309" s="28" t="str">
        <x:v>Прочее</x:v>
      </x:c>
      <x:c r="J309" s="28" t="str">
        <x:v>сливочный, маслянистый, сладко-ореховый и мягко-жареный</x:v>
      </x:c>
      <x:c r="K309" s="28" t="str">
        <x:v>профиль зависит от конкретного продукта</x:v>
      </x:c>
      <x:c r="L309" s="28" t="str">
        <x:v>лактоны, альдегиды, пиразины, фураны</x:v>
      </x:c>
      <x:c r="M309" s="28" t="str">
        <x:v>характерный профиль зависит от конкретного продукта</x:v>
      </x:c>
      <x:c r="N309" s="28" t="str">
        <x:v>прямое пересечение семейств не является единственным объяснением</x:v>
      </x:c>
      <x:c r="O309" s="28" t="str">
        <x:v>надежная общая ключевая молекула не подтверждена</x:v>
      </x:c>
      <x:c r="P309" s="28" t="str">
        <x:v>сенсорная комплементарность</x:v>
      </x:c>
      <x:c r="Q30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09" s="28" t="str">
        <x:v>минимальный</x:v>
      </x:c>
      <x:c r="S309" s="28" t="str">
        <x:v>очень жирная и кремовая; хорошо переносит липофильные ароматы</x:v>
      </x:c>
      <x:c r="T309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U309" s="28" t="str">
        <x:v>Макадамия имеет профиль «сливочный, маслянистый, сладко-ореховый и мягко-жареный». Партнёр «папайя»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09" s="28" t="str">
        <x:v>аллерген; высокая энергетическая плотность и прогоркание</x:v>
      </x:c>
      <x:c r="W309" s="28" t="str">
        <x:v>соль, ваниль или карамель</x:v>
      </x:c>
      <x:c r="X309" s="28" t="str">
        <x:v>пралине, паста, выпечка, гарнир, соус, молочный или коктейльный компонент с папайя</x:v>
      </x:c>
      <x:c r="Y309" s="28" t="str">
        <x:v>десерты</x:v>
      </x:c>
      <x:c r="Z309" s="28" t="str">
        <x:v>Гипотеза / практическая</x:v>
      </x:c>
      <x:c r="AA309" s="28" t="str">
        <x:v>Таблица сочетания(1).pdf</x:v>
      </x:c>
      <x:c r="AB309" s="28" t="str">
        <x:v>Таблица сочетания(1).pdf: 15</x:v>
      </x:c>
      <x:c r="AC309" s="28" t="str">
        <x:v>Пара встречается как table; научное объяснение сформировано по ароматическому профилю и пищевой матрице.</x:v>
      </x:c>
      <x:c r="AD309" s="28" t="n">
        <x:v>1</x:v>
      </x:c>
      <x:c r="AE309" s="28" t="n">
        <x:v>1</x:v>
      </x:c>
      <x:c r="AF309" s="28" t="n">
        <x:f>IF(Z309="Высокая",3,IF(Z309="Средняя",2,1))+AD309*2+MIN(AE309,3)</x:f>
        <x:v>4</x:v>
      </x:c>
    </x:row>
    <x:row r="310" ht="62" customHeight="1">
      <x:c r="A310" s="28" t="str">
        <x:v>NCT-0309</x:v>
      </x:c>
      <x:c r="B310" s="28" t="str">
        <x:v>макадамия</x:v>
      </x:c>
      <x:c r="C310" s="28" t="str">
        <x:v>Десерты и выпечка</x:v>
      </x:c>
      <x:c r="D310" s="28" t="str">
        <x:v>макадамия</x:v>
      </x:c>
      <x:c r="E310" s="28" t="str">
        <x:v>Макадамия</x:v>
      </x:c>
      <x:c r="F310" s="28" t="str">
        <x:v>Орехи и семена</x:v>
      </x:c>
      <x:c r="G310" s="28" t="str">
        <x:v>персик</x:v>
      </x:c>
      <x:c r="H310" s="28" t="str">
        <x:v>персик</x:v>
      </x:c>
      <x:c r="I310" s="28" t="str">
        <x:v>Фрукты и ягоды</x:v>
      </x:c>
      <x:c r="J310" s="28" t="str">
        <x:v>сливочный, маслянистый, сладко-ореховый и мягко-жареный</x:v>
      </x:c>
      <x:c r="K310" s="28" t="str">
        <x:v>лактонный, фруктовый, цветочный</x:v>
      </x:c>
      <x:c r="L310" s="28" t="str">
        <x:v>лактоны, альдегиды, пиразины, фураны</x:v>
      </x:c>
      <x:c r="M310" s="28" t="str">
        <x:v>лактоны, линалоол</x:v>
      </x:c>
      <x:c r="N310" s="28" t="str">
        <x:v>прямое пересечение семейств не является единственным объяснением</x:v>
      </x:c>
      <x:c r="O310" s="28" t="str">
        <x:v>лактоны</x:v>
      </x:c>
      <x:c r="P310" s="28" t="str">
        <x:v>общие ароматические соединения, контраст кислоты и жирной/горькой матрицы</x:v>
      </x:c>
      <x:c r="Q31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10" s="28" t="str">
        <x:v>минимальный</x:v>
      </x:c>
      <x:c r="S310" s="28" t="str">
        <x:v>очень жирная и кремовая; хорошо переносит липофильные ароматы Водная фруктовая фаза требует эмульсии или мелкого измельчения, если орех или шоколад вводится как паста.</x:v>
      </x:c>
      <x:c r="T310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U310" s="28" t="str">
        <x:v>Макадамия имеет профиль «сливочный, маслянистый, сладко-ореховый и мягко-жареный». Партнёр «персик» относится к группе «Фрукты и ягоды» и даёт лактонный, фруктовый, цветочный. Молекулярный мост создают лактоны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лактоны.</x:v>
      </x:c>
      <x:c r="V310" s="28" t="str">
        <x:v>аллерген; высокая энергетическая плотность и прогоркание; избыток кислоты может сделать чай или кофе резкими и разрушить молочную эмульсию</x:v>
      </x:c>
      <x:c r="W310" s="28" t="str">
        <x:v>ваниль, цитрус или молочный жир</x:v>
      </x:c>
      <x:c r="X310" s="28" t="str">
        <x:v>пралине, паста, выпечка, гарнир, соус, молочный или коктейльный компонент с персик</x:v>
      </x:c>
      <x:c r="Y310" s="28" t="str">
        <x:v>десерты</x:v>
      </x:c>
      <x:c r="Z310" s="28" t="str">
        <x:v>Гипотеза / практическая</x:v>
      </x:c>
      <x:c r="AA310" s="28" t="str">
        <x:v>Таблица сочетания(1).pdf</x:v>
      </x:c>
      <x:c r="AB310" s="28" t="str">
        <x:v>Таблица сочетания(1).pdf: 12</x:v>
      </x:c>
      <x:c r="AC310" s="28" t="str">
        <x:v>Пара встречается как table; научное объяснение сформировано по ароматическому профилю и пищевой матрице.</x:v>
      </x:c>
      <x:c r="AD310" s="28" t="n">
        <x:v>1</x:v>
      </x:c>
      <x:c r="AE310" s="28" t="n">
        <x:v>1</x:v>
      </x:c>
      <x:c r="AF310" s="28" t="n">
        <x:f>IF(Z310="Высокая",3,IF(Z310="Средняя",2,1))+AD310*2+MIN(AE310,3)</x:f>
        <x:v>4</x:v>
      </x:c>
    </x:row>
    <x:row r="311" ht="62" customHeight="1">
      <x:c r="A311" s="28" t="str">
        <x:v>NCT-0310</x:v>
      </x:c>
      <x:c r="B311" s="28" t="str">
        <x:v>макадамия</x:v>
      </x:c>
      <x:c r="C311" s="28" t="str">
        <x:v>Десерты и выпечка</x:v>
      </x:c>
      <x:c r="D311" s="28" t="str">
        <x:v>макадамия</x:v>
      </x:c>
      <x:c r="E311" s="28" t="str">
        <x:v>Макадамия</x:v>
      </x:c>
      <x:c r="F311" s="28" t="str">
        <x:v>Орехи и семена</x:v>
      </x:c>
      <x:c r="G311" s="28" t="str">
        <x:v>слива</x:v>
      </x:c>
      <x:c r="H311" s="28" t="str">
        <x:v>слива</x:v>
      </x:c>
      <x:c r="I311" s="28" t="str">
        <x:v>Фрукты и ягоды</x:v>
      </x:c>
      <x:c r="J311" s="28" t="str">
        <x:v>сливочный, маслянистый, сладко-ореховый и мягко-жареный</x:v>
      </x:c>
      <x:c r="K311" s="28" t="str">
        <x:v>фруктовый, цветочный и свежий</x:v>
      </x:c>
      <x:c r="L311" s="28" t="str">
        <x:v>лактоны, альдегиды, пиразины, фураны</x:v>
      </x:c>
      <x:c r="M311" s="28" t="str">
        <x:v>альдегиды, эфиры</x:v>
      </x:c>
      <x:c r="N311" s="28" t="str">
        <x:v>прямое пересечение семейств не является единственным объяснением</x:v>
      </x:c>
      <x:c r="O311" s="28" t="str">
        <x:v>альдегиды</x:v>
      </x:c>
      <x:c r="P311" s="28" t="str">
        <x:v>общие ароматические соединения, контраст кислоты и жирной/горькой матрицы</x:v>
      </x:c>
      <x:c r="Q31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11" s="28" t="str">
        <x:v>минимальный</x:v>
      </x:c>
      <x:c r="S311" s="28" t="str">
        <x:v>очень жирная и кремовая; хорошо переносит липофильные ароматы Водная фруктовая фаза требует эмульсии или мелкого измельчения, если орех или шоколад вводится как паста.</x:v>
      </x:c>
      <x:c r="T311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U311" s="28" t="str">
        <x:v>Макадамия имеет профиль «сливочный, маслянистый, сладко-ореховый и мягко-жареный». Партнёр «слива»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311" s="28" t="str">
        <x:v>аллерген; высокая энергетическая плотность и прогоркание; избыток кислоты может сделать чай или кофе резкими и разрушить молочную эмульсию</x:v>
      </x:c>
      <x:c r="W311" s="28" t="str">
        <x:v>ваниль, цитрус или молочный жир</x:v>
      </x:c>
      <x:c r="X311" s="28" t="str">
        <x:v>пралине, паста, выпечка, гарнир, соус, молочный или коктейльный компонент с слива</x:v>
      </x:c>
      <x:c r="Y311" s="28" t="str">
        <x:v>десерты</x:v>
      </x:c>
      <x:c r="Z311" s="28" t="str">
        <x:v>Гипотеза / практическая</x:v>
      </x:c>
      <x:c r="AA311" s="28" t="str">
        <x:v>Таблица сочетания(1).pdf</x:v>
      </x:c>
      <x:c r="AB311" s="28" t="str">
        <x:v>Таблица сочетания(1).pdf: 12</x:v>
      </x:c>
      <x:c r="AC311" s="28" t="str">
        <x:v>Пара встречается как table; научное объяснение сформировано по ароматическому профилю и пищевой матрице.</x:v>
      </x:c>
      <x:c r="AD311" s="28" t="n">
        <x:v>1</x:v>
      </x:c>
      <x:c r="AE311" s="28" t="n">
        <x:v>1</x:v>
      </x:c>
      <x:c r="AF311" s="28" t="n">
        <x:f>IF(Z311="Высокая",3,IF(Z311="Средняя",2,1))+AD311*2+MIN(AE311,3)</x:f>
        <x:v>4</x:v>
      </x:c>
    </x:row>
    <x:row r="312" ht="62" customHeight="1">
      <x:c r="A312" s="28" t="str">
        <x:v>NCT-0311</x:v>
      </x:c>
      <x:c r="B312" s="28" t="str">
        <x:v>миндаль</x:v>
      </x:c>
      <x:c r="C312" s="28" t="str">
        <x:v>Еда и соусы</x:v>
      </x:c>
      <x:c r="D312" s="28" t="str">
        <x:v>миндаль</x:v>
      </x:c>
      <x:c r="E312" s="28" t="str">
        <x:v>almond</x:v>
      </x:c>
      <x:c r="F312" s="28" t="str">
        <x:v>Орехи и семена</x:v>
      </x:c>
      <x:c r="G312" s="28" t="str">
        <x:v>baechu kimchi</x:v>
      </x:c>
      <x:c r="H312" s="28" t="str">
        <x:v>baechu kimchi</x:v>
      </x:c>
      <x:c r="I312" s="28" t="str">
        <x:v>Ферментированные продукты и соусы</x:v>
      </x:c>
      <x:c r="J312" s="28" t="str">
        <x:v>ореховый, сладкий, марципановый, слегка зелёный; после обжарки — карамельный и жареный</x:v>
      </x:c>
      <x:c r="K312" s="28" t="str">
        <x:v>ферментированный, умами и сложный</x:v>
      </x:c>
      <x:c r="L312" s="28" t="str">
        <x:v>бензальдегид, пиразины, фураны, гексаналь</x:v>
      </x:c>
      <x:c r="M312" s="28" t="str">
        <x:v>пиразины, фураны, эфиры</x:v>
      </x:c>
      <x:c r="N312" s="28" t="str">
        <x:v>жареный</x:v>
      </x:c>
      <x:c r="O312" s="28" t="str">
        <x:v>пиразины, фураны</x:v>
      </x:c>
      <x:c r="P312" s="28" t="str">
        <x:v>общие ароматические соединения, пересечение ароматических семейств, солёно-умами контраст</x:v>
      </x:c>
      <x:c r="Q31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12" s="28" t="str">
        <x:v>минимальный</x:v>
      </x:c>
      <x:c r="S312" s="28" t="str">
        <x:v>жирная белково-клетчаточная матрица; гидрофобные ароматические вещества хорошо удерживаются липидами</x:v>
      </x:c>
      <x:c r="T31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12" s="28" t="str">
        <x:v>Миндаль имеет профиль «ореховый, сладкий, марципановый, слегка зелёный; после обжарки — карамельный и жареный». Партнёр «baechu kimchi»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V312" s="28" t="str">
        <x:v>аллерген; быстро прогоркает после помола; горький миндаль и ядра косточковых не взаимозаменяемы</x:v>
      </x:c>
      <x:c r="W312" s="28" t="str">
        <x:v>карамелизированный лук, грибы или сливочное масло</x:v>
      </x:c>
      <x:c r="X312" s="28" t="str">
        <x:v>пралине, паста, выпечка, гарнир, соус, молочный или коктейльный компонент с baechu kimchi</x:v>
      </x:c>
      <x:c r="Y312" s="28" t="str">
        <x:v>еда, десерты, соусы/маринады</x:v>
      </x:c>
      <x:c r="Z312" s="28" t="str">
        <x:v>Средняя</x:v>
      </x:c>
      <x:c r="AA312" s="28" t="str">
        <x:v>The Art &amp; Science of Foodpairing.pdf</x:v>
      </x:c>
      <x:c r="AB312" s="28" t="str">
        <x:v>The Art &amp; Science of Foodpairing.pdf: 305</x:v>
      </x:c>
      <x:c r="AC312" s="28" t="str">
        <x:v>Пара встречается как grid; научное объяснение сформировано по ароматическому профилю и пищевой матрице.</x:v>
      </x:c>
      <x:c r="AD312" s="28" t="n">
        <x:v>1</x:v>
      </x:c>
      <x:c r="AE312" s="28" t="n">
        <x:v>1</x:v>
      </x:c>
      <x:c r="AF312" s="28" t="n">
        <x:f>IF(Z312="Высокая",3,IF(Z312="Средняя",2,1))+AD312*2+MIN(AE312,3)</x:f>
        <x:v>5</x:v>
      </x:c>
    </x:row>
    <x:row r="313" ht="62" customHeight="1">
      <x:c r="A313" s="28" t="str">
        <x:v>NCT-0312</x:v>
      </x:c>
      <x:c r="B313" s="28" t="str">
        <x:v>миндаль</x:v>
      </x:c>
      <x:c r="C313" s="28" t="str">
        <x:v>Универсальные</x:v>
      </x:c>
      <x:c r="D313" s="28" t="str">
        <x:v>миндаль</x:v>
      </x:c>
      <x:c r="E313" s="28" t="str">
        <x:v>almond</x:v>
      </x:c>
      <x:c r="F313" s="28" t="str">
        <x:v>Орехи и семена</x:v>
      </x:c>
      <x:c r="G313" s="28" t="str">
        <x:v>brie and camembert</x:v>
      </x:c>
      <x:c r="H313" s="28" t="str">
        <x:v>Brie and Camembert</x:v>
      </x:c>
      <x:c r="I313" s="28" t="str">
        <x:v>Молочные продукты и сыры</x:v>
      </x:c>
      <x:c r="J313" s="28" t="str">
        <x:v>ореховый, сладкий, марципановый, слегка зелёный; после обжарки — карамельный и жареный</x:v>
      </x:c>
      <x:c r="K313" s="28" t="str">
        <x:v>молочный, сливочный и ферментированный</x:v>
      </x:c>
      <x:c r="L313" s="28" t="str">
        <x:v>бензальдегид, пиразины, фураны, гексаналь</x:v>
      </x:c>
      <x:c r="M313" s="28" t="str">
        <x:v>диацетил, жирные кислоты, лактоны</x:v>
      </x:c>
      <x:c r="N313" s="28" t="str">
        <x:v>прямое пересечение семейств не является единственным объяснением</x:v>
      </x:c>
      <x:c r="O313" s="28" t="str">
        <x:v>надежная общая ключевая молекула не подтверждена</x:v>
      </x:c>
      <x:c r="P313" s="28" t="str">
        <x:v>жировая экстракция и связывание полифенолов белком</x:v>
      </x:c>
      <x:c r="Q31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13" s="28" t="str">
        <x:v>минимальный</x:v>
      </x:c>
      <x:c r="S313" s="28" t="str">
        <x:v>жирная белково-клетчаточная матрица; гидрофобные ароматические вещества хорошо удерживаются липидами Совпадающие жирные фазы облегчают перенос аромата, но могут сделать продукт тяжёлым.</x:v>
      </x:c>
      <x:c r="T31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13" s="28" t="str">
        <x:v>Миндаль имеет профиль «ореховый, сладкий, марципановый, слегка зелёный; после обжарки — карамельный и жареный». Партнёр «brie and camembert»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13" s="28" t="str">
        <x:v>аллерген; быстро прогоркает после помола; горький миндаль и ядра косточковых не взаимозаменяемы; жир способен приглушить тонкую ароматику; белок связывает полифенолы</x:v>
      </x:c>
      <x:c r="W313" s="28" t="str">
        <x:v>мёд, карамель или фруктовая кислота</x:v>
      </x:c>
      <x:c r="X313" s="28" t="str">
        <x:v>пралине, паста, выпечка, гарнир, соус, молочный или коктейльный компонент с brie and camembert</x:v>
      </x:c>
      <x:c r="Y313" s="28" t="str">
        <x:v>десерты</x:v>
      </x:c>
      <x:c r="Z313" s="28" t="str">
        <x:v>Средняя</x:v>
      </x:c>
      <x:c r="AA313" s="28" t="str">
        <x:v>The Art &amp; Science of Foodpairing.pdf</x:v>
      </x:c>
      <x:c r="AB313" s="28" t="str">
        <x:v>The Art &amp; Science of Foodpairing.pdf: 336</x:v>
      </x:c>
      <x:c r="AC313" s="28" t="str">
        <x:v>Пара встречается как grid; научное объяснение сформировано по ароматическому профилю и пищевой матрице.</x:v>
      </x:c>
      <x:c r="AD313" s="28" t="n">
        <x:v>1</x:v>
      </x:c>
      <x:c r="AE313" s="28" t="n">
        <x:v>1</x:v>
      </x:c>
      <x:c r="AF313" s="28" t="n">
        <x:f>IF(Z313="Высокая",3,IF(Z313="Средняя",2,1))+AD313*2+MIN(AE313,3)</x:f>
        <x:v>5</x:v>
      </x:c>
    </x:row>
    <x:row r="314" ht="62" customHeight="1">
      <x:c r="A314" s="28" t="str">
        <x:v>NCT-0313</x:v>
      </x:c>
      <x:c r="B314" s="28" t="str">
        <x:v>миндаль</x:v>
      </x:c>
      <x:c r="C314" s="28" t="str">
        <x:v>Еда и соусы</x:v>
      </x:c>
      <x:c r="D314" s="28" t="str">
        <x:v>миндаль</x:v>
      </x:c>
      <x:c r="E314" s="28" t="str">
        <x:v>roasted almond</x:v>
      </x:c>
      <x:c r="F314" s="28" t="str">
        <x:v>Орехи и семена</x:v>
      </x:c>
      <x:c r="G314" s="28" t="str">
        <x:v>carrot</x:v>
      </x:c>
      <x:c r="H314" s="28" t="str">
        <x:v>carrot</x:v>
      </x:c>
      <x:c r="I314" s="28" t="str">
        <x:v>Овощи, бобовые и грибы</x:v>
      </x:c>
      <x:c r="J314" s="28" t="str">
        <x:v>ореховый, сладкий, марципановый, слегка зелёный; после обжарки — карамельный и жареный</x:v>
      </x:c>
      <x:c r="K314" s="28" t="str">
        <x:v>зелёный, землистый или умами</x:v>
      </x:c>
      <x:c r="L314" s="28" t="str">
        <x:v>бензальдегид, пиразины, фураны, гексаналь</x:v>
      </x:c>
      <x:c r="M314" s="28" t="str">
        <x:v>альдегиды, сернистые соединения</x:v>
      </x:c>
      <x:c r="N314" s="28" t="str">
        <x:v>прямое пересечение семейств не является единственным объяснением</x:v>
      </x:c>
      <x:c r="O314" s="28" t="str">
        <x:v>надежная общая ключевая молекула не подтверждена</x:v>
      </x:c>
      <x:c r="P314" s="28" t="str">
        <x:v>сенсорная комплементарность</x:v>
      </x:c>
      <x:c r="Q31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14" s="28" t="str">
        <x:v>минимальный</x:v>
      </x:c>
      <x:c r="S314" s="28" t="str">
        <x:v>жирная белково-клетчаточная матрица; гидрофобные ароматические вещества хорошо удерживаются липидами</x:v>
      </x:c>
      <x:c r="T31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14" s="28" t="str">
        <x:v>Миндаль имеет профиль «ореховый, сладкий, марципановый, слегка зелёный; после обжарки — карамельный и жареный». Партнёр «carrot»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14" s="28" t="str">
        <x:v>аллерген; быстро прогоркает после помола; горький миндаль и ядра косточковых не взаимозаменяемы</x:v>
      </x:c>
      <x:c r="W314" s="28" t="str">
        <x:v>соль, ваниль или карамель</x:v>
      </x:c>
      <x:c r="X314" s="28" t="str">
        <x:v>пралине, паста, выпечка, гарнир, соус, молочный или коктейльный компонент с carrot</x:v>
      </x:c>
      <x:c r="Y314" s="28" t="str">
        <x:v>еда, десерты, соусы/маринады</x:v>
      </x:c>
      <x:c r="Z314" s="28" t="str">
        <x:v>Средняя</x:v>
      </x:c>
      <x:c r="AA314" s="28" t="str">
        <x:v>The Art &amp; Science of Foodpairing.pdf</x:v>
      </x:c>
      <x:c r="AB314" s="28" t="str">
        <x:v>The Art &amp; Science of Foodpairing.pdf: 232</x:v>
      </x:c>
      <x:c r="AC314" s="28" t="str">
        <x:v>Пара встречается как grid; научное объяснение сформировано по ароматическому профилю и пищевой матрице.</x:v>
      </x:c>
      <x:c r="AD314" s="28" t="n">
        <x:v>1</x:v>
      </x:c>
      <x:c r="AE314" s="28" t="n">
        <x:v>1</x:v>
      </x:c>
      <x:c r="AF314" s="28" t="n">
        <x:f>IF(Z314="Высокая",3,IF(Z314="Средняя",2,1))+AD314*2+MIN(AE314,3)</x:f>
        <x:v>5</x:v>
      </x:c>
    </x:row>
    <x:row r="315" ht="62" customHeight="1">
      <x:c r="A315" s="28" t="str">
        <x:v>NCT-0314</x:v>
      </x:c>
      <x:c r="B315" s="28" t="str">
        <x:v>миндаль</x:v>
      </x:c>
      <x:c r="C315" s="28" t="str">
        <x:v>Универсальные</x:v>
      </x:c>
      <x:c r="D315" s="28" t="str">
        <x:v>миндаль</x:v>
      </x:c>
      <x:c r="E315" s="28" t="str">
        <x:v>dark roasted almond</x:v>
      </x:c>
      <x:c r="F315" s="28" t="str">
        <x:v>Орехи и семена</x:v>
      </x:c>
      <x:c r="G315" s="28" t="str">
        <x:v>chilli peppers</x:v>
      </x:c>
      <x:c r="H315" s="28" t="str">
        <x:v>chilli peppers</x:v>
      </x:c>
      <x:c r="I315" s="28" t="str">
        <x:v>Специи</x:v>
      </x:c>
      <x:c r="J315" s="28" t="str">
        <x:v>ореховый, сладкий, марципановый, слегка зелёный; после обжарки — карамельный и жареный</x:v>
      </x:c>
      <x:c r="K315" s="28" t="str">
        <x:v>пряный и древесный</x:v>
      </x:c>
      <x:c r="L315" s="28" t="str">
        <x:v>бензальдегид, пиразины, фураны, гексаналь</x:v>
      </x:c>
      <x:c r="M315" s="28" t="str">
        <x:v>терпены, фенилпропаноиды</x:v>
      </x:c>
      <x:c r="N315" s="28" t="str">
        <x:v>прямое пересечение семейств не является единственным объяснением</x:v>
      </x:c>
      <x:c r="O315" s="28" t="str">
        <x:v>надежная общая ключевая молекула не подтверждена</x:v>
      </x:c>
      <x:c r="P315" s="28" t="str">
        <x:v>сенсорная комплементарность</x:v>
      </x:c>
      <x:c r="Q31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15" s="28" t="str">
        <x:v>минимальный</x:v>
      </x:c>
      <x:c r="S315" s="28" t="str">
        <x:v>жирная белково-клетчаточная матрица; гидрофобные ароматические вещества хорошо удерживаются липидами</x:v>
      </x:c>
      <x:c r="T31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15" s="28" t="str">
        <x:v>Миндаль имеет профиль «ореховый, сладкий, марципановый, слегка зелёный; после обжарки — карамельный и жареный». Партнёр «chilli peppers»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15" s="28" t="str">
        <x:v>аллерген; быстро прогоркает после помола; горький миндаль и ядра косточковых не взаимозаменяемы</x:v>
      </x:c>
      <x:c r="W315" s="28" t="str">
        <x:v>ваниль, апельсин или мёд</x:v>
      </x:c>
      <x:c r="X315" s="28" t="str">
        <x:v>пралине, паста, выпечка, гарнир, соус, молочный или коктейльный компонент с chilli peppers</x:v>
      </x:c>
      <x:c r="Y315" s="28" t="str">
        <x:v>десерты</x:v>
      </x:c>
      <x:c r="Z315" s="28" t="str">
        <x:v>Средняя</x:v>
      </x:c>
      <x:c r="AA315" s="28" t="str">
        <x:v>The Art &amp; Science of Foodpairing.pdf</x:v>
      </x:c>
      <x:c r="AB315" s="28" t="str">
        <x:v>The Art &amp; Science of Foodpairing.pdf: 94</x:v>
      </x:c>
      <x:c r="AC315" s="28" t="str">
        <x:v>Пара встречается как grid; научное объяснение сформировано по ароматическому профилю и пищевой матрице.</x:v>
      </x:c>
      <x:c r="AD315" s="28" t="n">
        <x:v>1</x:v>
      </x:c>
      <x:c r="AE315" s="28" t="n">
        <x:v>1</x:v>
      </x:c>
      <x:c r="AF315" s="28" t="n">
        <x:f>IF(Z315="Высокая",3,IF(Z315="Средняя",2,1))+AD315*2+MIN(AE315,3)</x:f>
        <x:v>5</x:v>
      </x:c>
    </x:row>
    <x:row r="316" ht="62" customHeight="1">
      <x:c r="A316" s="28" t="str">
        <x:v>NCT-0315</x:v>
      </x:c>
      <x:c r="B316" s="28" t="str">
        <x:v>миндаль</x:v>
      </x:c>
      <x:c r="C316" s="28" t="str">
        <x:v>Напитки</x:v>
      </x:c>
      <x:c r="D316" s="28" t="str">
        <x:v>миндаль</x:v>
      </x:c>
      <x:c r="E316" s="28" t="str">
        <x:v>oil-roasted almond</x:v>
      </x:c>
      <x:c r="F316" s="28" t="str">
        <x:v>Орехи и семена</x:v>
      </x:c>
      <x:c r="G316" s="28" t="str">
        <x:v>cognac</x:v>
      </x:c>
      <x:c r="H316" s="28" t="str">
        <x:v>cognac</x:v>
      </x:c>
      <x:c r="I316" s="28" t="str">
        <x:v>Алкогольные напитки</x:v>
      </x:c>
      <x:c r="J316" s="28" t="str">
        <x:v>ореховый, сладкий, марципановый, слегка зелёный; после обжарки — карамельный и жареный</x:v>
      </x:c>
      <x:c r="K316" s="28" t="str">
        <x:v>спиртовой, фруктовый или древесный</x:v>
      </x:c>
      <x:c r="L316" s="28" t="str">
        <x:v>бензальдегид, пиразины, фураны, гексаналь</x:v>
      </x:c>
      <x:c r="M316" s="28" t="str">
        <x:v>альдегиды, эфиры</x:v>
      </x:c>
      <x:c r="N316" s="28" t="str">
        <x:v>прямое пересечение семейств не является единственным объяснением</x:v>
      </x:c>
      <x:c r="O316" s="28" t="str">
        <x:v>надежная общая ключевая молекула не подтверждена</x:v>
      </x:c>
      <x:c r="P316" s="28" t="str">
        <x:v>сенсорная комплементарность</x:v>
      </x:c>
      <x:c r="Q31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16" s="28" t="str">
        <x:v>минимальный</x:v>
      </x:c>
      <x:c r="S316" s="28" t="str">
        <x:v>жирная белково-клетчаточная матрица; гидрофобные ароматические вещества хорошо удерживаются липидами Этанол эффективно извлекает терпены, фенолы и жареные молекулы; время контакта нужно ограничивать.</x:v>
      </x:c>
      <x:c r="T31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16" s="28" t="str">
        <x:v>Миндаль имеет профиль «ореховый, сладкий, марципановый, слегка зелёный; после обжарки — карамельный и жареный». Партнёр «cognac» относится к группе «Алкогольные напитки» и даёт спиртовой, фруктовый или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16" s="28" t="str">
        <x:v>аллерген; быстро прогоркает после помола; горький миндаль и ядра косточковых не взаимозаменяемы</x:v>
      </x:c>
      <x:c r="W316" s="28" t="str">
        <x:v>соль, ваниль или карамель</x:v>
      </x:c>
      <x:c r="X316" s="28" t="str">
        <x:v>пралине, паста, выпечка, гарнир, соус, молочный или коктейльный компонент с cognac</x:v>
      </x:c>
      <x:c r="Y316" s="28" t="str">
        <x:v>напитки, десерты</x:v>
      </x:c>
      <x:c r="Z316" s="28" t="str">
        <x:v>Средняя</x:v>
      </x:c>
      <x:c r="AA316" s="28" t="str">
        <x:v>The Art &amp; Science of Foodpairing.pdf</x:v>
      </x:c>
      <x:c r="AB316" s="28" t="str">
        <x:v>The Art &amp; Science of Foodpairing.pdf: 123</x:v>
      </x:c>
      <x:c r="AC316" s="28" t="str">
        <x:v>Пара встречается как grid; научное объяснение сформировано по ароматическому профилю и пищевой матрице.</x:v>
      </x:c>
      <x:c r="AD316" s="28" t="n">
        <x:v>1</x:v>
      </x:c>
      <x:c r="AE316" s="28" t="n">
        <x:v>1</x:v>
      </x:c>
      <x:c r="AF316" s="28" t="n">
        <x:f>IF(Z316="Высокая",3,IF(Z316="Средняя",2,1))+AD316*2+MIN(AE316,3)</x:f>
        <x:v>5</x:v>
      </x:c>
    </x:row>
    <x:row r="317" ht="62" customHeight="1">
      <x:c r="A317" s="28" t="str">
        <x:v>NCT-0316</x:v>
      </x:c>
      <x:c r="B317" s="28" t="str">
        <x:v>миндаль</x:v>
      </x:c>
      <x:c r="C317" s="28" t="str">
        <x:v>Еда и соусы</x:v>
      </x:c>
      <x:c r="D317" s="28" t="str">
        <x:v>миндаль</x:v>
      </x:c>
      <x:c r="E317" s="28" t="str">
        <x:v>almond</x:v>
      </x:c>
      <x:c r="F317" s="28" t="str">
        <x:v>Орехи и семена</x:v>
      </x:c>
      <x:c r="G317" s="28" t="str">
        <x:v>duck</x:v>
      </x:c>
      <x:c r="H317" s="28" t="str">
        <x:v>duck</x:v>
      </x:c>
      <x:c r="I317" s="28" t="str">
        <x:v>Мясо и птица</x:v>
      </x:c>
      <x:c r="J317" s="28" t="str">
        <x:v>ореховый, сладкий, марципановый, слегка зелёный; после обжарки — карамельный и жареный</x:v>
      </x:c>
      <x:c r="K317" s="28" t="str">
        <x:v>жареный, мясной и умами</x:v>
      </x:c>
      <x:c r="L317" s="28" t="str">
        <x:v>бензальдегид, пиразины, фураны, гексаналь</x:v>
      </x:c>
      <x:c r="M317" s="28" t="str">
        <x:v>пиразины, сернистые соединения</x:v>
      </x:c>
      <x:c r="N317" s="28" t="str">
        <x:v>жареный</x:v>
      </x:c>
      <x:c r="O317" s="28" t="str">
        <x:v>пиразины</x:v>
      </x:c>
      <x:c r="P317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31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17" s="28" t="str">
        <x:v>минимальный</x:v>
      </x:c>
      <x:c r="S317" s="28" t="str">
        <x:v>жирная белково-клетчаточная матрица; гидрофобные ароматические вещества хорошо удерживаются липидами</x:v>
      </x:c>
      <x:c r="T31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17" s="28" t="str">
        <x:v>Миндаль имеет профиль «ореховый, сладкий, марципановый, слегка зелёный; после обжарки — карамельный и жареный». Партнёр «duck»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V317" s="28" t="str">
        <x:v>аллерген; быстро прогоркает после помола; горький миндаль и ядра косточковых не взаимозаменяемы</x:v>
      </x:c>
      <x:c r="W317" s="28" t="str">
        <x:v>соль, соевый соус, коричневое масло или специя</x:v>
      </x:c>
      <x:c r="X317" s="28" t="str">
        <x:v>пралине, паста, выпечка, гарнир, соус, молочный или коктейльный компонент с duck</x:v>
      </x:c>
      <x:c r="Y317" s="28" t="str">
        <x:v>еда, десерты, соусы/маринады</x:v>
      </x:c>
      <x:c r="Z317" s="28" t="str">
        <x:v>Высокая</x:v>
      </x:c>
      <x:c r="AA317" s="28" t="str">
        <x:v>The Art &amp; Science of Foodpairing.pdf</x:v>
      </x:c>
      <x:c r="AB317" s="28" t="str">
        <x:v>The Art &amp; Science of Foodpairing.pdf: 346</x:v>
      </x:c>
      <x:c r="AC317" s="28" t="str">
        <x:v>Пара встречается как potential; научное объяснение сформировано по ароматическому профилю и пищевой матрице.</x:v>
      </x:c>
      <x:c r="AD317" s="28" t="n">
        <x:v>1</x:v>
      </x:c>
      <x:c r="AE317" s="28" t="n">
        <x:v>1</x:v>
      </x:c>
      <x:c r="AF317" s="28" t="n">
        <x:f>IF(Z317="Высокая",3,IF(Z317="Средняя",2,1))+AD317*2+MIN(AE317,3)</x:f>
        <x:v>6</x:v>
      </x:c>
    </x:row>
    <x:row r="318" ht="62" customHeight="1">
      <x:c r="A318" s="28" t="str">
        <x:v>NCT-0317</x:v>
      </x:c>
      <x:c r="B318" s="28" t="str">
        <x:v>миндаль</x:v>
      </x:c>
      <x:c r="C318" s="28" t="str">
        <x:v>Десерты и выпечка</x:v>
      </x:c>
      <x:c r="D318" s="28" t="str">
        <x:v>миндаль</x:v>
      </x:c>
      <x:c r="E318" s="28" t="str">
        <x:v>Миндаль | миндаль</x:v>
      </x:c>
      <x:c r="F318" s="28" t="str">
        <x:v>Орехи и семена</x:v>
      </x:c>
      <x:c r="G318" s="28" t="str">
        <x:v>абрикос</x:v>
      </x:c>
      <x:c r="H318" s="28" t="str">
        <x:v>Абрикос | абрикос</x:v>
      </x:c>
      <x:c r="I318" s="28" t="str">
        <x:v>Фрукты и ягоды</x:v>
      </x:c>
      <x:c r="J318" s="28" t="str">
        <x:v>ореховый, сладкий, марципановый, слегка зелёный; после обжарки — карамельный и жареный</x:v>
      </x:c>
      <x:c r="K318" s="28" t="str">
        <x:v>лактонный, миндальный, фруктовый</x:v>
      </x:c>
      <x:c r="L318" s="28" t="str">
        <x:v>бензальдегид, пиразины, фураны, гексаналь</x:v>
      </x:c>
      <x:c r="M318" s="28" t="str">
        <x:v>бензальдегид, лактоны</x:v>
      </x:c>
      <x:c r="N318" s="28" t="str">
        <x:v>прямое пересечение семейств не является единственным объяснением</x:v>
      </x:c>
      <x:c r="O318" s="28" t="str">
        <x:v>бензальдегид</x:v>
      </x:c>
      <x:c r="P318" s="28" t="str">
        <x:v>общие ароматические соединения, контраст кислоты и жирной/горькой матрицы</x:v>
      </x:c>
      <x:c r="Q31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18" s="28" t="str">
        <x:v>минимальный</x:v>
      </x:c>
      <x:c r="S318" s="28" t="str">
        <x:v>жирная белково-клетчаточная матрица; гидрофобные ароматические вещества хорошо удерживаются липидами Водная фруктовая фаза требует эмульсии или мелкого измельчения, если орех или шоколад вводится как паста.</x:v>
      </x:c>
      <x:c r="T31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18" s="28" t="str">
        <x:v>Миндаль имеет профиль «ореховый, сладкий, марципановый, слегка зелёный; после обжарки — карамельный и жареный». Партнёр «абрикос» относится к группе «Фрукты и ягоды» и даёт лактонный, миндальный, фруктовый. Молекулярный мост создают бензальдегид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бензальдегид.</x:v>
      </x:c>
      <x:c r="V318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W318" s="28" t="str">
        <x:v>ваниль, цитрус или молочный жир</x:v>
      </x:c>
      <x:c r="X318" s="28" t="str">
        <x:v>пралине, паста, выпечка, гарнир, соус, молочный или коктейльный компонент с абрикос</x:v>
      </x:c>
      <x:c r="Y318" s="28" t="str">
        <x:v>десерты</x:v>
      </x:c>
      <x:c r="Z318" s="28" t="str">
        <x:v>Высокая</x:v>
      </x:c>
      <x:c r="AA318" s="28" t="str">
        <x:v>Таблица сочетания(1).pdf | Тезариус вкусов (Ники Сегнит)(1).pdf</x:v>
      </x:c>
      <x:c r="AB318" s="28" t="str">
        <x:v>Таблица сочетания(1).pdf: 1; Тезариус вкусов (Ники Сегнит)(1).pdf: 641, 743</x:v>
      </x:c>
      <x:c r="AC318" s="28" t="str">
        <x:v>Пара встречается как table, thesaurus; научное объяснение сформировано по ароматическому профилю и пищевой матрице.</x:v>
      </x:c>
      <x:c r="AD318" s="28" t="n">
        <x:v>2</x:v>
      </x:c>
      <x:c r="AE318" s="28" t="n">
        <x:v>4</x:v>
      </x:c>
      <x:c r="AF318" s="28" t="n">
        <x:f>IF(Z318="Высокая",3,IF(Z318="Средняя",2,1))+AD318*2+MIN(AE318,3)</x:f>
        <x:v>10</x:v>
      </x:c>
    </x:row>
    <x:row r="319" ht="62" customHeight="1">
      <x:c r="A319" s="28" t="str">
        <x:v>NCT-0318</x:v>
      </x:c>
      <x:c r="B319" s="28" t="str">
        <x:v>миндаль</x:v>
      </x:c>
      <x:c r="C319" s="28" t="str">
        <x:v>Универсальные</x:v>
      </x:c>
      <x:c r="D319" s="28" t="str">
        <x:v>миндаль</x:v>
      </x:c>
      <x:c r="E319" s="28" t="str">
        <x:v>миндаль</x:v>
      </x:c>
      <x:c r="F319" s="28" t="str">
        <x:v>Орехи и семена</x:v>
      </x:c>
      <x:c r="G319" s="28" t="str">
        <x:v>агава</x:v>
      </x:c>
      <x:c r="H319" s="28" t="str">
        <x:v>Агава</x:v>
      </x:c>
      <x:c r="I319" s="28" t="str">
        <x:v>Прочее</x:v>
      </x:c>
      <x:c r="J319" s="28" t="str">
        <x:v>ореховый, сладкий, марципановый, слегка зелёный; после обжарки — карамельный и жареный</x:v>
      </x:c>
      <x:c r="K319" s="28" t="str">
        <x:v>профиль зависит от конкретного продукта</x:v>
      </x:c>
      <x:c r="L319" s="28" t="str">
        <x:v>бензальдегид, пиразины, фураны, гексаналь</x:v>
      </x:c>
      <x:c r="M319" s="28" t="str">
        <x:v>характерный профиль зависит от конкретного продукта</x:v>
      </x:c>
      <x:c r="N319" s="28" t="str">
        <x:v>прямое пересечение семейств не является единственным объяснением</x:v>
      </x:c>
      <x:c r="O319" s="28" t="str">
        <x:v>надежная общая ключевая молекула не подтверждена</x:v>
      </x:c>
      <x:c r="P319" s="28" t="str">
        <x:v>сенсорная комплементарность</x:v>
      </x:c>
      <x:c r="Q31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19" s="28" t="str">
        <x:v>минимальный</x:v>
      </x:c>
      <x:c r="S319" s="28" t="str">
        <x:v>жирная белково-клетчаточная матрица; гидрофобные ароматические вещества хорошо удерживаются липидами</x:v>
      </x:c>
      <x:c r="T31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19" s="28" t="str">
        <x:v>Миндаль имеет профиль «ореховый, сладкий, марципановый, слегка зелёный; после обжарки — карамельный и жареный». Партнёр «агава»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19" s="28" t="str">
        <x:v>аллерген; быстро прогоркает после помола; горький миндаль и ядра косточковых не взаимозаменяемы</x:v>
      </x:c>
      <x:c r="W319" s="28" t="str">
        <x:v>соль, ваниль или карамель</x:v>
      </x:c>
      <x:c r="X319" s="28" t="str">
        <x:v>пралине, паста, выпечка, гарнир, соус, молочный или коктейльный компонент с агава</x:v>
      </x:c>
      <x:c r="Y319" s="28" t="str">
        <x:v>десерты</x:v>
      </x:c>
      <x:c r="Z319" s="28" t="str">
        <x:v>Гипотеза / практическая</x:v>
      </x:c>
      <x:c r="AA319" s="28" t="str">
        <x:v>Таблица сочетания(1).pdf</x:v>
      </x:c>
      <x:c r="AB319" s="28" t="str">
        <x:v>Таблица сочетания(1).pdf: 1</x:v>
      </x:c>
      <x:c r="AC319" s="28" t="str">
        <x:v>Пара встречается как table; научное объяснение сформировано по ароматическому профилю и пищевой матрице.</x:v>
      </x:c>
      <x:c r="AD319" s="28" t="n">
        <x:v>1</x:v>
      </x:c>
      <x:c r="AE319" s="28" t="n">
        <x:v>1</x:v>
      </x:c>
      <x:c r="AF319" s="28" t="n">
        <x:f>IF(Z319="Высокая",3,IF(Z319="Средняя",2,1))+AD319*2+MIN(AE319,3)</x:f>
        <x:v>4</x:v>
      </x:c>
    </x:row>
    <x:row r="320" ht="62" customHeight="1">
      <x:c r="A320" s="28" t="str">
        <x:v>NCT-0319</x:v>
      </x:c>
      <x:c r="B320" s="28" t="str">
        <x:v>миндаль</x:v>
      </x:c>
      <x:c r="C320" s="28" t="str">
        <x:v>Универсальные</x:v>
      </x:c>
      <x:c r="D320" s="28" t="str">
        <x:v>миндаль</x:v>
      </x:c>
      <x:c r="E320" s="28" t="str">
        <x:v>миндаль</x:v>
      </x:c>
      <x:c r="F320" s="28" t="str">
        <x:v>Орехи и семена</x:v>
      </x:c>
      <x:c r="G320" s="28" t="str">
        <x:v>айва</x:v>
      </x:c>
      <x:c r="H320" s="28" t="str">
        <x:v>Айва</x:v>
      </x:c>
      <x:c r="I320" s="28" t="str">
        <x:v>Прочее</x:v>
      </x:c>
      <x:c r="J320" s="28" t="str">
        <x:v>ореховый, сладкий, марципановый, слегка зелёный; после обжарки — карамельный и жареный</x:v>
      </x:c>
      <x:c r="K320" s="28" t="str">
        <x:v>профиль зависит от конкретного продукта</x:v>
      </x:c>
      <x:c r="L320" s="28" t="str">
        <x:v>бензальдегид, пиразины, фураны, гексаналь</x:v>
      </x:c>
      <x:c r="M320" s="28" t="str">
        <x:v>характерный профиль зависит от конкретного продукта</x:v>
      </x:c>
      <x:c r="N320" s="28" t="str">
        <x:v>прямое пересечение семейств не является единственным объяснением</x:v>
      </x:c>
      <x:c r="O320" s="28" t="str">
        <x:v>надежная общая ключевая молекула не подтверждена</x:v>
      </x:c>
      <x:c r="P320" s="28" t="str">
        <x:v>сенсорная комплементарность</x:v>
      </x:c>
      <x:c r="Q32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20" s="28" t="str">
        <x:v>минимальный</x:v>
      </x:c>
      <x:c r="S320" s="28" t="str">
        <x:v>жирная белково-клетчаточная матрица; гидрофобные ароматические вещества хорошо удерживаются липидами</x:v>
      </x:c>
      <x:c r="T32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20" s="28" t="str">
        <x:v>Миндаль имеет профиль «ореховый, сладкий, марципановый, слегка зелёный; после обжарки — карамельный и жареный». Партнёр «айва»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20" s="28" t="str">
        <x:v>аллерген; быстро прогоркает после помола; горький миндаль и ядра косточковых не взаимозаменяемы</x:v>
      </x:c>
      <x:c r="W320" s="28" t="str">
        <x:v>соль, ваниль или карамель</x:v>
      </x:c>
      <x:c r="X320" s="28" t="str">
        <x:v>пралине, паста, выпечка, гарнир, соус, молочный или коктейльный компонент с айва</x:v>
      </x:c>
      <x:c r="Y320" s="28" t="str">
        <x:v>десерты</x:v>
      </x:c>
      <x:c r="Z320" s="28" t="str">
        <x:v>Гипотеза / практическая</x:v>
      </x:c>
      <x:c r="AA320" s="28" t="str">
        <x:v>Таблица сочетания(1).pdf</x:v>
      </x:c>
      <x:c r="AB320" s="28" t="str">
        <x:v>Таблица сочетания(1).pdf: 18</x:v>
      </x:c>
      <x:c r="AC320" s="28" t="str">
        <x:v>Пара встречается как table; научное объяснение сформировано по ароматическому профилю и пищевой матрице.</x:v>
      </x:c>
      <x:c r="AD320" s="28" t="n">
        <x:v>1</x:v>
      </x:c>
      <x:c r="AE320" s="28" t="n">
        <x:v>1</x:v>
      </x:c>
      <x:c r="AF320" s="28" t="n">
        <x:f>IF(Z320="Высокая",3,IF(Z320="Средняя",2,1))+AD320*2+MIN(AE320,3)</x:f>
        <x:v>4</x:v>
      </x:c>
    </x:row>
    <x:row r="321" ht="62" customHeight="1">
      <x:c r="A321" s="28" t="str">
        <x:v>NCT-0320</x:v>
      </x:c>
      <x:c r="B321" s="28" t="str">
        <x:v>миндаль</x:v>
      </x:c>
      <x:c r="C321" s="28" t="str">
        <x:v>Универсальные</x:v>
      </x:c>
      <x:c r="D321" s="28" t="str">
        <x:v>миндаль</x:v>
      </x:c>
      <x:c r="E321" s="28" t="str">
        <x:v>миндаль</x:v>
      </x:c>
      <x:c r="F321" s="28" t="str">
        <x:v>Орехи и семена</x:v>
      </x:c>
      <x:c r="G321" s="28" t="str">
        <x:v>ананас</x:v>
      </x:c>
      <x:c r="H321" s="28" t="str">
        <x:v>Ананас</x:v>
      </x:c>
      <x:c r="I321" s="28" t="str">
        <x:v>Прочее</x:v>
      </x:c>
      <x:c r="J321" s="28" t="str">
        <x:v>ореховый, сладкий, марципановый, слегка зелёный; после обжарки — карамельный и жареный</x:v>
      </x:c>
      <x:c r="K321" s="28" t="str">
        <x:v>профиль зависит от конкретного продукта</x:v>
      </x:c>
      <x:c r="L321" s="28" t="str">
        <x:v>бензальдегид, пиразины, фураны, гексаналь</x:v>
      </x:c>
      <x:c r="M321" s="28" t="str">
        <x:v>характерный профиль зависит от конкретного продукта</x:v>
      </x:c>
      <x:c r="N321" s="28" t="str">
        <x:v>прямое пересечение семейств не является единственным объяснением</x:v>
      </x:c>
      <x:c r="O321" s="28" t="str">
        <x:v>надежная общая ключевая молекула не подтверждена</x:v>
      </x:c>
      <x:c r="P321" s="28" t="str">
        <x:v>сенсорная комплементарность</x:v>
      </x:c>
      <x:c r="Q32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21" s="28" t="str">
        <x:v>минимальный</x:v>
      </x:c>
      <x:c r="S321" s="28" t="str">
        <x:v>жирная белково-клетчаточная матрица; гидрофобные ароматические вещества хорошо удерживаются липидами</x:v>
      </x:c>
      <x:c r="T32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21" s="28" t="str">
        <x:v>Миндаль имеет профиль «ореховый, сладкий, марципановый, слегка зелёный; после обжарки — карамельный и жареный». Партнёр «ананас»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21" s="28" t="str">
        <x:v>аллерген; быстро прогоркает после помола; горький миндаль и ядра косточковых не взаимозаменяемы</x:v>
      </x:c>
      <x:c r="W321" s="28" t="str">
        <x:v>соль, ваниль или карамель</x:v>
      </x:c>
      <x:c r="X321" s="28" t="str">
        <x:v>пралине, паста, выпечка, гарнир, соус, молочный или коктейльный компонент с ананас</x:v>
      </x:c>
      <x:c r="Y321" s="28" t="str">
        <x:v>десерты</x:v>
      </x:c>
      <x:c r="Z321" s="28" t="str">
        <x:v>Гипотеза / практическая</x:v>
      </x:c>
      <x:c r="AA321" s="28" t="str">
        <x:v>Таблица сочетания(1).pdf</x:v>
      </x:c>
      <x:c r="AB321" s="28" t="str">
        <x:v>Таблица сочетания(1).pdf: 17</x:v>
      </x:c>
      <x:c r="AC321" s="28" t="str">
        <x:v>Пара встречается как table; научное объяснение сформировано по ароматическому профилю и пищевой матрице.</x:v>
      </x:c>
      <x:c r="AD321" s="28" t="n">
        <x:v>1</x:v>
      </x:c>
      <x:c r="AE321" s="28" t="n">
        <x:v>1</x:v>
      </x:c>
      <x:c r="AF321" s="28" t="n">
        <x:f>IF(Z321="Высокая",3,IF(Z321="Средняя",2,1))+AD321*2+MIN(AE321,3)</x:f>
        <x:v>4</x:v>
      </x:c>
    </x:row>
    <x:row r="322" ht="62" customHeight="1">
      <x:c r="A322" s="28" t="str">
        <x:v>NCT-0321</x:v>
      </x:c>
      <x:c r="B322" s="28" t="str">
        <x:v>миндаль</x:v>
      </x:c>
      <x:c r="C322" s="28" t="str">
        <x:v>Универсальные</x:v>
      </x:c>
      <x:c r="D322" s="28" t="str">
        <x:v>миндаль</x:v>
      </x:c>
      <x:c r="E322" s="28" t="str">
        <x:v>Миндаль | миндаль</x:v>
      </x:c>
      <x:c r="F322" s="28" t="str">
        <x:v>Орехи и семена</x:v>
      </x:c>
      <x:c r="G322" s="28" t="str">
        <x:v>анис</x:v>
      </x:c>
      <x:c r="H322" s="28" t="str">
        <x:v>Анис | анис</x:v>
      </x:c>
      <x:c r="I322" s="28" t="str">
        <x:v>Прочее</x:v>
      </x:c>
      <x:c r="J322" s="28" t="str">
        <x:v>ореховый, сладкий, марципановый, слегка зелёный; после обжарки — карамельный и жареный</x:v>
      </x:c>
      <x:c r="K322" s="28" t="str">
        <x:v>профиль зависит от конкретного продукта</x:v>
      </x:c>
      <x:c r="L322" s="28" t="str">
        <x:v>бензальдегид, пиразины, фураны, гексаналь</x:v>
      </x:c>
      <x:c r="M322" s="28" t="str">
        <x:v>характерный профиль зависит от конкретного продукта</x:v>
      </x:c>
      <x:c r="N322" s="28" t="str">
        <x:v>прямое пересечение семейств не является единственным объяснением</x:v>
      </x:c>
      <x:c r="O322" s="28" t="str">
        <x:v>надежная общая ключевая молекула не подтверждена</x:v>
      </x:c>
      <x:c r="P322" s="28" t="str">
        <x:v>сенсорная комплементарность</x:v>
      </x:c>
      <x:c r="Q32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22" s="28" t="str">
        <x:v>минимальный</x:v>
      </x:c>
      <x:c r="S322" s="28" t="str">
        <x:v>жирная белково-клетчаточная матрица; гидрофобные ароматические вещества хорошо удерживаются липидами</x:v>
      </x:c>
      <x:c r="T32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22" s="28" t="str">
        <x:v>Миндаль имеет профиль «ореховый, сладкий, марципановый, слегка зелёный; после обжарки — карамельный и жареный». Партнёр «анис»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22" s="28" t="str">
        <x:v>аллерген; быстро прогоркает после помола; горький миндаль и ядра косточковых не взаимозаменяемы</x:v>
      </x:c>
      <x:c r="W322" s="28" t="str">
        <x:v>соль, ваниль или карамель</x:v>
      </x:c>
      <x:c r="X322" s="28" t="str">
        <x:v>пралине, паста, выпечка, гарнир, соус, молочный или коктейльный компонент с анис</x:v>
      </x:c>
      <x:c r="Y322" s="28" t="str">
        <x:v>десерты</x:v>
      </x:c>
      <x:c r="Z322" s="28" t="str">
        <x:v>Средняя</x:v>
      </x:c>
      <x:c r="AA322" s="28" t="str">
        <x:v>Тезариус вкусов (Ники Сегнит)(1).pdf</x:v>
      </x:c>
      <x:c r="AB322" s="28" t="str">
        <x:v>Тезариус вкусов (Ники Сегнит)(1).pdf: 485, 642</x:v>
      </x:c>
      <x:c r="AC322" s="28" t="str">
        <x:v>Пара встречается как thesaurus; научное объяснение сформировано по ароматическому профилю и пищевой матрице.</x:v>
      </x:c>
      <x:c r="AD322" s="28" t="n">
        <x:v>1</x:v>
      </x:c>
      <x:c r="AE322" s="28" t="n">
        <x:v>2</x:v>
      </x:c>
      <x:c r="AF322" s="28" t="n">
        <x:f>IF(Z322="Высокая",3,IF(Z322="Средняя",2,1))+AD322*2+MIN(AE322,3)</x:f>
        <x:v>6</x:v>
      </x:c>
    </x:row>
    <x:row r="323" ht="62" customHeight="1">
      <x:c r="A323" s="28" t="str">
        <x:v>NCT-0322</x:v>
      </x:c>
      <x:c r="B323" s="28" t="str">
        <x:v>миндаль</x:v>
      </x:c>
      <x:c r="C323" s="28" t="str">
        <x:v>Десерты и выпечка</x:v>
      </x:c>
      <x:c r="D323" s="28" t="str">
        <x:v>миндаль</x:v>
      </x:c>
      <x:c r="E323" s="28" t="str">
        <x:v>Миндаль | миндаль</x:v>
      </x:c>
      <x:c r="F323" s="28" t="str">
        <x:v>Орехи и семена</x:v>
      </x:c>
      <x:c r="G323" s="28" t="str">
        <x:v>апельсин</x:v>
      </x:c>
      <x:c r="H323" s="28" t="str">
        <x:v>Апельсин | апельсин</x:v>
      </x:c>
      <x:c r="I323" s="28" t="str">
        <x:v>Фрукты и ягоды</x:v>
      </x:c>
      <x:c r="J323" s="28" t="str">
        <x:v>ореховый, сладкий, марципановый, слегка зелёный; после обжарки — карамельный и жареный</x:v>
      </x:c>
      <x:c r="K323" s="28" t="str">
        <x:v>сладкий, цитрусовый</x:v>
      </x:c>
      <x:c r="L323" s="28" t="str">
        <x:v>бензальдегид, пиразины, фураны, гексаналь</x:v>
      </x:c>
      <x:c r="M323" s="28" t="str">
        <x:v>лимонен, линалоол</x:v>
      </x:c>
      <x:c r="N323" s="28" t="str">
        <x:v>прямое пересечение семейств не является единственным объяснением</x:v>
      </x:c>
      <x:c r="O323" s="28" t="str">
        <x:v>надежная общая ключевая молекула не подтверждена</x:v>
      </x:c>
      <x:c r="P323" s="28" t="str">
        <x:v>контраст кислоты и жирной/горькой матрицы</x:v>
      </x:c>
      <x:c r="Q32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23" s="28" t="str">
        <x:v>минимальный</x:v>
      </x:c>
      <x:c r="S323" s="28" t="str">
        <x:v>жирная белково-клетчаточная матрица; гидрофобные ароматические вещества хорошо удерживаются липидами Водная фруктовая фаза требует эмульсии или мелкого измельчения, если орех или шоколад вводится как паста.</x:v>
      </x:c>
      <x:c r="T32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23" s="28" t="str">
        <x:v>Миндаль имеет профиль «ореховый, сладкий, марципановый, слегка зелёный; после обжарки — карамельный и жареный». Партнёр «апельсин»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23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W323" s="28" t="str">
        <x:v>ваниль, цитрус или молочный жир</x:v>
      </x:c>
      <x:c r="X323" s="28" t="str">
        <x:v>пралине, паста, выпечка, гарнир, соус, молочный или коктейльный компонент с апельсин</x:v>
      </x:c>
      <x:c r="Y323" s="28" t="str">
        <x:v>десерты</x:v>
      </x:c>
      <x:c r="Z323" s="28" t="str">
        <x:v>Средняя</x:v>
      </x:c>
      <x:c r="AA323" s="28" t="str">
        <x:v>Тезариус вкусов (Ники Сегнит)(1).pdf</x:v>
      </x:c>
      <x:c r="AB323" s="28" t="str">
        <x:v>Тезариус вкусов (Ники Сегнит)(1).pdf: 642, 777</x:v>
      </x:c>
      <x:c r="AC323" s="28" t="str">
        <x:v>Пара встречается как thesaurus; научное объяснение сформировано по ароматическому профилю и пищевой матрице.</x:v>
      </x:c>
      <x:c r="AD323" s="28" t="n">
        <x:v>1</x:v>
      </x:c>
      <x:c r="AE323" s="28" t="n">
        <x:v>2</x:v>
      </x:c>
      <x:c r="AF323" s="28" t="n">
        <x:f>IF(Z323="Высокая",3,IF(Z323="Средняя",2,1))+AD323*2+MIN(AE323,3)</x:f>
        <x:v>6</x:v>
      </x:c>
    </x:row>
    <x:row r="324" ht="62" customHeight="1">
      <x:c r="A324" s="28" t="str">
        <x:v>NCT-0323</x:v>
      </x:c>
      <x:c r="B324" s="28" t="str">
        <x:v>миндаль</x:v>
      </x:c>
      <x:c r="C324" s="28" t="str">
        <x:v>Универсальные</x:v>
      </x:c>
      <x:c r="D324" s="28" t="str">
        <x:v>миндаль</x:v>
      </x:c>
      <x:c r="E324" s="28" t="str">
        <x:v>миндаль</x:v>
      </x:c>
      <x:c r="F324" s="28" t="str">
        <x:v>Орехи и семена</x:v>
      </x:c>
      <x:c r="G324" s="28" t="str">
        <x:v>бадьян</x:v>
      </x:c>
      <x:c r="H324" s="28" t="str">
        <x:v>Бадьян</x:v>
      </x:c>
      <x:c r="I324" s="28" t="str">
        <x:v>Прочее</x:v>
      </x:c>
      <x:c r="J324" s="28" t="str">
        <x:v>ореховый, сладкий, марципановый, слегка зелёный; после обжарки — карамельный и жареный</x:v>
      </x:c>
      <x:c r="K324" s="28" t="str">
        <x:v>профиль зависит от конкретного продукта</x:v>
      </x:c>
      <x:c r="L324" s="28" t="str">
        <x:v>бензальдегид, пиразины, фураны, гексаналь</x:v>
      </x:c>
      <x:c r="M324" s="28" t="str">
        <x:v>характерный профиль зависит от конкретного продукта</x:v>
      </x:c>
      <x:c r="N324" s="28" t="str">
        <x:v>прямое пересечение семейств не является единственным объяснением</x:v>
      </x:c>
      <x:c r="O324" s="28" t="str">
        <x:v>надежная общая ключевая молекула не подтверждена</x:v>
      </x:c>
      <x:c r="P324" s="28" t="str">
        <x:v>сенсорная комплементарность</x:v>
      </x:c>
      <x:c r="Q32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24" s="28" t="str">
        <x:v>минимальный</x:v>
      </x:c>
      <x:c r="S324" s="28" t="str">
        <x:v>жирная белково-клетчаточная матрица; гидрофобные ароматические вещества хорошо удерживаются липидами</x:v>
      </x:c>
      <x:c r="T32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24" s="28" t="str">
        <x:v>Миндаль имеет профиль «ореховый, сладкий, марципановый, слегка зелёный; после обжарки — карамельный и жареный». Партнёр «бадьян»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24" s="28" t="str">
        <x:v>аллерген; быстро прогоркает после помола; горький миндаль и ядра косточковых не взаимозаменяемы</x:v>
      </x:c>
      <x:c r="W324" s="28" t="str">
        <x:v>соль, ваниль или карамель</x:v>
      </x:c>
      <x:c r="X324" s="28" t="str">
        <x:v>пралине, паста, выпечка, гарнир, соус, молочный или коктейльный компонент с бадьян</x:v>
      </x:c>
      <x:c r="Y324" s="28" t="str">
        <x:v>десерты</x:v>
      </x:c>
      <x:c r="Z324" s="28" t="str">
        <x:v>Гипотеза / практическая</x:v>
      </x:c>
      <x:c r="AA324" s="28" t="str">
        <x:v>Таблица сочетания(1).pdf</x:v>
      </x:c>
      <x:c r="AB324" s="28" t="str">
        <x:v>Таблица сочетания(1).pdf: 20</x:v>
      </x:c>
      <x:c r="AC324" s="28" t="str">
        <x:v>Пара встречается как table; научное объяснение сформировано по ароматическому профилю и пищевой матрице.</x:v>
      </x:c>
      <x:c r="AD324" s="28" t="n">
        <x:v>1</x:v>
      </x:c>
      <x:c r="AE324" s="28" t="n">
        <x:v>1</x:v>
      </x:c>
      <x:c r="AF324" s="28" t="n">
        <x:f>IF(Z324="Высокая",3,IF(Z324="Средняя",2,1))+AD324*2+MIN(AE324,3)</x:f>
        <x:v>4</x:v>
      </x:c>
    </x:row>
    <x:row r="325" ht="62" customHeight="1">
      <x:c r="A325" s="28" t="str">
        <x:v>NCT-0324</x:v>
      </x:c>
      <x:c r="B325" s="28" t="str">
        <x:v>миндаль</x:v>
      </x:c>
      <x:c r="C325" s="28" t="str">
        <x:v>Универсальные</x:v>
      </x:c>
      <x:c r="D325" s="28" t="str">
        <x:v>миндаль</x:v>
      </x:c>
      <x:c r="E325" s="28" t="str">
        <x:v>Миндаль</x:v>
      </x:c>
      <x:c r="F325" s="28" t="str">
        <x:v>Орехи и семена</x:v>
      </x:c>
      <x:c r="G325" s="28" t="str">
        <x:v>базилик</x:v>
      </x:c>
      <x:c r="H325" s="28" t="str">
        <x:v>базилик</x:v>
      </x:c>
      <x:c r="I325" s="28" t="str">
        <x:v>Травы, цветы и листья</x:v>
      </x:c>
      <x:c r="J325" s="28" t="str">
        <x:v>ореховый, сладкий, марципановый, слегка зелёный; после обжарки — карамельный и жареный</x:v>
      </x:c>
      <x:c r="K325" s="28" t="str">
        <x:v>зелёный, цветочный и терпеновый</x:v>
      </x:c>
      <x:c r="L325" s="28" t="str">
        <x:v>бензальдегид, пиразины, фураны, гексаналь</x:v>
      </x:c>
      <x:c r="M325" s="28" t="str">
        <x:v>линалоол, терпены</x:v>
      </x:c>
      <x:c r="N325" s="28" t="str">
        <x:v>прямое пересечение семейств не является единственным объяснением</x:v>
      </x:c>
      <x:c r="O325" s="28" t="str">
        <x:v>надежная общая ключевая молекула не подтверждена</x:v>
      </x:c>
      <x:c r="P325" s="28" t="str">
        <x:v>сенсорная комплементарность</x:v>
      </x:c>
      <x:c r="Q32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25" s="28" t="str">
        <x:v>минимальный</x:v>
      </x:c>
      <x:c r="S325" s="28" t="str">
        <x:v>жирная белково-клетчаточная матрица; гидрофобные ароматические вещества хорошо удерживаются липидами</x:v>
      </x:c>
      <x:c r="T32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25" s="28" t="str">
        <x:v>Миндаль имеет профиль «ореховый, сладкий, марципановый, слегка зелёный; после обжарки — карамельный и жареный». Партнёр «базилик»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25" s="28" t="str">
        <x:v>аллерген; быстро прогоркает после помола; горький миндаль и ядра косточковых не взаимозаменяемы</x:v>
      </x:c>
      <x:c r="W325" s="28" t="str">
        <x:v>цитрус, мёд или сливки</x:v>
      </x:c>
      <x:c r="X325" s="28" t="str">
        <x:v>пралине, паста, выпечка, гарнир, соус, молочный или коктейльный компонент с базилик</x:v>
      </x:c>
      <x:c r="Y325" s="28" t="str">
        <x:v>десерты</x:v>
      </x:c>
      <x:c r="Z325" s="28" t="str">
        <x:v>Гипотеза / практическая</x:v>
      </x:c>
      <x:c r="AA325" s="28" t="str">
        <x:v>Таблица сочетания(1).pdf</x:v>
      </x:c>
      <x:c r="AB325" s="28" t="str">
        <x:v>Таблица сочетания(1).pdf: 1</x:v>
      </x:c>
      <x:c r="AC325" s="28" t="str">
        <x:v>Пара встречается как table; научное объяснение сформировано по ароматическому профилю и пищевой матрице.</x:v>
      </x:c>
      <x:c r="AD325" s="28" t="n">
        <x:v>1</x:v>
      </x:c>
      <x:c r="AE325" s="28" t="n">
        <x:v>1</x:v>
      </x:c>
      <x:c r="AF325" s="28" t="n">
        <x:f>IF(Z325="Высокая",3,IF(Z325="Средняя",2,1))+AD325*2+MIN(AE325,3)</x:f>
        <x:v>4</x:v>
      </x:c>
    </x:row>
    <x:row r="326" ht="62" customHeight="1">
      <x:c r="A326" s="28" t="str">
        <x:v>NCT-0325</x:v>
      </x:c>
      <x:c r="B326" s="28" t="str">
        <x:v>миндаль</x:v>
      </x:c>
      <x:c r="C326" s="28" t="str">
        <x:v>Десерты и выпечка</x:v>
      </x:c>
      <x:c r="D326" s="28" t="str">
        <x:v>миндаль</x:v>
      </x:c>
      <x:c r="E326" s="28" t="str">
        <x:v>almond | almond drink | Миндаль | миндаль</x:v>
      </x:c>
      <x:c r="F326" s="28" t="str">
        <x:v>Орехи и семена</x:v>
      </x:c>
      <x:c r="G326" s="28" t="str">
        <x:v>банан</x:v>
      </x:c>
      <x:c r="H326" s="28" t="str">
        <x:v>banana | Банан | банан</x:v>
      </x:c>
      <x:c r="I326" s="28" t="str">
        <x:v>Фрукты и ягоды</x:v>
      </x:c>
      <x:c r="J326" s="28" t="str">
        <x:v>ореховый, сладкий, марципановый, слегка зелёный; после обжарки — карамельный и жареный</x:v>
      </x:c>
      <x:c r="K326" s="28" t="str">
        <x:v>сливочный, фруктовый</x:v>
      </x:c>
      <x:c r="L326" s="28" t="str">
        <x:v>бензальдегид, пиразины, фураны, гексаналь</x:v>
      </x:c>
      <x:c r="M326" s="28" t="str">
        <x:v>изоамилацетат</x:v>
      </x:c>
      <x:c r="N326" s="28" t="str">
        <x:v>прямое пересечение семейств не является единственным объяснением</x:v>
      </x:c>
      <x:c r="O326" s="28" t="str">
        <x:v>надежная общая ключевая молекула не подтверждена</x:v>
      </x:c>
      <x:c r="P326" s="28" t="str">
        <x:v>контраст кислоты и жирной/горькой матрицы</x:v>
      </x:c>
      <x:c r="Q32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26" s="28" t="str">
        <x:v>минимальный</x:v>
      </x:c>
      <x:c r="S326" s="28" t="str">
        <x:v>жирная белково-клетчаточная матрица; гидрофобные ароматические вещества хорошо удерживаются липидами Водная фруктовая фаза требует эмульсии или мелкого измельчения, если орех или шоколад вводится как паста.</x:v>
      </x:c>
      <x:c r="T32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26" s="28" t="str">
        <x:v>Миндаль имеет профиль «ореховый, сладкий, марципановый, слегка зелёный; после обжарки — карамельный и жареный».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26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W326" s="28" t="str">
        <x:v>ваниль, цитрус или молочный жир</x:v>
      </x:c>
      <x:c r="X326" s="28" t="str">
        <x:v>пралине, паста, выпечка, гарнир, соус, молочный или коктейльный компонент с банан</x:v>
      </x:c>
      <x:c r="Y326" s="28" t="str">
        <x:v>десерты</x:v>
      </x:c>
      <x:c r="Z326" s="28" t="str">
        <x:v>Высокая</x:v>
      </x:c>
      <x:c r="AA326" s="28" t="str">
        <x:v>The Art &amp; Science of Foodpairing.pdf | Тезариус вкусов (Ники Сегнит)(1).pdf</x:v>
      </x:c>
      <x:c r="AB326" s="28" t="str">
        <x:v>The Art &amp; Science of Foodpairing.pdf: 342, 343; Тезариус вкусов (Ники Сегнит)(1).pdf: 642, 733</x:v>
      </x:c>
      <x:c r="AC326" s="28" t="str">
        <x:v>Пара встречается как grid, potential, thesaurus; научное объяснение сформировано по ароматическому профилю и пищевой матрице.</x:v>
      </x:c>
      <x:c r="AD326" s="28" t="n">
        <x:v>2</x:v>
      </x:c>
      <x:c r="AE326" s="28" t="n">
        <x:v>4</x:v>
      </x:c>
      <x:c r="AF326" s="28" t="n">
        <x:f>IF(Z326="Высокая",3,IF(Z326="Средняя",2,1))+AD326*2+MIN(AE326,3)</x:f>
        <x:v>10</x:v>
      </x:c>
    </x:row>
    <x:row r="327" ht="62" customHeight="1">
      <x:c r="A327" s="28" t="str">
        <x:v>NCT-0326</x:v>
      </x:c>
      <x:c r="B327" s="28" t="str">
        <x:v>миндаль</x:v>
      </x:c>
      <x:c r="C327" s="28" t="str">
        <x:v>Еда и соусы</x:v>
      </x:c>
      <x:c r="D327" s="28" t="str">
        <x:v>миндаль</x:v>
      </x:c>
      <x:c r="E327" s="28" t="str">
        <x:v>Миндаль | миндаль</x:v>
      </x:c>
      <x:c r="F327" s="28" t="str">
        <x:v>Орехи и семена</x:v>
      </x:c>
      <x:c r="G327" s="28" t="str">
        <x:v>баранина</x:v>
      </x:c>
      <x:c r="H327" s="28" t="str">
        <x:v>Баранина | баранина</x:v>
      </x:c>
      <x:c r="I327" s="28" t="str">
        <x:v>Мясо и птица</x:v>
      </x:c>
      <x:c r="J327" s="28" t="str">
        <x:v>ореховый, сладкий, марципановый, слегка зелёный; после обжарки — карамельный и жареный</x:v>
      </x:c>
      <x:c r="K327" s="28" t="str">
        <x:v>жареный, мясной и умами</x:v>
      </x:c>
      <x:c r="L327" s="28" t="str">
        <x:v>бензальдегид, пиразины, фураны, гексаналь</x:v>
      </x:c>
      <x:c r="M327" s="28" t="str">
        <x:v>пиразины, сернистые соединения</x:v>
      </x:c>
      <x:c r="N327" s="28" t="str">
        <x:v>жареный</x:v>
      </x:c>
      <x:c r="O327" s="28" t="str">
        <x:v>пиразины</x:v>
      </x:c>
      <x:c r="P327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32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27" s="28" t="str">
        <x:v>минимальный</x:v>
      </x:c>
      <x:c r="S327" s="28" t="str">
        <x:v>жирная белково-клетчаточная матрица; гидрофобные ароматические вещества хорошо удерживаются липидами</x:v>
      </x:c>
      <x:c r="T32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27" s="28" t="str">
        <x:v>Миндаль имеет профиль «ореховый, сладкий, марципановый, слегка зелёный; после обжарки — карамельный и жареный». Партнёр «баранина»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V327" s="28" t="str">
        <x:v>аллерген; быстро прогоркает после помола; горький миндаль и ядра косточковых не взаимозаменяемы</x:v>
      </x:c>
      <x:c r="W327" s="28" t="str">
        <x:v>соль, соевый соус, коричневое масло или специя</x:v>
      </x:c>
      <x:c r="X327" s="28" t="str">
        <x:v>пралине, паста, выпечка, гарнир, соус, молочный или коктейльный компонент с баранина</x:v>
      </x:c>
      <x:c r="Y327" s="28" t="str">
        <x:v>еда, десерты, соусы/маринады</x:v>
      </x:c>
      <x:c r="Z327" s="28" t="str">
        <x:v>Средняя</x:v>
      </x:c>
      <x:c r="AA327" s="28" t="str">
        <x:v>Тезариус вкусов (Ники Сегнит)(1).pdf</x:v>
      </x:c>
      <x:c r="AB327" s="28" t="str">
        <x:v>Тезариус вкусов (Ники Сегнит)(1).pdf: 130, 642</x:v>
      </x:c>
      <x:c r="AC327" s="28" t="str">
        <x:v>Пара встречается как thesaurus; научное объяснение сформировано по ароматическому профилю и пищевой матрице.</x:v>
      </x:c>
      <x:c r="AD327" s="28" t="n">
        <x:v>1</x:v>
      </x:c>
      <x:c r="AE327" s="28" t="n">
        <x:v>2</x:v>
      </x:c>
      <x:c r="AF327" s="28" t="n">
        <x:f>IF(Z327="Высокая",3,IF(Z327="Средняя",2,1))+AD327*2+MIN(AE327,3)</x:f>
        <x:v>6</x:v>
      </x:c>
    </x:row>
    <x:row r="328" ht="62" customHeight="1">
      <x:c r="A328" s="28" t="str">
        <x:v>NCT-0327</x:v>
      </x:c>
      <x:c r="B328" s="28" t="str">
        <x:v>миндаль</x:v>
      </x:c>
      <x:c r="C328" s="28" t="str">
        <x:v>Десерты и выпечка</x:v>
      </x:c>
      <x:c r="D328" s="28" t="str">
        <x:v>миндаль</x:v>
      </x:c>
      <x:c r="E328" s="28" t="str">
        <x:v>Миндаль | миндаль</x:v>
      </x:c>
      <x:c r="F328" s="28" t="str">
        <x:v>Орехи и семена</x:v>
      </x:c>
      <x:c r="G328" s="28" t="str">
        <x:v>белый шоколад</x:v>
      </x:c>
      <x:c r="H328" s="28" t="str">
        <x:v>Белый шоколад | белый шоколад</x:v>
      </x:c>
      <x:c r="I328" s="28" t="str">
        <x:v>Какао и шоколад</x:v>
      </x:c>
      <x:c r="J328" s="28" t="str">
        <x:v>ореховый, сладкий, марципановый, слегка зелёный; после обжарки — карамельный и жареный</x:v>
      </x:c>
      <x:c r="K328" s="28" t="str">
        <x:v>сливочный, ванильный, карамельный и маслянистый без выраженного какаового жареного профиля</x:v>
      </x:c>
      <x:c r="L328" s="28" t="str">
        <x:v>бензальдегид, пиразины, фураны, гексаналь</x:v>
      </x:c>
      <x:c r="M328" s="28" t="str">
        <x:v>ванилин, диацетил, лактоны, молочные альдегиды</x:v>
      </x:c>
      <x:c r="N328" s="28" t="str">
        <x:v>прямое пересечение семейств не является единственным объяснением</x:v>
      </x:c>
      <x:c r="O328" s="28" t="str">
        <x:v>надежная общая ключевая молекула не подтверждена</x:v>
      </x:c>
      <x:c r="P328" s="28" t="str">
        <x:v>жареная химия и реакции Майяра</x:v>
      </x:c>
      <x:c r="Q32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28" s="28" t="str">
        <x:v>минимальный</x:v>
      </x:c>
      <x:c r="S328" s="28" t="str">
        <x:v>жирная белково-клетчаточная матрица; гидрофобные ароматические вещества хорошо удерживаются липидами</x:v>
      </x:c>
      <x:c r="T32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28" s="28" t="str">
        <x:v>Миндаль имеет профиль «ореховый, сладкий, марципановый, слегка зелёный; после обжарки — карамельный и жареный». Партнёр «белый шоколад» относится к группе «Какао и шоколад» и даёт сливочный, ванильный, карамельный и маслянистый без выраженного какаового жареного профиля.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28" s="28" t="str">
        <x:v>аллерген; быстро прогоркает после помола; горький миндаль и ядра косточковых не взаимозаменяемы</x:v>
      </x:c>
      <x:c r="W328" s="28" t="str">
        <x:v>соль, ваниль или карамель</x:v>
      </x:c>
      <x:c r="X328" s="28" t="str">
        <x:v>пралине, паста, выпечка, гарнир, соус, молочный или коктейльный компонент с белый шоколад</x:v>
      </x:c>
      <x:c r="Y328" s="28" t="str">
        <x:v>десерты</x:v>
      </x:c>
      <x:c r="Z328" s="28" t="str">
        <x:v>Средняя</x:v>
      </x:c>
      <x:c r="AA328" s="28" t="str">
        <x:v>Тезариус вкусов (Ники Сегнит)(1).pdf</x:v>
      </x:c>
      <x:c r="AB328" s="28" t="str">
        <x:v>Тезариус вкусов (Ники Сегнит)(1).pdf: 642, 925</x:v>
      </x:c>
      <x:c r="AC328" s="28" t="str">
        <x:v>Пара встречается как thesaurus; научное объяснение сформировано по ароматическому профилю и пищевой матрице.</x:v>
      </x:c>
      <x:c r="AD328" s="28" t="n">
        <x:v>1</x:v>
      </x:c>
      <x:c r="AE328" s="28" t="n">
        <x:v>2</x:v>
      </x:c>
      <x:c r="AF328" s="28" t="n">
        <x:f>IF(Z328="Высокая",3,IF(Z328="Средняя",2,1))+AD328*2+MIN(AE328,3)</x:f>
        <x:v>6</x:v>
      </x:c>
    </x:row>
    <x:row r="329" ht="62" customHeight="1">
      <x:c r="A329" s="28" t="str">
        <x:v>NCT-0328</x:v>
      </x:c>
      <x:c r="B329" s="28" t="str">
        <x:v>миндаль</x:v>
      </x:c>
      <x:c r="C329" s="28" t="str">
        <x:v>Универсальные</x:v>
      </x:c>
      <x:c r="D329" s="28" t="str">
        <x:v>миндаль</x:v>
      </x:c>
      <x:c r="E329" s="28" t="str">
        <x:v>миндаль</x:v>
      </x:c>
      <x:c r="F329" s="28" t="str">
        <x:v>Орехи и семена</x:v>
      </x:c>
      <x:c r="G329" s="28" t="str">
        <x:v>ваниль</x:v>
      </x:c>
      <x:c r="H329" s="28" t="str">
        <x:v>Ваниль</x:v>
      </x:c>
      <x:c r="I329" s="28" t="str">
        <x:v>Специи</x:v>
      </x:c>
      <x:c r="J329" s="28" t="str">
        <x:v>ореховый, сладкий, марципановый, слегка зелёный; после обжарки — карамельный и жареный</x:v>
      </x:c>
      <x:c r="K329" s="28" t="str">
        <x:v>ванильный, цветочный</x:v>
      </x:c>
      <x:c r="L329" s="28" t="str">
        <x:v>бензальдегид, пиразины, фураны, гексаналь</x:v>
      </x:c>
      <x:c r="M329" s="28" t="str">
        <x:v>ванилин</x:v>
      </x:c>
      <x:c r="N329" s="28" t="str">
        <x:v>прямое пересечение семейств не является единственным объяснением</x:v>
      </x:c>
      <x:c r="O329" s="28" t="str">
        <x:v>надежная общая ключевая молекула не подтверждена</x:v>
      </x:c>
      <x:c r="P329" s="28" t="str">
        <x:v>сенсорная комплементарность</x:v>
      </x:c>
      <x:c r="Q32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29" s="28" t="str">
        <x:v>минимальный</x:v>
      </x:c>
      <x:c r="S329" s="28" t="str">
        <x:v>жирная белково-клетчаточная матрица; гидрофобные ароматические вещества хорошо удерживаются липидами</x:v>
      </x:c>
      <x:c r="T32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29" s="28" t="str">
        <x:v>Миндаль имеет профиль «ореховый, сладкий, марципановый, слегка зелёный; после обжарки — карамельный и жареный».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29" s="28" t="str">
        <x:v>аллерген; быстро прогоркает после помола; горький миндаль и ядра косточковых не взаимозаменяемы</x:v>
      </x:c>
      <x:c r="W329" s="28" t="str">
        <x:v>ваниль, апельсин или мёд</x:v>
      </x:c>
      <x:c r="X329" s="28" t="str">
        <x:v>пралине, паста, выпечка, гарнир, соус, молочный или коктейльный компонент с ваниль</x:v>
      </x:c>
      <x:c r="Y329" s="28" t="str">
        <x:v>десерты</x:v>
      </x:c>
      <x:c r="Z329" s="28" t="str">
        <x:v>Гипотеза / практическая</x:v>
      </x:c>
      <x:c r="AA329" s="28" t="str">
        <x:v>Таблица сочетания(1).pdf</x:v>
      </x:c>
      <x:c r="AB329" s="28" t="str">
        <x:v>Таблица сочетания(1).pdf: 21</x:v>
      </x:c>
      <x:c r="AC329" s="28" t="str">
        <x:v>Пара встречается как table; научное объяснение сформировано по ароматическому профилю и пищевой матрице.</x:v>
      </x:c>
      <x:c r="AD329" s="28" t="n">
        <x:v>1</x:v>
      </x:c>
      <x:c r="AE329" s="28" t="n">
        <x:v>1</x:v>
      </x:c>
      <x:c r="AF329" s="28" t="n">
        <x:f>IF(Z329="Высокая",3,IF(Z329="Средняя",2,1))+AD329*2+MIN(AE329,3)</x:f>
        <x:v>4</x:v>
      </x:c>
    </x:row>
    <x:row r="330" ht="62" customHeight="1">
      <x:c r="A330" s="28" t="str">
        <x:v>NCT-0329</x:v>
      </x:c>
      <x:c r="B330" s="28" t="str">
        <x:v>миндаль</x:v>
      </x:c>
      <x:c r="C330" s="28" t="str">
        <x:v>Напитки</x:v>
      </x:c>
      <x:c r="D330" s="28" t="str">
        <x:v>миндаль</x:v>
      </x:c>
      <x:c r="E330" s="28" t="str">
        <x:v>Миндаль | миндаль</x:v>
      </x:c>
      <x:c r="F330" s="28" t="str">
        <x:v>Орехи и семена</x:v>
      </x:c>
      <x:c r="G330" s="28" t="str">
        <x:v>виноград</x:v>
      </x:c>
      <x:c r="H330" s="28" t="str">
        <x:v>Виноград | виноград</x:v>
      </x:c>
      <x:c r="I330" s="28" t="str">
        <x:v>Алкогольные напитки</x:v>
      </x:c>
      <x:c r="J330" s="28" t="str">
        <x:v>ореховый, сладкий, марципановый, слегка зелёный; после обжарки — карамельный и жареный</x:v>
      </x:c>
      <x:c r="K330" s="28" t="str">
        <x:v>спиртовой, фруктовый или древесный</x:v>
      </x:c>
      <x:c r="L330" s="28" t="str">
        <x:v>бензальдегид, пиразины, фураны, гексаналь</x:v>
      </x:c>
      <x:c r="M330" s="28" t="str">
        <x:v>альдегиды, эфиры</x:v>
      </x:c>
      <x:c r="N330" s="28" t="str">
        <x:v>прямое пересечение семейств не является единственным объяснением</x:v>
      </x:c>
      <x:c r="O330" s="28" t="str">
        <x:v>надежная общая ключевая молекула не подтверждена</x:v>
      </x:c>
      <x:c r="P330" s="28" t="str">
        <x:v>сенсорная комплементарность</x:v>
      </x:c>
      <x:c r="Q33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30" s="28" t="str">
        <x:v>минимальный</x:v>
      </x:c>
      <x:c r="S330" s="28" t="str">
        <x:v>жирная белково-клетчаточная матрица; гидрофобные ароматические вещества хорошо удерживаются липидами Этанол эффективно извлекает терпены, фенолы и жареные молекулы; время контакта нужно ограничивать.</x:v>
      </x:c>
      <x:c r="T33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30" s="28" t="str">
        <x:v>Миндаль имеет профиль «ореховый, сладкий, марципановый, слегка зелёный; после обжарки — карамельный и жареный». Партнёр «виноград» относится к группе «Алкогольные напитки» и даёт спиртовой, фруктовый или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30" s="28" t="str">
        <x:v>аллерген; быстро прогоркает после помола; горький миндаль и ядра косточковых не взаимозаменяемы</x:v>
      </x:c>
      <x:c r="W330" s="28" t="str">
        <x:v>соль, ваниль или карамель</x:v>
      </x:c>
      <x:c r="X330" s="28" t="str">
        <x:v>пралине, паста, выпечка, гарнир, соус, молочный или коктейльный компонент с виноград</x:v>
      </x:c>
      <x:c r="Y330" s="28" t="str">
        <x:v>напитки, десерты</x:v>
      </x:c>
      <x:c r="Z330" s="28" t="str">
        <x:v>Средняя</x:v>
      </x:c>
      <x:c r="AA330" s="28" t="str">
        <x:v>Тезариус вкусов (Ники Сегнит)(1).pdf</x:v>
      </x:c>
      <x:c r="AB330" s="28" t="str">
        <x:v>Тезариус вкусов (Ники Сегнит)(1).pdf: 642, 667</x:v>
      </x:c>
      <x:c r="AC330" s="28" t="str">
        <x:v>Пара встречается как thesaurus; научное объяснение сформировано по ароматическому профилю и пищевой матрице.</x:v>
      </x:c>
      <x:c r="AD330" s="28" t="n">
        <x:v>1</x:v>
      </x:c>
      <x:c r="AE330" s="28" t="n">
        <x:v>2</x:v>
      </x:c>
      <x:c r="AF330" s="28" t="n">
        <x:f>IF(Z330="Высокая",3,IF(Z330="Средняя",2,1))+AD330*2+MIN(AE330,3)</x:f>
        <x:v>6</x:v>
      </x:c>
    </x:row>
    <x:row r="331" ht="62" customHeight="1">
      <x:c r="A331" s="28" t="str">
        <x:v>NCT-0330</x:v>
      </x:c>
      <x:c r="B331" s="28" t="str">
        <x:v>миндаль</x:v>
      </x:c>
      <x:c r="C331" s="28" t="str">
        <x:v>Десерты и выпечка</x:v>
      </x:c>
      <x:c r="D331" s="28" t="str">
        <x:v>миндаль</x:v>
      </x:c>
      <x:c r="E331" s="28" t="str">
        <x:v>Миндаль | миндаль</x:v>
      </x:c>
      <x:c r="F331" s="28" t="str">
        <x:v>Орехи и семена</x:v>
      </x:c>
      <x:c r="G331" s="28" t="str">
        <x:v>вишня</x:v>
      </x:c>
      <x:c r="H331" s="28" t="str">
        <x:v>Вишня | вишня</x:v>
      </x:c>
      <x:c r="I331" s="28" t="str">
        <x:v>Фрукты и ягоды</x:v>
      </x:c>
      <x:c r="J331" s="28" t="str">
        <x:v>ореховый, сладкий, марципановый, слегка зелёный; после обжарки — карамельный и жареный</x:v>
      </x:c>
      <x:c r="K331" s="28" t="str">
        <x:v>миндальный, фруктовый</x:v>
      </x:c>
      <x:c r="L331" s="28" t="str">
        <x:v>бензальдегид, пиразины, фураны, гексаналь</x:v>
      </x:c>
      <x:c r="M331" s="28" t="str">
        <x:v>бензальдегид, эфиры</x:v>
      </x:c>
      <x:c r="N331" s="28" t="str">
        <x:v>прямое пересечение семейств не является единственным объяснением</x:v>
      </x:c>
      <x:c r="O331" s="28" t="str">
        <x:v>бензальдегид</x:v>
      </x:c>
      <x:c r="P331" s="28" t="str">
        <x:v>общие ароматические соединения, контраст кислоты и жирной/горькой матрицы</x:v>
      </x:c>
      <x:c r="Q33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31" s="28" t="str">
        <x:v>минимальный</x:v>
      </x:c>
      <x:c r="S331" s="28" t="str">
        <x:v>жирная белково-клетчаточная матрица; гидрофобные ароматические вещества хорошо удерживаются липидами Водная фруктовая фаза требует эмульсии или мелкого измельчения, если орех или шоколад вводится как паста.</x:v>
      </x:c>
      <x:c r="T33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31" s="28" t="str">
        <x:v>Миндаль имеет профиль «ореховый, сладкий, марципановый, слегка зелёный; после обжарки — карамельный и жареный». Партнёр «вишня» относится к группе «Фрукты и ягоды» и даёт миндальный, фруктовый. Молекулярный мост создают бензальдегид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бензальдегид.</x:v>
      </x:c>
      <x:c r="V331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W331" s="28" t="str">
        <x:v>ваниль, цитрус или молочный жир</x:v>
      </x:c>
      <x:c r="X331" s="28" t="str">
        <x:v>пралине, паста, выпечка, гарнир, соус, молочный или коктейльный компонент с вишня</x:v>
      </x:c>
      <x:c r="Y331" s="28" t="str">
        <x:v>десерты</x:v>
      </x:c>
      <x:c r="Z331" s="28" t="str">
        <x:v>Высокая</x:v>
      </x:c>
      <x:c r="AA331" s="28" t="str">
        <x:v>Таблица сочетания(1).pdf | Тезариус вкусов (Ники Сегнит)(1).pdf</x:v>
      </x:c>
      <x:c r="AB331" s="28" t="str">
        <x:v>Таблица сочетания(1).pdf: 1; Тезариус вкусов (Ники Сегнит)(1).pdf: 642, 655</x:v>
      </x:c>
      <x:c r="AC331" s="28" t="str">
        <x:v>Пара встречается как table, thesaurus; научное объяснение сформировано по ароматическому профилю и пищевой матрице.</x:v>
      </x:c>
      <x:c r="AD331" s="28" t="n">
        <x:v>2</x:v>
      </x:c>
      <x:c r="AE331" s="28" t="n">
        <x:v>3</x:v>
      </x:c>
      <x:c r="AF331" s="28" t="n">
        <x:f>IF(Z331="Высокая",3,IF(Z331="Средняя",2,1))+AD331*2+MIN(AE331,3)</x:f>
        <x:v>10</x:v>
      </x:c>
    </x:row>
    <x:row r="332" ht="62" customHeight="1">
      <x:c r="A332" s="28" t="str">
        <x:v>NCT-0331</x:v>
      </x:c>
      <x:c r="B332" s="28" t="str">
        <x:v>миндаль</x:v>
      </x:c>
      <x:c r="C332" s="28" t="str">
        <x:v>Универсальные</x:v>
      </x:c>
      <x:c r="D332" s="28" t="str">
        <x:v>миндаль</x:v>
      </x:c>
      <x:c r="E332" s="28" t="str">
        <x:v>миндаль</x:v>
      </x:c>
      <x:c r="F332" s="28" t="str">
        <x:v>Орехи и семена</x:v>
      </x:c>
      <x:c r="G332" s="28" t="str">
        <x:v>голубика</x:v>
      </x:c>
      <x:c r="H332" s="28" t="str">
        <x:v>Голубика</x:v>
      </x:c>
      <x:c r="I332" s="28" t="str">
        <x:v>Прочее</x:v>
      </x:c>
      <x:c r="J332" s="28" t="str">
        <x:v>ореховый, сладкий, марципановый, слегка зелёный; после обжарки — карамельный и жареный</x:v>
      </x:c>
      <x:c r="K332" s="28" t="str">
        <x:v>профиль зависит от конкретного продукта</x:v>
      </x:c>
      <x:c r="L332" s="28" t="str">
        <x:v>бензальдегид, пиразины, фураны, гексаналь</x:v>
      </x:c>
      <x:c r="M332" s="28" t="str">
        <x:v>характерный профиль зависит от конкретного продукта</x:v>
      </x:c>
      <x:c r="N332" s="28" t="str">
        <x:v>прямое пересечение семейств не является единственным объяснением</x:v>
      </x:c>
      <x:c r="O332" s="28" t="str">
        <x:v>надежная общая ключевая молекула не подтверждена</x:v>
      </x:c>
      <x:c r="P332" s="28" t="str">
        <x:v>сенсорная комплементарность</x:v>
      </x:c>
      <x:c r="Q33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32" s="28" t="str">
        <x:v>минимальный</x:v>
      </x:c>
      <x:c r="S332" s="28" t="str">
        <x:v>жирная белково-клетчаточная матрица; гидрофобные ароматические вещества хорошо удерживаются липидами</x:v>
      </x:c>
      <x:c r="T33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32" s="28" t="str">
        <x:v>Миндаль имеет профиль «ореховый, сладкий, марципановый, слегка зелёный; после обжарки — карамельный и жареный». Партнёр «голубика»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32" s="28" t="str">
        <x:v>аллерген; быстро прогоркает после помола; горький миндаль и ядра косточковых не взаимозаменяемы</x:v>
      </x:c>
      <x:c r="W332" s="28" t="str">
        <x:v>соль, ваниль или карамель</x:v>
      </x:c>
      <x:c r="X332" s="28" t="str">
        <x:v>пралине, паста, выпечка, гарнир, соус, молочный или коктейльный компонент с голубика</x:v>
      </x:c>
      <x:c r="Y332" s="28" t="str">
        <x:v>десерты</x:v>
      </x:c>
      <x:c r="Z332" s="28" t="str">
        <x:v>Гипотеза / практическая</x:v>
      </x:c>
      <x:c r="AA332" s="28" t="str">
        <x:v>Таблица сочетания(1).pdf</x:v>
      </x:c>
      <x:c r="AB332" s="28" t="str">
        <x:v>Таблица сочетания(1).pdf: 3</x:v>
      </x:c>
      <x:c r="AC332" s="28" t="str">
        <x:v>Пара встречается как table; научное объяснение сформировано по ароматическому профилю и пищевой матрице.</x:v>
      </x:c>
      <x:c r="AD332" s="28" t="n">
        <x:v>1</x:v>
      </x:c>
      <x:c r="AE332" s="28" t="n">
        <x:v>1</x:v>
      </x:c>
      <x:c r="AF332" s="28" t="n">
        <x:f>IF(Z332="Высокая",3,IF(Z332="Средняя",2,1))+AD332*2+MIN(AE332,3)</x:f>
        <x:v>4</x:v>
      </x:c>
    </x:row>
    <x:row r="333" ht="62" customHeight="1">
      <x:c r="A333" s="28" t="str">
        <x:v>NCT-0332</x:v>
      </x:c>
      <x:c r="B333" s="28" t="str">
        <x:v>миндаль</x:v>
      </x:c>
      <x:c r="C333" s="28" t="str">
        <x:v>Десерты и выпечка</x:v>
      </x:c>
      <x:c r="D333" s="28" t="str">
        <x:v>миндаль</x:v>
      </x:c>
      <x:c r="E333" s="28" t="str">
        <x:v>almond | Миндаль | миндаль</x:v>
      </x:c>
      <x:c r="F333" s="28" t="str">
        <x:v>Орехи и семена</x:v>
      </x:c>
      <x:c r="G333" s="28" t="str">
        <x:v>груша</x:v>
      </x:c>
      <x:c r="H333" s="28" t="str">
        <x:v>pear | Груша | груша</x:v>
      </x:c>
      <x:c r="I333" s="28" t="str">
        <x:v>Фрукты и ягоды</x:v>
      </x:c>
      <x:c r="J333" s="28" t="str">
        <x:v>ореховый, сладкий, марципановый, слегка зелёный; после обжарки — карамельный и жареный</x:v>
      </x:c>
      <x:c r="K333" s="28" t="str">
        <x:v>фруктовый, цветочный и свежий</x:v>
      </x:c>
      <x:c r="L333" s="28" t="str">
        <x:v>бензальдегид, пиразины, фураны, гексаналь</x:v>
      </x:c>
      <x:c r="M333" s="28" t="str">
        <x:v>альдегиды, эфиры</x:v>
      </x:c>
      <x:c r="N333" s="28" t="str">
        <x:v>прямое пересечение семейств не является единственным объяснением</x:v>
      </x:c>
      <x:c r="O333" s="28" t="str">
        <x:v>надежная общая ключевая молекула не подтверждена</x:v>
      </x:c>
      <x:c r="P333" s="28" t="str">
        <x:v>контраст кислоты и жирной/горькой матрицы</x:v>
      </x:c>
      <x:c r="Q33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33" s="28" t="str">
        <x:v>минимальный</x:v>
      </x:c>
      <x:c r="S333" s="28" t="str">
        <x:v>жирная белково-клетчаточная матрица; гидрофобные ароматические вещества хорошо удерживаются липидами Водная фруктовая фаза требует эмульсии или мелкого измельчения, если орех или шоколад вводится как паста.</x:v>
      </x:c>
      <x:c r="T33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33" s="28" t="str">
        <x:v>Миндаль имеет профиль «ореховый, сладкий, марципановый, слегка зелёный; после обжарки — карамельный и жареный». Партнёр «груша»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33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W333" s="28" t="str">
        <x:v>ваниль, цитрус или молочный жир</x:v>
      </x:c>
      <x:c r="X333" s="28" t="str">
        <x:v>пралине, паста, выпечка, гарнир, соус, молочный или коктейльный компонент с груша</x:v>
      </x:c>
      <x:c r="Y333" s="28" t="str">
        <x:v>десерты</x:v>
      </x:c>
      <x:c r="Z333" s="28" t="str">
        <x:v>Высокая</x:v>
      </x:c>
      <x:c r="AA333" s="28" t="str">
        <x:v>The Art &amp; Science of Foodpairing.pdf | Таблица сочетания(1).pdf | Тезариус вкусов (Ники Сегнит)(1).pdf</x:v>
      </x:c>
      <x:c r="AB333" s="28" t="str">
        <x:v>The Art &amp; Science of Foodpairing.pdf: 350; Таблица сочетания(1).pdf: 16; Тезариус вкусов (Ники Сегнит)(1).pdf: 642, 725</x:v>
      </x:c>
      <x:c r="AC333" s="28" t="str">
        <x:v>Пара встречается как grid, table, thesaurus; научное объяснение сформировано по ароматическому профилю и пищевой матрице.</x:v>
      </x:c>
      <x:c r="AD333" s="28" t="n">
        <x:v>3</x:v>
      </x:c>
      <x:c r="AE333" s="28" t="n">
        <x:v>4</x:v>
      </x:c>
      <x:c r="AF333" s="28" t="n">
        <x:f>IF(Z333="Высокая",3,IF(Z333="Средняя",2,1))+AD333*2+MIN(AE333,3)</x:f>
        <x:v>12</x:v>
      </x:c>
    </x:row>
    <x:row r="334" ht="62" customHeight="1">
      <x:c r="A334" s="28" t="str">
        <x:v>NCT-0333</x:v>
      </x:c>
      <x:c r="B334" s="28" t="str">
        <x:v>миндаль</x:v>
      </x:c>
      <x:c r="C334" s="28" t="str">
        <x:v>Десерты и выпечка</x:v>
      </x:c>
      <x:c r="D334" s="28" t="str">
        <x:v>миндаль</x:v>
      </x:c>
      <x:c r="E334" s="28" t="str">
        <x:v>Миндаль | миндаль</x:v>
      </x:c>
      <x:c r="F334" s="28" t="str">
        <x:v>Орехи и семена</x:v>
      </x:c>
      <x:c r="G334" s="28" t="str">
        <x:v>дыня</x:v>
      </x:c>
      <x:c r="H334" s="28" t="str">
        <x:v>Дыня | дыня</x:v>
      </x:c>
      <x:c r="I334" s="28" t="str">
        <x:v>Фрукты и ягоды</x:v>
      </x:c>
      <x:c r="J334" s="28" t="str">
        <x:v>ореховый, сладкий, марципановый, слегка зелёный; после обжарки — карамельный и жареный</x:v>
      </x:c>
      <x:c r="K334" s="28" t="str">
        <x:v>фруктовый, цветочный и свежий</x:v>
      </x:c>
      <x:c r="L334" s="28" t="str">
        <x:v>бензальдегид, пиразины, фураны, гексаналь</x:v>
      </x:c>
      <x:c r="M334" s="28" t="str">
        <x:v>альдегиды, эфиры</x:v>
      </x:c>
      <x:c r="N334" s="28" t="str">
        <x:v>прямое пересечение семейств не является единственным объяснением</x:v>
      </x:c>
      <x:c r="O334" s="28" t="str">
        <x:v>надежная общая ключевая молекула не подтверждена</x:v>
      </x:c>
      <x:c r="P334" s="28" t="str">
        <x:v>контраст кислоты и жирной/горькой матрицы</x:v>
      </x:c>
      <x:c r="Q33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34" s="28" t="str">
        <x:v>минимальный</x:v>
      </x:c>
      <x:c r="S334" s="28" t="str">
        <x:v>жирная белково-клетчаточная матрица; гидрофобные ароматические вещества хорошо удерживаются липидами Водная фруктовая фаза требует эмульсии или мелкого измельчения, если орех или шоколад вводится как паста.</x:v>
      </x:c>
      <x:c r="T33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34" s="28" t="str">
        <x:v>Миндаль имеет профиль «ореховый, сладкий, марципановый, слегка зелёный; после обжарки — карамельный и жареный». Партнёр «дыня»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34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W334" s="28" t="str">
        <x:v>ваниль, цитрус или молочный жир</x:v>
      </x:c>
      <x:c r="X334" s="28" t="str">
        <x:v>пралине, паста, выпечка, гарнир, соус, молочный или коктейльный компонент с дыня</x:v>
      </x:c>
      <x:c r="Y334" s="28" t="str">
        <x:v>десерты</x:v>
      </x:c>
      <x:c r="Z334" s="28" t="str">
        <x:v>Средняя</x:v>
      </x:c>
      <x:c r="AA334" s="28" t="str">
        <x:v>Тезариус вкусов (Ники Сегнит)(1).pdf</x:v>
      </x:c>
      <x:c r="AB334" s="28" t="str">
        <x:v>Тезариус вкусов (Ники Сегнит)(1).pdf: 642, 739</x:v>
      </x:c>
      <x:c r="AC334" s="28" t="str">
        <x:v>Пара встречается как thesaurus; научное объяснение сформировано по ароматическому профилю и пищевой матрице.</x:v>
      </x:c>
      <x:c r="AD334" s="28" t="n">
        <x:v>1</x:v>
      </x:c>
      <x:c r="AE334" s="28" t="n">
        <x:v>2</x:v>
      </x:c>
      <x:c r="AF334" s="28" t="n">
        <x:f>IF(Z334="Высокая",3,IF(Z334="Средняя",2,1))+AD334*2+MIN(AE334,3)</x:f>
        <x:v>6</x:v>
      </x:c>
    </x:row>
    <x:row r="335" ht="62" customHeight="1">
      <x:c r="A335" s="28" t="str">
        <x:v>NCT-0334</x:v>
      </x:c>
      <x:c r="B335" s="28" t="str">
        <x:v>миндаль</x:v>
      </x:c>
      <x:c r="C335" s="28" t="str">
        <x:v>Универсальные</x:v>
      </x:c>
      <x:c r="D335" s="28" t="str">
        <x:v>миндаль</x:v>
      </x:c>
      <x:c r="E335" s="28" t="str">
        <x:v>Миндаль | миндаль</x:v>
      </x:c>
      <x:c r="F335" s="28" t="str">
        <x:v>Орехи и семена</x:v>
      </x:c>
      <x:c r="G335" s="28" t="str">
        <x:v>ежевика</x:v>
      </x:c>
      <x:c r="H335" s="28" t="str">
        <x:v>Ежевика | ежевика</x:v>
      </x:c>
      <x:c r="I335" s="28" t="str">
        <x:v>Прочее</x:v>
      </x:c>
      <x:c r="J335" s="28" t="str">
        <x:v>ореховый, сладкий, марципановый, слегка зелёный; после обжарки — карамельный и жареный</x:v>
      </x:c>
      <x:c r="K335" s="28" t="str">
        <x:v>профиль зависит от конкретного продукта</x:v>
      </x:c>
      <x:c r="L335" s="28" t="str">
        <x:v>бензальдегид, пиразины, фураны, гексаналь</x:v>
      </x:c>
      <x:c r="M335" s="28" t="str">
        <x:v>характерный профиль зависит от конкретного продукта</x:v>
      </x:c>
      <x:c r="N335" s="28" t="str">
        <x:v>прямое пересечение семейств не является единственным объяснением</x:v>
      </x:c>
      <x:c r="O335" s="28" t="str">
        <x:v>надежная общая ключевая молекула не подтверждена</x:v>
      </x:c>
      <x:c r="P335" s="28" t="str">
        <x:v>сенсорная комплементарность</x:v>
      </x:c>
      <x:c r="Q33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35" s="28" t="str">
        <x:v>минимальный</x:v>
      </x:c>
      <x:c r="S335" s="28" t="str">
        <x:v>жирная белково-клетчаточная матрица; гидрофобные ароматические вещества хорошо удерживаются липидами</x:v>
      </x:c>
      <x:c r="T33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35" s="28" t="str">
        <x:v>Миндаль имеет профиль «ореховый, сладкий, марципановый, слегка зелёный; после обжарки — карамельный и жареный». Партнёр «ежевика»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35" s="28" t="str">
        <x:v>аллерген; быстро прогоркает после помола; горький миндаль и ядра косточковых не взаимозаменяемы</x:v>
      </x:c>
      <x:c r="W335" s="28" t="str">
        <x:v>соль, ваниль или карамель</x:v>
      </x:c>
      <x:c r="X335" s="28" t="str">
        <x:v>пралине, паста, выпечка, гарнир, соус, молочный или коктейльный компонент с ежевика</x:v>
      </x:c>
      <x:c r="Y335" s="28" t="str">
        <x:v>десерты</x:v>
      </x:c>
      <x:c r="Z335" s="28" t="str">
        <x:v>Средняя</x:v>
      </x:c>
      <x:c r="AA335" s="28" t="str">
        <x:v>Тезариус вкусов (Ники Сегнит)(1).pdf</x:v>
      </x:c>
      <x:c r="AB335" s="28" t="str">
        <x:v>Тезариус вкусов (Ники Сегнит)(1).pdf: 642, 882</x:v>
      </x:c>
      <x:c r="AC335" s="28" t="str">
        <x:v>Пара встречается как thesaurus; научное объяснение сформировано по ароматическому профилю и пищевой матрице.</x:v>
      </x:c>
      <x:c r="AD335" s="28" t="n">
        <x:v>1</x:v>
      </x:c>
      <x:c r="AE335" s="28" t="n">
        <x:v>2</x:v>
      </x:c>
      <x:c r="AF335" s="28" t="n">
        <x:f>IF(Z335="Высокая",3,IF(Z335="Средняя",2,1))+AD335*2+MIN(AE335,3)</x:f>
        <x:v>6</x:v>
      </x:c>
    </x:row>
    <x:row r="336" ht="62" customHeight="1">
      <x:c r="A336" s="28" t="str">
        <x:v>NCT-0335</x:v>
      </x:c>
      <x:c r="B336" s="28" t="str">
        <x:v>миндаль</x:v>
      </x:c>
      <x:c r="C336" s="28" t="str">
        <x:v>Универсальные</x:v>
      </x:c>
      <x:c r="D336" s="28" t="str">
        <x:v>миндаль</x:v>
      </x:c>
      <x:c r="E336" s="28" t="str">
        <x:v>roasted almond</x:v>
      </x:c>
      <x:c r="F336" s="28" t="str">
        <x:v>Орехи и семена</x:v>
      </x:c>
      <x:c r="G336" s="28" t="str">
        <x:v>жасмин</x:v>
      </x:c>
      <x:c r="H336" s="28" t="str">
        <x:v>Jasmine blossom</x:v>
      </x:c>
      <x:c r="I336" s="28" t="str">
        <x:v>Травы, цветы и листья</x:v>
      </x:c>
      <x:c r="J336" s="28" t="str">
        <x:v>ореховый, сладкий, марципановый, слегка зелёный; после обжарки — карамельный и жареный</x:v>
      </x:c>
      <x:c r="K336" s="28" t="str">
        <x:v>животный, цветочный</x:v>
      </x:c>
      <x:c r="L336" s="28" t="str">
        <x:v>бензальдегид, пиразины, фураны, гексаналь</x:v>
      </x:c>
      <x:c r="M336" s="28" t="str">
        <x:v>бензилацетат, индол, линалоол</x:v>
      </x:c>
      <x:c r="N336" s="28" t="str">
        <x:v>прямое пересечение семейств не является единственным объяснением</x:v>
      </x:c>
      <x:c r="O336" s="28" t="str">
        <x:v>надежная общая ключевая молекула не подтверждена</x:v>
      </x:c>
      <x:c r="P336" s="28" t="str">
        <x:v>сенсорная комплементарность</x:v>
      </x:c>
      <x:c r="Q33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36" s="28" t="str">
        <x:v>минимальный</x:v>
      </x:c>
      <x:c r="S336" s="28" t="str">
        <x:v>жирная белково-клетчаточная матрица; гидрофобные ароматические вещества хорошо удерживаются липидами</x:v>
      </x:c>
      <x:c r="T33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36" s="28" t="str">
        <x:v>Миндаль имеет профиль «ореховый, сладкий, марципановый, слегка зелёный; после обжарки — карамельный и жареный». Партнёр «жасмин» относится к группе «Травы, цветы и листья» и даёт животный,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36" s="28" t="str">
        <x:v>аллерген; быстро прогоркает после помола; горький миндаль и ядра косточковых не взаимозаменяемы</x:v>
      </x:c>
      <x:c r="W336" s="28" t="str">
        <x:v>цитрус, мёд или сливки</x:v>
      </x:c>
      <x:c r="X336" s="28" t="str">
        <x:v>пралине, паста, выпечка, гарнир, соус, молочный или коктейльный компонент с жасмин</x:v>
      </x:c>
      <x:c r="Y336" s="28" t="str">
        <x:v>десерты</x:v>
      </x:c>
      <x:c r="Z336" s="28" t="str">
        <x:v>Средняя</x:v>
      </x:c>
      <x:c r="AA336" s="28" t="str">
        <x:v>The Art &amp; Science of Foodpairing.pdf</x:v>
      </x:c>
      <x:c r="AB336" s="28" t="str">
        <x:v>The Art &amp; Science of Foodpairing.pdf: 210</x:v>
      </x:c>
      <x:c r="AC336" s="28" t="str">
        <x:v>Пара встречается как grid; научное объяснение сформировано по ароматическому профилю и пищевой матрице.</x:v>
      </x:c>
      <x:c r="AD336" s="28" t="n">
        <x:v>1</x:v>
      </x:c>
      <x:c r="AE336" s="28" t="n">
        <x:v>1</x:v>
      </x:c>
      <x:c r="AF336" s="28" t="n">
        <x:f>IF(Z336="Высокая",3,IF(Z336="Средняя",2,1))+AD336*2+MIN(AE336,3)</x:f>
        <x:v>5</x:v>
      </x:c>
    </x:row>
    <x:row r="337" ht="62" customHeight="1">
      <x:c r="A337" s="28" t="str">
        <x:v>NCT-0336</x:v>
      </x:c>
      <x:c r="B337" s="28" t="str">
        <x:v>миндаль</x:v>
      </x:c>
      <x:c r="C337" s="28" t="str">
        <x:v>Еда и соусы</x:v>
      </x:c>
      <x:c r="D337" s="28" t="str">
        <x:v>миндаль</x:v>
      </x:c>
      <x:c r="E337" s="28" t="str">
        <x:v>Миндаль | миндаль</x:v>
      </x:c>
      <x:c r="F337" s="28" t="str">
        <x:v>Орехи и семена</x:v>
      </x:c>
      <x:c r="G337" s="28" t="str">
        <x:v>жирная рыба</x:v>
      </x:c>
      <x:c r="H337" s="28" t="str">
        <x:v>Жирная рыба | жирная рыба</x:v>
      </x:c>
      <x:c r="I337" s="28" t="str">
        <x:v>Рыба и морепродукты</x:v>
      </x:c>
      <x:c r="J337" s="28" t="str">
        <x:v>ореховый, сладкий, марципановый, слегка зелёный; после обжарки — карамельный и жареный</x:v>
      </x:c>
      <x:c r="K337" s="28" t="str">
        <x:v>морской, солоноватый и умами</x:v>
      </x:c>
      <x:c r="L337" s="28" t="str">
        <x:v>бензальдегид, пиразины, фураны, гексаналь</x:v>
      </x:c>
      <x:c r="M337" s="28" t="str">
        <x:v>альдегиды, амины</x:v>
      </x:c>
      <x:c r="N337" s="28" t="str">
        <x:v>прямое пересечение семейств не является единственным объяснением</x:v>
      </x:c>
      <x:c r="O337" s="28" t="str">
        <x:v>надежная общая ключевая молекула не подтверждена</x:v>
      </x:c>
      <x:c r="P337" s="28" t="str">
        <x:v>солёно-умами контраст</x:v>
      </x:c>
      <x:c r="Q33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37" s="28" t="str">
        <x:v>минимальный</x:v>
      </x:c>
      <x:c r="S337" s="28" t="str">
        <x:v>жирная белково-клетчаточная матрица; гидрофобные ароматические вещества хорошо удерживаются липидами</x:v>
      </x:c>
      <x:c r="T33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37" s="28" t="str">
        <x:v>Миндаль имеет профиль «ореховый, сладкий, марципановый, слегка зелёный; после обжарки — карамельный и жареный». Партнёр «жирная рыба»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37" s="28" t="str">
        <x:v>аллерген; быстро прогоркает после помола; горький миндаль и ядра косточковых не взаимозаменяемы; малейшая прогорклость ореха или шоколада усиливает неприятные рыбные оттенки</x:v>
      </x:c>
      <x:c r="W337" s="28" t="str">
        <x:v>соль, соевый соус, коричневое масло или специя</x:v>
      </x:c>
      <x:c r="X337" s="28" t="str">
        <x:v>пралине, паста, выпечка, гарнир, соус, молочный или коктейльный компонент с жирная рыба</x:v>
      </x:c>
      <x:c r="Y337" s="28" t="str">
        <x:v>еда, десерты, соусы/маринады</x:v>
      </x:c>
      <x:c r="Z337" s="28" t="str">
        <x:v>Средняя</x:v>
      </x:c>
      <x:c r="AA337" s="28" t="str">
        <x:v>Тезариус вкусов (Ники Сегнит)(1).pdf</x:v>
      </x:c>
      <x:c r="AB337" s="28" t="str">
        <x:v>Тезариус вкусов (Ники Сегнит)(1).pdf: 415, 643</x:v>
      </x:c>
      <x:c r="AC337" s="28" t="str">
        <x:v>Пара встречается как thesaurus; научное объяснение сформировано по ароматическому профилю и пищевой матрице.</x:v>
      </x:c>
      <x:c r="AD337" s="28" t="n">
        <x:v>1</x:v>
      </x:c>
      <x:c r="AE337" s="28" t="n">
        <x:v>2</x:v>
      </x:c>
      <x:c r="AF337" s="28" t="n">
        <x:f>IF(Z337="Высокая",3,IF(Z337="Средняя",2,1))+AD337*2+MIN(AE337,3)</x:f>
        <x:v>6</x:v>
      </x:c>
    </x:row>
    <x:row r="338" ht="62" customHeight="1">
      <x:c r="A338" s="28" t="str">
        <x:v>NCT-0337</x:v>
      </x:c>
      <x:c r="B338" s="28" t="str">
        <x:v>миндаль</x:v>
      </x:c>
      <x:c r="C338" s="28" t="str">
        <x:v>Универсальные</x:v>
      </x:c>
      <x:c r="D338" s="28" t="str">
        <x:v>миндаль</x:v>
      </x:c>
      <x:c r="E338" s="28" t="str">
        <x:v>Миндаль | миндаль</x:v>
      </x:c>
      <x:c r="F338" s="28" t="str">
        <x:v>Орехи и семена</x:v>
      </x:c>
      <x:c r="G338" s="28" t="str">
        <x:v>имбирь</x:v>
      </x:c>
      <x:c r="H338" s="28" t="str">
        <x:v>Имбирь | имбирь</x:v>
      </x:c>
      <x:c r="I338" s="28" t="str">
        <x:v>Специи</x:v>
      </x:c>
      <x:c r="J338" s="28" t="str">
        <x:v>ореховый, сладкий, марципановый, слегка зелёный; после обжарки — карамельный и жареный</x:v>
      </x:c>
      <x:c r="K338" s="28" t="str">
        <x:v>пряный, тёплый, цитрусовый</x:v>
      </x:c>
      <x:c r="L338" s="28" t="str">
        <x:v>бензальдегид, пиразины, фураны, гексаналь</x:v>
      </x:c>
      <x:c r="M338" s="28" t="str">
        <x:v>гингеролы, цитраль</x:v>
      </x:c>
      <x:c r="N338" s="28" t="str">
        <x:v>прямое пересечение семейств не является единственным объяснением</x:v>
      </x:c>
      <x:c r="O338" s="28" t="str">
        <x:v>надежная общая ключевая молекула не подтверждена</x:v>
      </x:c>
      <x:c r="P338" s="28" t="str">
        <x:v>сенсорная комплементарность</x:v>
      </x:c>
      <x:c r="Q33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38" s="28" t="str">
        <x:v>минимальный; у острого партнёра тройничный эффект может доминировать</x:v>
      </x:c>
      <x:c r="S338" s="28" t="str">
        <x:v>жирная белково-клетчаточная матрица; гидрофобные ароматические вещества хорошо удерживаются липидами</x:v>
      </x:c>
      <x:c r="T33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38" s="28" t="str">
        <x:v>Миндаль имеет профиль «ореховый, сладкий, марципановый, слегка зелёный; после обжарки — карамельный и жареный». Партнёр «имбирь» относится к группе «Специи» и даёт пряный, тёплый,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38" s="28" t="str">
        <x:v>аллерген; быстро прогоркает после помола; горький миндаль и ядра косточковых не взаимозаменяемы</x:v>
      </x:c>
      <x:c r="W338" s="28" t="str">
        <x:v>ваниль, апельсин или мёд</x:v>
      </x:c>
      <x:c r="X338" s="28" t="str">
        <x:v>пралине, паста, выпечка, гарнир, соус, молочный или коктейльный компонент с имбирь</x:v>
      </x:c>
      <x:c r="Y338" s="28" t="str">
        <x:v>десерты</x:v>
      </x:c>
      <x:c r="Z338" s="28" t="str">
        <x:v>Высокая</x:v>
      </x:c>
      <x:c r="AA338" s="28" t="str">
        <x:v>Таблица сочетания(1).pdf | Тезариус вкусов (Ники Сегнит)(1).pdf</x:v>
      </x:c>
      <x:c r="AB338" s="28" t="str">
        <x:v>Таблица сочетания(1).pdf: 8; Тезариус вкусов (Ники Сегнит)(1).pdf: 643, 818</x:v>
      </x:c>
      <x:c r="AC338" s="28" t="str">
        <x:v>Пара встречается как table, thesaurus; научное объяснение сформировано по ароматическому профилю и пищевой матрице.</x:v>
      </x:c>
      <x:c r="AD338" s="28" t="n">
        <x:v>2</x:v>
      </x:c>
      <x:c r="AE338" s="28" t="n">
        <x:v>3</x:v>
      </x:c>
      <x:c r="AF338" s="28" t="n">
        <x:f>IF(Z338="Высокая",3,IF(Z338="Средняя",2,1))+AD338*2+MIN(AE338,3)</x:f>
        <x:v>10</x:v>
      </x:c>
    </x:row>
    <x:row r="339" ht="62" customHeight="1">
      <x:c r="A339" s="28" t="str">
        <x:v>NCT-0338</x:v>
      </x:c>
      <x:c r="B339" s="28" t="str">
        <x:v>миндаль</x:v>
      </x:c>
      <x:c r="C339" s="28" t="str">
        <x:v>Десерты и выпечка</x:v>
      </x:c>
      <x:c r="D339" s="28" t="str">
        <x:v>миндаль</x:v>
      </x:c>
      <x:c r="E339" s="28" t="str">
        <x:v>Миндаль | миндаль</x:v>
      </x:c>
      <x:c r="F339" s="28" t="str">
        <x:v>Орехи и семена</x:v>
      </x:c>
      <x:c r="G339" s="28" t="str">
        <x:v>инжир</x:v>
      </x:c>
      <x:c r="H339" s="28" t="str">
        <x:v>Инжир | инжир</x:v>
      </x:c>
      <x:c r="I339" s="28" t="str">
        <x:v>Фрукты и ягоды</x:v>
      </x:c>
      <x:c r="J339" s="28" t="str">
        <x:v>ореховый, сладкий, марципановый, слегка зелёный; после обжарки — карамельный и жареный</x:v>
      </x:c>
      <x:c r="K339" s="28" t="str">
        <x:v>фруктовый, цветочный и свежий</x:v>
      </x:c>
      <x:c r="L339" s="28" t="str">
        <x:v>бензальдегид, пиразины, фураны, гексаналь</x:v>
      </x:c>
      <x:c r="M339" s="28" t="str">
        <x:v>альдегиды, эфиры</x:v>
      </x:c>
      <x:c r="N339" s="28" t="str">
        <x:v>прямое пересечение семейств не является единственным объяснением</x:v>
      </x:c>
      <x:c r="O339" s="28" t="str">
        <x:v>надежная общая ключевая молекула не подтверждена</x:v>
      </x:c>
      <x:c r="P339" s="28" t="str">
        <x:v>контраст кислоты и жирной/горькой матрицы</x:v>
      </x:c>
      <x:c r="Q33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39" s="28" t="str">
        <x:v>минимальный</x:v>
      </x:c>
      <x:c r="S339" s="28" t="str">
        <x:v>жирная белково-клетчаточная матрица; гидрофобные ароматические вещества хорошо удерживаются липидами Водная фруктовая фаза требует эмульсии или мелкого измельчения, если орех или шоколад вводится как паста.</x:v>
      </x:c>
      <x:c r="T33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39" s="28" t="str">
        <x:v>Миндаль имеет профиль «ореховый, сладкий, марципановый, слегка зелёный; после обжарки — карамельный и жареный». Партнёр «инжир»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39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W339" s="28" t="str">
        <x:v>ваниль, цитрус или молочный жир</x:v>
      </x:c>
      <x:c r="X339" s="28" t="str">
        <x:v>пралине, паста, выпечка, гарнир, соус, молочный или коктейльный компонент с инжир</x:v>
      </x:c>
      <x:c r="Y339" s="28" t="str">
        <x:v>десерты</x:v>
      </x:c>
      <x:c r="Z339" s="28" t="str">
        <x:v>Высокая</x:v>
      </x:c>
      <x:c r="AA339" s="28" t="str">
        <x:v>Таблица сочетания(1).pdf | Тезариус вкусов (Ники Сегнит)(1).pdf</x:v>
      </x:c>
      <x:c r="AB339" s="28" t="str">
        <x:v>Таблица сочетания(1).pdf: 1; Тезариус вкусов (Ники Сегнит)(1).pdf: 644, 894</x:v>
      </x:c>
      <x:c r="AC339" s="28" t="str">
        <x:v>Пара встречается как table, thesaurus; научное объяснение сформировано по ароматическому профилю и пищевой матрице.</x:v>
      </x:c>
      <x:c r="AD339" s="28" t="n">
        <x:v>2</x:v>
      </x:c>
      <x:c r="AE339" s="28" t="n">
        <x:v>3</x:v>
      </x:c>
      <x:c r="AF339" s="28" t="n">
        <x:f>IF(Z339="Высокая",3,IF(Z339="Средняя",2,1))+AD339*2+MIN(AE339,3)</x:f>
        <x:v>10</x:v>
      </x:c>
    </x:row>
    <x:row r="340" ht="62" customHeight="1">
      <x:c r="A340" s="28" t="str">
        <x:v>NCT-0339</x:v>
      </x:c>
      <x:c r="B340" s="28" t="str">
        <x:v>миндаль</x:v>
      </x:c>
      <x:c r="C340" s="28" t="str">
        <x:v>Десерты и выпечка</x:v>
      </x:c>
      <x:c r="D340" s="28" t="str">
        <x:v>миндаль</x:v>
      </x:c>
      <x:c r="E340" s="28" t="str">
        <x:v>Миндаль | миндаль</x:v>
      </x:c>
      <x:c r="F340" s="28" t="str">
        <x:v>Орехи и семена</x:v>
      </x:c>
      <x:c r="G340" s="28" t="str">
        <x:v>карамель</x:v>
      </x:c>
      <x:c r="H340" s="28" t="str">
        <x:v>Карамель | карамель</x:v>
      </x:c>
      <x:c r="I340" s="28" t="str">
        <x:v>Выпечка, сахара и десерты</x:v>
      </x:c>
      <x:c r="J340" s="28" t="str">
        <x:v>ореховый, сладкий, марципановый, слегка зелёный; после обжарки — карамельный и жареный</x:v>
      </x:c>
      <x:c r="K340" s="28" t="str">
        <x:v>жареный, карамельный</x:v>
      </x:c>
      <x:c r="L340" s="28" t="str">
        <x:v>бензальдегид, пиразины, фураны, гексаналь</x:v>
      </x:c>
      <x:c r="M340" s="28" t="str">
        <x:v>мальтол, фураны</x:v>
      </x:c>
      <x:c r="N340" s="28" t="str">
        <x:v>жареный</x:v>
      </x:c>
      <x:c r="O340" s="28" t="str">
        <x:v>фураны</x:v>
      </x:c>
      <x:c r="P340" s="28" t="str">
        <x:v>общие ароматические соединения, пересечение ароматических семейств, жареная химия и реакции Майяра</x:v>
      </x:c>
      <x:c r="Q34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40" s="28" t="str">
        <x:v>минимальный</x:v>
      </x:c>
      <x:c r="S340" s="28" t="str">
        <x:v>жирная белково-клетчаточная матрица; гидрофобные ароматические вещества хорошо удерживаются липидами</x:v>
      </x:c>
      <x:c r="T34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40" s="28" t="str">
        <x:v>Миндаль имеет профиль «ореховый, сладкий, марципановый, слегка зелёный; после обжарки — карамельный и жареный». Партнёр «карамель» относится к группе «Выпечка, сахара и десерты» и даёт жареный, карамельный. Молекулярный мост создают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фураны.</x:v>
      </x:c>
      <x:c r="V340" s="28" t="str">
        <x:v>аллерген; быстро прогоркает после помола; горький миндаль и ядра косточковых не взаимозаменяемы</x:v>
      </x:c>
      <x:c r="W340" s="28" t="str">
        <x:v>соль, ваниль или карамель</x:v>
      </x:c>
      <x:c r="X340" s="28" t="str">
        <x:v>пралине, паста, выпечка, гарнир, соус, молочный или коктейльный компонент с карамель</x:v>
      </x:c>
      <x:c r="Y340" s="28" t="str">
        <x:v>десерты</x:v>
      </x:c>
      <x:c r="Z340" s="28" t="str">
        <x:v>Гипотеза / практическая</x:v>
      </x:c>
      <x:c r="AA340" s="28" t="str">
        <x:v>Таблица сочетания(1).pdf</x:v>
      </x:c>
      <x:c r="AB340" s="28" t="str">
        <x:v>Таблица сочетания(1).pdf: 1, 3</x:v>
      </x:c>
      <x:c r="AC340" s="28" t="str">
        <x:v>Пара встречается как table; научное объяснение сформировано по ароматическому профилю и пищевой матрице.</x:v>
      </x:c>
      <x:c r="AD340" s="28" t="n">
        <x:v>1</x:v>
      </x:c>
      <x:c r="AE340" s="28" t="n">
        <x:v>2</x:v>
      </x:c>
      <x:c r="AF340" s="28" t="n">
        <x:f>IF(Z340="Высокая",3,IF(Z340="Средняя",2,1))+AD340*2+MIN(AE340,3)</x:f>
        <x:v>5</x:v>
      </x:c>
    </x:row>
    <x:row r="341" ht="62" customHeight="1">
      <x:c r="A341" s="28" t="str">
        <x:v>NCT-0340</x:v>
      </x:c>
      <x:c r="B341" s="28" t="str">
        <x:v>миндаль</x:v>
      </x:c>
      <x:c r="C341" s="28" t="str">
        <x:v>Универсальные</x:v>
      </x:c>
      <x:c r="D341" s="28" t="str">
        <x:v>миндаль</x:v>
      </x:c>
      <x:c r="E341" s="28" t="str">
        <x:v>Миндаль | миндаль</x:v>
      </x:c>
      <x:c r="F341" s="28" t="str">
        <x:v>Орехи и семена</x:v>
      </x:c>
      <x:c r="G341" s="28" t="str">
        <x:v>кардамон</x:v>
      </x:c>
      <x:c r="H341" s="28" t="str">
        <x:v>Кардамон | кардамон</x:v>
      </x:c>
      <x:c r="I341" s="28" t="str">
        <x:v>Специи</x:v>
      </x:c>
      <x:c r="J341" s="28" t="str">
        <x:v>ореховый, сладкий, марципановый, слегка зелёный; после обжарки — карамельный и жареный</x:v>
      </x:c>
      <x:c r="K341" s="28" t="str">
        <x:v>камфорный, цветочный, цитрусовый</x:v>
      </x:c>
      <x:c r="L341" s="28" t="str">
        <x:v>бензальдегид, пиразины, фураны, гексаналь</x:v>
      </x:c>
      <x:c r="M341" s="28" t="str">
        <x:v>1,8-цинеол, линалоол</x:v>
      </x:c>
      <x:c r="N341" s="28" t="str">
        <x:v>прямое пересечение семейств не является единственным объяснением</x:v>
      </x:c>
      <x:c r="O341" s="28" t="str">
        <x:v>надежная общая ключевая молекула не подтверждена</x:v>
      </x:c>
      <x:c r="P341" s="28" t="str">
        <x:v>сенсорная комплементарность</x:v>
      </x:c>
      <x:c r="Q34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41" s="28" t="str">
        <x:v>минимальный</x:v>
      </x:c>
      <x:c r="S341" s="28" t="str">
        <x:v>жирная белково-клетчаточная матрица; гидрофобные ароматические вещества хорошо удерживаются липидами</x:v>
      </x:c>
      <x:c r="T34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41" s="28" t="str">
        <x:v>Миндаль имеет профиль «ореховый, сладкий, марципановый, слегка зелёный; после обжарки — карамельный и жареный». Партнёр «кардамон» относится к группе «Специи» и даёт камфорный, цветочный,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41" s="28" t="str">
        <x:v>аллерген; быстро прогоркает после помола; горький миндаль и ядра косточковых не взаимозаменяемы</x:v>
      </x:c>
      <x:c r="W341" s="28" t="str">
        <x:v>ваниль, апельсин или мёд</x:v>
      </x:c>
      <x:c r="X341" s="28" t="str">
        <x:v>пралине, паста, выпечка, гарнир, соус, молочный или коктейльный компонент с кардамон</x:v>
      </x:c>
      <x:c r="Y341" s="28" t="str">
        <x:v>десерты</x:v>
      </x:c>
      <x:c r="Z341" s="28" t="str">
        <x:v>Высокая</x:v>
      </x:c>
      <x:c r="AA341" s="28" t="str">
        <x:v>Таблица сочетания(1).pdf | Тезариус вкусов (Ники Сегнит)(1).pdf</x:v>
      </x:c>
      <x:c r="AB341" s="28" t="str">
        <x:v>Таблица сочетания(1).pdf: 1; Тезариус вкусов (Ники Сегнит)(1).pdf: 644, 829</x:v>
      </x:c>
      <x:c r="AC341" s="28" t="str">
        <x:v>Пара встречается как table, thesaurus; научное объяснение сформировано по ароматическому профилю и пищевой матрице.</x:v>
      </x:c>
      <x:c r="AD341" s="28" t="n">
        <x:v>2</x:v>
      </x:c>
      <x:c r="AE341" s="28" t="n">
        <x:v>3</x:v>
      </x:c>
      <x:c r="AF341" s="28" t="n">
        <x:f>IF(Z341="Высокая",3,IF(Z341="Средняя",2,1))+AD341*2+MIN(AE341,3)</x:f>
        <x:v>10</x:v>
      </x:c>
    </x:row>
    <x:row r="342" ht="62" customHeight="1">
      <x:c r="A342" s="28" t="str">
        <x:v>NCT-0341</x:v>
      </x:c>
      <x:c r="B342" s="28" t="str">
        <x:v>миндаль</x:v>
      </x:c>
      <x:c r="C342" s="28" t="str">
        <x:v>Десерты и выпечка</x:v>
      </x:c>
      <x:c r="D342" s="28" t="str">
        <x:v>миндаль</x:v>
      </x:c>
      <x:c r="E342" s="28" t="str">
        <x:v>миндаль</x:v>
      </x:c>
      <x:c r="F342" s="28" t="str">
        <x:v>Орехи и семена</x:v>
      </x:c>
      <x:c r="G342" s="28" t="str">
        <x:v>кедровый орех</x:v>
      </x:c>
      <x:c r="H342" s="28" t="str">
        <x:v>Кедровый орех</x:v>
      </x:c>
      <x:c r="I342" s="28" t="str">
        <x:v>Орехи и семена</x:v>
      </x:c>
      <x:c r="J342" s="28" t="str">
        <x:v>ореховый, сладкий, марципановый, слегка зелёный; после обжарки — карамельный и жареный</x:v>
      </x:c>
      <x:c r="K342" s="28" t="str">
        <x:v>смолистый, сливочный, зелёный и ореховый</x:v>
      </x:c>
      <x:c r="L342" s="28" t="str">
        <x:v>бензальдегид, пиразины, фураны, гексаналь</x:v>
      </x:c>
      <x:c r="M342" s="28" t="str">
        <x:v>альдегиды, пинены, пиразины</x:v>
      </x:c>
      <x:c r="N342" s="28" t="str">
        <x:v>ореховый</x:v>
      </x:c>
      <x:c r="O342" s="28" t="str">
        <x:v>пиразины</x:v>
      </x:c>
      <x:c r="P342" s="28" t="str">
        <x:v>общие ароматические соединения, пересечение ароматических семейств, жареная химия и реакции Майяра</x:v>
      </x:c>
      <x:c r="Q34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42" s="28" t="str">
        <x:v>минимальный</x:v>
      </x:c>
      <x:c r="S342" s="28" t="str">
        <x:v>жирная белково-клетчаточная матрица; гидрофобные ароматические вещества хорошо удерживаются липидами</x:v>
      </x:c>
      <x:c r="T34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42" s="28" t="str">
        <x:v>Миндаль имеет профиль «ореховый, сладкий, марципановый, слегка зелёный; после обжарки — карамельный и жареный». Партнёр «кедровый орех» относится к группе «Орехи и семена» и даёт смолистый, сливочный, зелёный и ореховый.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пиразины.</x:v>
      </x:c>
      <x:c r="V342" s="28" t="str">
        <x:v>аллерген; быстро прогоркает после помола; горький миндаль и ядра косточковых не взаимозаменяемы</x:v>
      </x:c>
      <x:c r="W342" s="28" t="str">
        <x:v>соль, ваниль или карамель</x:v>
      </x:c>
      <x:c r="X342" s="28" t="str">
        <x:v>пралине, паста, выпечка, гарнир, соус, молочный или коктейльный компонент с кедровый орех</x:v>
      </x:c>
      <x:c r="Y342" s="28" t="str">
        <x:v>десерты</x:v>
      </x:c>
      <x:c r="Z342" s="28" t="str">
        <x:v>Гипотеза / практическая</x:v>
      </x:c>
      <x:c r="AA342" s="28" t="str">
        <x:v>Таблица сочетания(1).pdf</x:v>
      </x:c>
      <x:c r="AB342" s="28" t="str">
        <x:v>Таблица сочетания(1).pdf: 16</x:v>
      </x:c>
      <x:c r="AC342" s="28" t="str">
        <x:v>Пара встречается как table; научное объяснение сформировано по ароматическому профилю и пищевой матрице.</x:v>
      </x:c>
      <x:c r="AD342" s="28" t="n">
        <x:v>1</x:v>
      </x:c>
      <x:c r="AE342" s="28" t="n">
        <x:v>1</x:v>
      </x:c>
      <x:c r="AF342" s="28" t="n">
        <x:f>IF(Z342="Высокая",3,IF(Z342="Средняя",2,1))+AD342*2+MIN(AE342,3)</x:f>
        <x:v>4</x:v>
      </x:c>
    </x:row>
    <x:row r="343" ht="62" customHeight="1">
      <x:c r="A343" s="28" t="str">
        <x:v>NCT-0342</x:v>
      </x:c>
      <x:c r="B343" s="28" t="str">
        <x:v>миндаль</x:v>
      </x:c>
      <x:c r="C343" s="28" t="str">
        <x:v>Десерты и выпечка</x:v>
      </x:c>
      <x:c r="D343" s="28" t="str">
        <x:v>миндаль</x:v>
      </x:c>
      <x:c r="E343" s="28" t="str">
        <x:v>миндаль</x:v>
      </x:c>
      <x:c r="F343" s="28" t="str">
        <x:v>Орехи и семена</x:v>
      </x:c>
      <x:c r="G343" s="28" t="str">
        <x:v>кленовый сироп</x:v>
      </x:c>
      <x:c r="H343" s="28" t="str">
        <x:v>Кленовый сироп</x:v>
      </x:c>
      <x:c r="I343" s="28" t="str">
        <x:v>Выпечка, сахара и десерты</x:v>
      </x:c>
      <x:c r="J343" s="28" t="str">
        <x:v>ореховый, сладкий, марципановый, слегка зелёный; после обжарки — карамельный и жареный</x:v>
      </x:c>
      <x:c r="K343" s="28" t="str">
        <x:v>сладкий, карамельный и жареный</x:v>
      </x:c>
      <x:c r="L343" s="28" t="str">
        <x:v>бензальдегид, пиразины, фураны, гексаналь</x:v>
      </x:c>
      <x:c r="M343" s="28" t="str">
        <x:v>мальтол, пиразины, фураны</x:v>
      </x:c>
      <x:c r="N343" s="28" t="str">
        <x:v>жареный</x:v>
      </x:c>
      <x:c r="O343" s="28" t="str">
        <x:v>пиразины, фураны</x:v>
      </x:c>
      <x:c r="P343" s="28" t="str">
        <x:v>общие ароматические соединения, пересечение ароматических семейств, жареная химия и реакции Майяра</x:v>
      </x:c>
      <x:c r="Q34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43" s="28" t="str">
        <x:v>минимальный</x:v>
      </x:c>
      <x:c r="S343" s="28" t="str">
        <x:v>жирная белково-клетчаточная матрица; гидрофобные ароматические вещества хорошо удерживаются липидами</x:v>
      </x:c>
      <x:c r="T34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43" s="28" t="str">
        <x:v>Миндаль имеет профиль «ореховый, сладкий, марципановый, слегка зелёный; после обжарки — карамельный и жареный».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V343" s="28" t="str">
        <x:v>аллерген; быстро прогоркает после помола; горький миндаль и ядра косточковых не взаимозаменяемы</x:v>
      </x:c>
      <x:c r="W343" s="28" t="str">
        <x:v>соль, ваниль или карамель</x:v>
      </x:c>
      <x:c r="X343" s="28" t="str">
        <x:v>пралине, паста, выпечка, гарнир, соус, молочный или коктейльный компонент с кленовый сироп</x:v>
      </x:c>
      <x:c r="Y343" s="28" t="str">
        <x:v>напитки, десерты</x:v>
      </x:c>
      <x:c r="Z343" s="28" t="str">
        <x:v>Гипотеза / практическая</x:v>
      </x:c>
      <x:c r="AA343" s="28" t="str">
        <x:v>Таблица сочетания(1).pdf</x:v>
      </x:c>
      <x:c r="AB343" s="28" t="str">
        <x:v>Таблица сочетания(1).pdf: 13</x:v>
      </x:c>
      <x:c r="AC343" s="28" t="str">
        <x:v>Пара встречается как table; научное объяснение сформировано по ароматическому профилю и пищевой матрице.</x:v>
      </x:c>
      <x:c r="AD343" s="28" t="n">
        <x:v>1</x:v>
      </x:c>
      <x:c r="AE343" s="28" t="n">
        <x:v>1</x:v>
      </x:c>
      <x:c r="AF343" s="28" t="n">
        <x:f>IF(Z343="Высокая",3,IF(Z343="Средняя",2,1))+AD343*2+MIN(AE343,3)</x:f>
        <x:v>4</x:v>
      </x:c>
    </x:row>
    <x:row r="344" ht="62" customHeight="1">
      <x:c r="A344" s="28" t="str">
        <x:v>NCT-0343</x:v>
      </x:c>
      <x:c r="B344" s="28" t="str">
        <x:v>миндаль</x:v>
      </x:c>
      <x:c r="C344" s="28" t="str">
        <x:v>Универсальные</x:v>
      </x:c>
      <x:c r="D344" s="28" t="str">
        <x:v>миндаль</x:v>
      </x:c>
      <x:c r="E344" s="28" t="str">
        <x:v>Миндаль | миндаль</x:v>
      </x:c>
      <x:c r="F344" s="28" t="str">
        <x:v>Орехи и семена</x:v>
      </x:c>
      <x:c r="G344" s="28" t="str">
        <x:v>клубника</x:v>
      </x:c>
      <x:c r="H344" s="28" t="str">
        <x:v>Клубника | клубника</x:v>
      </x:c>
      <x:c r="I344" s="28" t="str">
        <x:v>Прочее</x:v>
      </x:c>
      <x:c r="J344" s="28" t="str">
        <x:v>ореховый, сладкий, марципановый, слегка зелёный; после обжарки — карамельный и жареный</x:v>
      </x:c>
      <x:c r="K344" s="28" t="str">
        <x:v>зелёный, карамельный, фруктовый</x:v>
      </x:c>
      <x:c r="L344" s="28" t="str">
        <x:v>бензальдегид, пиразины, фураны, гексаналь</x:v>
      </x:c>
      <x:c r="M344" s="28" t="str">
        <x:v>фуранеол, эфиры</x:v>
      </x:c>
      <x:c r="N344" s="28" t="str">
        <x:v>прямое пересечение семейств не является единственным объяснением</x:v>
      </x:c>
      <x:c r="O344" s="28" t="str">
        <x:v>надежная общая ключевая молекула не подтверждена</x:v>
      </x:c>
      <x:c r="P344" s="28" t="str">
        <x:v>сенсорная комплементарность</x:v>
      </x:c>
      <x:c r="Q34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44" s="28" t="str">
        <x:v>минимальный</x:v>
      </x:c>
      <x:c r="S344" s="28" t="str">
        <x:v>жирная белково-клетчаточная матрица; гидрофобные ароматические вещества хорошо удерживаются липидами</x:v>
      </x:c>
      <x:c r="T34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44" s="28" t="str">
        <x:v>Миндаль имеет профиль «ореховый, сладкий, марципановый, слегка зелёный; после обжарки — карамельный и жареный». Партнёр «клубника» относится к группе «Прочее» и даёт зелёный, карамельный, фруктовый.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44" s="28" t="str">
        <x:v>аллерген; быстро прогоркает после помола; горький миндаль и ядра косточковых не взаимозаменяемы</x:v>
      </x:c>
      <x:c r="W344" s="28" t="str">
        <x:v>соль, ваниль или карамель</x:v>
      </x:c>
      <x:c r="X344" s="28" t="str">
        <x:v>пралине, паста, выпечка, гарнир, соус, молочный или коктейльный компонент с клубника</x:v>
      </x:c>
      <x:c r="Y344" s="28" t="str">
        <x:v>десерты</x:v>
      </x:c>
      <x:c r="Z344" s="28" t="str">
        <x:v>Высокая</x:v>
      </x:c>
      <x:c r="AA344" s="28" t="str">
        <x:v>Таблица сочетания(1).pdf | Тезариус вкусов (Ники Сегнит)(1).pdf</x:v>
      </x:c>
      <x:c r="AB344" s="28" t="str">
        <x:v>Таблица сочетания(1).pdf: 20; Тезариус вкусов (Ники Сегнит)(1).pdf: 644, 696</x:v>
      </x:c>
      <x:c r="AC344" s="28" t="str">
        <x:v>Пара встречается как table, thesaurus; научное объяснение сформировано по ароматическому профилю и пищевой матрице.</x:v>
      </x:c>
      <x:c r="AD344" s="28" t="n">
        <x:v>2</x:v>
      </x:c>
      <x:c r="AE344" s="28" t="n">
        <x:v>3</x:v>
      </x:c>
      <x:c r="AF344" s="28" t="n">
        <x:f>IF(Z344="Высокая",3,IF(Z344="Средняя",2,1))+AD344*2+MIN(AE344,3)</x:f>
        <x:v>10</x:v>
      </x:c>
    </x:row>
    <x:row r="345" ht="62" customHeight="1">
      <x:c r="A345" s="28" t="str">
        <x:v>NCT-0344</x:v>
      </x:c>
      <x:c r="B345" s="28" t="str">
        <x:v>миндаль</x:v>
      </x:c>
      <x:c r="C345" s="28" t="str">
        <x:v>Универсальные</x:v>
      </x:c>
      <x:c r="D345" s="28" t="str">
        <x:v>миндаль</x:v>
      </x:c>
      <x:c r="E345" s="28" t="str">
        <x:v>миндаль</x:v>
      </x:c>
      <x:c r="F345" s="28" t="str">
        <x:v>Орехи и семена</x:v>
      </x:c>
      <x:c r="G345" s="28" t="str">
        <x:v>клюква</x:v>
      </x:c>
      <x:c r="H345" s="28" t="str">
        <x:v>Клюква</x:v>
      </x:c>
      <x:c r="I345" s="28" t="str">
        <x:v>Прочее</x:v>
      </x:c>
      <x:c r="J345" s="28" t="str">
        <x:v>ореховый, сладкий, марципановый, слегка зелёный; после обжарки — карамельный и жареный</x:v>
      </x:c>
      <x:c r="K345" s="28" t="str">
        <x:v>профиль зависит от конкретного продукта</x:v>
      </x:c>
      <x:c r="L345" s="28" t="str">
        <x:v>бензальдегид, пиразины, фураны, гексаналь</x:v>
      </x:c>
      <x:c r="M345" s="28" t="str">
        <x:v>характерный профиль зависит от конкретного продукта</x:v>
      </x:c>
      <x:c r="N345" s="28" t="str">
        <x:v>прямое пересечение семейств не является единственным объяснением</x:v>
      </x:c>
      <x:c r="O345" s="28" t="str">
        <x:v>надежная общая ключевая молекула не подтверждена</x:v>
      </x:c>
      <x:c r="P345" s="28" t="str">
        <x:v>сенсорная комплементарность</x:v>
      </x:c>
      <x:c r="Q34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45" s="28" t="str">
        <x:v>минимальный</x:v>
      </x:c>
      <x:c r="S345" s="28" t="str">
        <x:v>жирная белково-клетчаточная матрица; гидрофобные ароматические вещества хорошо удерживаются липидами</x:v>
      </x:c>
      <x:c r="T34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45" s="28" t="str">
        <x:v>Миндаль имеет профиль «ореховый, сладкий, марципановый, слегка зелёный; после обжарки — карамельный и жареный». Партнёр «клюква»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45" s="28" t="str">
        <x:v>аллерген; быстро прогоркает после помола; горький миндаль и ядра косточковых не взаимозаменяемы</x:v>
      </x:c>
      <x:c r="W345" s="28" t="str">
        <x:v>соль, ваниль или карамель</x:v>
      </x:c>
      <x:c r="X345" s="28" t="str">
        <x:v>пралине, паста, выпечка, гарнир, соус, молочный или коктейльный компонент с клюква</x:v>
      </x:c>
      <x:c r="Y345" s="28" t="str">
        <x:v>десерты</x:v>
      </x:c>
      <x:c r="Z345" s="28" t="str">
        <x:v>Гипотеза / практическая</x:v>
      </x:c>
      <x:c r="AA345" s="28" t="str">
        <x:v>Таблица сочетания(1).pdf</x:v>
      </x:c>
      <x:c r="AB345" s="28" t="str">
        <x:v>Таблица сочетания(1).pdf: 6</x:v>
      </x:c>
      <x:c r="AC345" s="28" t="str">
        <x:v>Пара встречается как table; научное объяснение сформировано по ароматическому профилю и пищевой матрице.</x:v>
      </x:c>
      <x:c r="AD345" s="28" t="n">
        <x:v>1</x:v>
      </x:c>
      <x:c r="AE345" s="28" t="n">
        <x:v>1</x:v>
      </x:c>
      <x:c r="AF345" s="28" t="n">
        <x:f>IF(Z345="Высокая",3,IF(Z345="Средняя",2,1))+AD345*2+MIN(AE345,3)</x:f>
        <x:v>4</x:v>
      </x:c>
    </x:row>
    <x:row r="346" ht="62" customHeight="1">
      <x:c r="A346" s="28" t="str">
        <x:v>NCT-0345</x:v>
      </x:c>
      <x:c r="B346" s="28" t="str">
        <x:v>миндаль</x:v>
      </x:c>
      <x:c r="C346" s="28" t="str">
        <x:v>Универсальные</x:v>
      </x:c>
      <x:c r="D346" s="28" t="str">
        <x:v>миндаль</x:v>
      </x:c>
      <x:c r="E346" s="28" t="str">
        <x:v>dark roasted almond | oil-roasted almond | Миндаль | миндаль</x:v>
      </x:c>
      <x:c r="F346" s="28" t="str">
        <x:v>Орехи и семена</x:v>
      </x:c>
      <x:c r="G346" s="28" t="str">
        <x:v>кокос</x:v>
      </x:c>
      <x:c r="H346" s="28" t="str">
        <x:v>coconut | Кокос | кокос</x:v>
      </x:c>
      <x:c r="I346" s="28" t="str">
        <x:v>Прочее</x:v>
      </x:c>
      <x:c r="J346" s="28" t="str">
        <x:v>ореховый, сладкий, марципановый, слегка зелёный; после обжарки — карамельный и жареный</x:v>
      </x:c>
      <x:c r="K346" s="28" t="str">
        <x:v>лактонный, сливочный</x:v>
      </x:c>
      <x:c r="L346" s="28" t="str">
        <x:v>бензальдегид, пиразины, фураны, гексаналь</x:v>
      </x:c>
      <x:c r="M346" s="28" t="str">
        <x:v>лактоны</x:v>
      </x:c>
      <x:c r="N346" s="28" t="str">
        <x:v>прямое пересечение семейств не является единственным объяснением</x:v>
      </x:c>
      <x:c r="O346" s="28" t="str">
        <x:v>надежная общая ключевая молекула не подтверждена</x:v>
      </x:c>
      <x:c r="P346" s="28" t="str">
        <x:v>сенсорная комплементарность</x:v>
      </x:c>
      <x:c r="Q34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46" s="28" t="str">
        <x:v>минимальный</x:v>
      </x:c>
      <x:c r="S346" s="28" t="str">
        <x:v>жирная белково-клетчаточная матрица; гидрофобные ароматические вещества хорошо удерживаются липидами</x:v>
      </x:c>
      <x:c r="T34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46" s="28" t="str">
        <x:v>Миндаль имеет профиль «ореховый, сладкий, марципановый, слегка зелёный; после обжарки — карамельный и жареный». Партнёр «кокос» относится к группе «Прочее» и даёт лактонный, сливочный.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46" s="28" t="str">
        <x:v>аллерген; быстро прогоркает после помола; горький миндаль и ядра косточковых не взаимозаменяемы</x:v>
      </x:c>
      <x:c r="W346" s="28" t="str">
        <x:v>соль, ваниль или карамель</x:v>
      </x:c>
      <x:c r="X346" s="28" t="str">
        <x:v>пралине, паста, выпечка, гарнир, соус, молочный или коктейльный компонент с кокос</x:v>
      </x:c>
      <x:c r="Y346" s="28" t="str">
        <x:v>десерты</x:v>
      </x:c>
      <x:c r="Z346" s="28" t="str">
        <x:v>Высокая</x:v>
      </x:c>
      <x:c r="AA346" s="28" t="str">
        <x:v>The Art &amp; Science of Foodpairing.pdf | Тезариус вкусов (Ники Сегнит)(1).pdf</x:v>
      </x:c>
      <x:c r="AB346" s="28" t="str">
        <x:v>The Art &amp; Science of Foodpairing.pdf: 134, 135; Тезариус вкусов (Ники Сегнит)(1).pdf: 644, 759</x:v>
      </x:c>
      <x:c r="AC346" s="28" t="str">
        <x:v>Пара встречается как grid, thesaurus; научное объяснение сформировано по ароматическому профилю и пищевой матрице.</x:v>
      </x:c>
      <x:c r="AD346" s="28" t="n">
        <x:v>2</x:v>
      </x:c>
      <x:c r="AE346" s="28" t="n">
        <x:v>4</x:v>
      </x:c>
      <x:c r="AF346" s="28" t="n">
        <x:f>IF(Z346="Высокая",3,IF(Z346="Средняя",2,1))+AD346*2+MIN(AE346,3)</x:f>
        <x:v>10</x:v>
      </x:c>
    </x:row>
    <x:row r="347" ht="62" customHeight="1">
      <x:c r="A347" s="28" t="str">
        <x:v>NCT-0346</x:v>
      </x:c>
      <x:c r="B347" s="28" t="str">
        <x:v>миндаль</x:v>
      </x:c>
      <x:c r="C347" s="28" t="str">
        <x:v>Универсальные</x:v>
      </x:c>
      <x:c r="D347" s="28" t="str">
        <x:v>миндаль</x:v>
      </x:c>
      <x:c r="E347" s="28" t="str">
        <x:v>Миндаль | миндаль</x:v>
      </x:c>
      <x:c r="F347" s="28" t="str">
        <x:v>Орехи и семена</x:v>
      </x:c>
      <x:c r="G347" s="28" t="str">
        <x:v>корица</x:v>
      </x:c>
      <x:c r="H347" s="28" t="str">
        <x:v>Корица | корица</x:v>
      </x:c>
      <x:c r="I347" s="28" t="str">
        <x:v>Специи</x:v>
      </x:c>
      <x:c r="J347" s="28" t="str">
        <x:v>ореховый, сладкий, марципановый, слегка зелёный; после обжарки — карамельный и жареный</x:v>
      </x:c>
      <x:c r="K347" s="28" t="str">
        <x:v>древесный, пряный</x:v>
      </x:c>
      <x:c r="L347" s="28" t="str">
        <x:v>бензальдегид, пиразины, фураны, гексаналь</x:v>
      </x:c>
      <x:c r="M347" s="28" t="str">
        <x:v>циннамальдегид, эвгенол</x:v>
      </x:c>
      <x:c r="N347" s="28" t="str">
        <x:v>прямое пересечение семейств не является единственным объяснением</x:v>
      </x:c>
      <x:c r="O347" s="28" t="str">
        <x:v>надежная общая ключевая молекула не подтверждена</x:v>
      </x:c>
      <x:c r="P347" s="28" t="str">
        <x:v>сенсорная комплементарность</x:v>
      </x:c>
      <x:c r="Q34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47" s="28" t="str">
        <x:v>минимальный</x:v>
      </x:c>
      <x:c r="S347" s="28" t="str">
        <x:v>жирная белково-клетчаточная матрица; гидрофобные ароматические вещества хорошо удерживаются липидами</x:v>
      </x:c>
      <x:c r="T34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47" s="28" t="str">
        <x:v>Миндаль имеет профиль «ореховый, сладкий, марципановый, слегка зелёный; после обжарки — карамельный и жареный». Партнёр «корица» относится к группе «Специи» и даёт древесный, пряный.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47" s="28" t="str">
        <x:v>аллерген; быстро прогоркает после помола; горький миндаль и ядра косточковых не взаимозаменяемы</x:v>
      </x:c>
      <x:c r="W347" s="28" t="str">
        <x:v>ваниль, апельсин или мёд</x:v>
      </x:c>
      <x:c r="X347" s="28" t="str">
        <x:v>пралине, паста, выпечка, гарнир, соус, молочный или коктейльный компонент с корица</x:v>
      </x:c>
      <x:c r="Y347" s="28" t="str">
        <x:v>десерты</x:v>
      </x:c>
      <x:c r="Z347" s="28" t="str">
        <x:v>Высокая</x:v>
      </x:c>
      <x:c r="AA347" s="28" t="str">
        <x:v>Таблица сочетания(1).pdf | Тезариус вкусов (Ники Сегнит)(1).pdf</x:v>
      </x:c>
      <x:c r="AB347" s="28" t="str">
        <x:v>Таблица сочетания(1).pdf: 1, 5; Тезариус вкусов (Ники Сегнит)(1).pdf: 577</x:v>
      </x:c>
      <x:c r="AC347" s="28" t="str">
        <x:v>Пара встречается как table, thesaurus; научное объяснение сформировано по ароматическому профилю и пищевой матрице.</x:v>
      </x:c>
      <x:c r="AD347" s="28" t="n">
        <x:v>2</x:v>
      </x:c>
      <x:c r="AE347" s="28" t="n">
        <x:v>3</x:v>
      </x:c>
      <x:c r="AF347" s="28" t="n">
        <x:f>IF(Z347="Высокая",3,IF(Z347="Средняя",2,1))+AD347*2+MIN(AE347,3)</x:f>
        <x:v>10</x:v>
      </x:c>
    </x:row>
    <x:row r="348" ht="62" customHeight="1">
      <x:c r="A348" s="28" t="str">
        <x:v>NCT-0347</x:v>
      </x:c>
      <x:c r="B348" s="28" t="str">
        <x:v>миндаль</x:v>
      </x:c>
      <x:c r="C348" s="28" t="str">
        <x:v>Напитки</x:v>
      </x:c>
      <x:c r="D348" s="28" t="str">
        <x:v>миндаль</x:v>
      </x:c>
      <x:c r="E348" s="28" t="str">
        <x:v>almond | almond drink | Миндаль | миндаль</x:v>
      </x:c>
      <x:c r="F348" s="28" t="str">
        <x:v>Орехи и семена</x:v>
      </x:c>
      <x:c r="G348" s="28" t="str">
        <x:v>кофе</x:v>
      </x:c>
      <x:c r="H348" s="28" t="str">
        <x:v>coffee | Кофе | кофе</x:v>
      </x:c>
      <x:c r="I348" s="28" t="str">
        <x:v>Кофе</x:v>
      </x:c>
      <x:c r="J348" s="28" t="str">
        <x:v>ореховый, сладкий, марципановый, слегка зелёный; после обжарки — карамельный и жареный</x:v>
      </x:c>
      <x:c r="K348" s="28" t="str">
        <x:v>жареный, ореховый, карамельный, цветочный, фруктовый, фенольный и древесный</x:v>
      </x:c>
      <x:c r="L348" s="28" t="str">
        <x:v>бензальдегид, пиразины, фураны, гексаналь</x:v>
      </x:c>
      <x:c r="M348" s="28" t="str">
        <x:v>2-фурфурилтиол, гваякол, диацетил, пиразины, фураны</x:v>
      </x:c>
      <x:c r="N348" s="28" t="str">
        <x:v>жареный, ореховый</x:v>
      </x:c>
      <x:c r="O348" s="28" t="str">
        <x:v>пиразины, фураны</x:v>
      </x:c>
      <x:c r="P348" s="28" t="str">
        <x:v>общие ароматические соединения, пересечение ароматических семейств, жареная химия и реакции Майяра</x:v>
      </x:c>
      <x:c r="Q34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48" s="28" t="str">
        <x:v>минимальный</x:v>
      </x:c>
      <x:c r="S348" s="28" t="str">
        <x:v>жирная белково-клетчаточная матрица; гидрофобные ароматические вещества хорошо удерживаются липидами</x:v>
      </x:c>
      <x:c r="T34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48" s="28" t="str">
        <x:v>Миндаль имеет профиль «ореховый, сладкий, марципановый, слегка зелёный; после обжарки — карамельный и жареный».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ореховый; пиразины, фураны.</x:v>
      </x:c>
      <x:c r="V348" s="28" t="str">
        <x:v>аллерген; быстро прогоркает после помола; горький миндаль и ядра косточковых не взаимозаменяемы</x:v>
      </x:c>
      <x:c r="W348" s="28" t="str">
        <x:v>соль, ваниль или карамель</x:v>
      </x:c>
      <x:c r="X348" s="28" t="str">
        <x:v>пралине, паста, выпечка, гарнир, соус, молочный или коктейльный компонент с кофе</x:v>
      </x:c>
      <x:c r="Y348" s="28" t="str">
        <x:v>напитки, десерты</x:v>
      </x:c>
      <x:c r="Z348" s="28" t="str">
        <x:v>Высокая</x:v>
      </x:c>
      <x:c r="AA348" s="28" t="str">
        <x:v>The Art &amp; Science of Foodpairing.pdf | Таблица сочетания(1).pdf | Тезариус вкусов (Ники Сегнит)(1).pdf</x:v>
      </x:c>
      <x:c r="AB348" s="28" t="str">
        <x:v>The Art &amp; Science of Foodpairing.pdf: 297; Таблица сочетания(1).pdf: 1, 6; Тезариус вкусов (Ники Сегнит)(1).pdf: 47, 645</x:v>
      </x:c>
      <x:c r="AC348" s="28" t="str">
        <x:v>Пара встречается как grid, table, thesaurus; научное объяснение сформировано по ароматическому профилю и пищевой матрице.</x:v>
      </x:c>
      <x:c r="AD348" s="28" t="n">
        <x:v>3</x:v>
      </x:c>
      <x:c r="AE348" s="28" t="n">
        <x:v>6</x:v>
      </x:c>
      <x:c r="AF348" s="28" t="n">
        <x:f>IF(Z348="Высокая",3,IF(Z348="Средняя",2,1))+AD348*2+MIN(AE348,3)</x:f>
        <x:v>12</x:v>
      </x:c>
    </x:row>
    <x:row r="349" ht="62" customHeight="1">
      <x:c r="A349" s="28" t="str">
        <x:v>NCT-0348</x:v>
      </x:c>
      <x:c r="B349" s="28" t="str">
        <x:v>миндаль</x:v>
      </x:c>
      <x:c r="C349" s="28" t="str">
        <x:v>Десерты и выпечка</x:v>
      </x:c>
      <x:c r="D349" s="28" t="str">
        <x:v>миндаль</x:v>
      </x:c>
      <x:c r="E349" s="28" t="str">
        <x:v>миндаль</x:v>
      </x:c>
      <x:c r="F349" s="28" t="str">
        <x:v>Орехи и семена</x:v>
      </x:c>
      <x:c r="G349" s="28" t="str">
        <x:v>красный апельсин</x:v>
      </x:c>
      <x:c r="H349" s="28" t="str">
        <x:v>Красный апельсин</x:v>
      </x:c>
      <x:c r="I349" s="28" t="str">
        <x:v>Фрукты и ягоды</x:v>
      </x:c>
      <x:c r="J349" s="28" t="str">
        <x:v>ореховый, сладкий, марципановый, слегка зелёный; после обжарки — карамельный и жареный</x:v>
      </x:c>
      <x:c r="K349" s="28" t="str">
        <x:v>сладкий, цитрусовый</x:v>
      </x:c>
      <x:c r="L349" s="28" t="str">
        <x:v>бензальдегид, пиразины, фураны, гексаналь</x:v>
      </x:c>
      <x:c r="M349" s="28" t="str">
        <x:v>лимонен, линалоол</x:v>
      </x:c>
      <x:c r="N349" s="28" t="str">
        <x:v>прямое пересечение семейств не является единственным объяснением</x:v>
      </x:c>
      <x:c r="O349" s="28" t="str">
        <x:v>надежная общая ключевая молекула не подтверждена</x:v>
      </x:c>
      <x:c r="P349" s="28" t="str">
        <x:v>контраст кислоты и жирной/горькой матрицы</x:v>
      </x:c>
      <x:c r="Q34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49" s="28" t="str">
        <x:v>минимальный</x:v>
      </x:c>
      <x:c r="S349" s="28" t="str">
        <x:v>жирная белково-клетчаточная матрица; гидрофобные ароматические вещества хорошо удерживаются липидами Водная фруктовая фаза требует эмульсии или мелкого измельчения, если орех или шоколад вводится как паста.</x:v>
      </x:c>
      <x:c r="T34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49" s="28" t="str">
        <x:v>Миндаль имеет профиль «ореховый, сладкий, марципановый, слегка зелёный; после обжарки — карамельный и жареный». Партнёр «красный 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49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W349" s="28" t="str">
        <x:v>ваниль, цитрус или молочный жир</x:v>
      </x:c>
      <x:c r="X349" s="28" t="str">
        <x:v>пралине, паста, выпечка, гарнир, соус, молочный или коктейльный компонент с красный апельсин</x:v>
      </x:c>
      <x:c r="Y349" s="28" t="str">
        <x:v>десерты</x:v>
      </x:c>
      <x:c r="Z349" s="28" t="str">
        <x:v>Гипотеза / практическая</x:v>
      </x:c>
      <x:c r="AA349" s="28" t="str">
        <x:v>Таблица сочетания(1).pdf</x:v>
      </x:c>
      <x:c r="AB349" s="28" t="str">
        <x:v>Таблица сочетания(1).pdf: 3</x:v>
      </x:c>
      <x:c r="AC349" s="28" t="str">
        <x:v>Пара встречается как table; научное объяснение сформировано по ароматическому профилю и пищевой матрице.</x:v>
      </x:c>
      <x:c r="AD349" s="28" t="n">
        <x:v>1</x:v>
      </x:c>
      <x:c r="AE349" s="28" t="n">
        <x:v>1</x:v>
      </x:c>
      <x:c r="AF349" s="28" t="n">
        <x:f>IF(Z349="Высокая",3,IF(Z349="Средняя",2,1))+AD349*2+MIN(AE349,3)</x:f>
        <x:v>4</x:v>
      </x:c>
    </x:row>
    <x:row r="350" ht="62" customHeight="1">
      <x:c r="A350" s="28" t="str">
        <x:v>NCT-0349</x:v>
      </x:c>
      <x:c r="B350" s="28" t="str">
        <x:v>миндаль</x:v>
      </x:c>
      <x:c r="C350" s="28" t="str">
        <x:v>Десерты и выпечка</x:v>
      </x:c>
      <x:c r="D350" s="28" t="str">
        <x:v>миндаль</x:v>
      </x:c>
      <x:c r="E350" s="28" t="str">
        <x:v>Миндаль | миндаль</x:v>
      </x:c>
      <x:c r="F350" s="28" t="str">
        <x:v>Орехи и семена</x:v>
      </x:c>
      <x:c r="G350" s="28" t="str">
        <x:v>лимон</x:v>
      </x:c>
      <x:c r="H350" s="28" t="str">
        <x:v>Лимон | лимон</x:v>
      </x:c>
      <x:c r="I350" s="28" t="str">
        <x:v>Фрукты и ягоды</x:v>
      </x:c>
      <x:c r="J350" s="28" t="str">
        <x:v>ореховый, сладкий, марципановый, слегка зелёный; после обжарки — карамельный и жареный</x:v>
      </x:c>
      <x:c r="K350" s="28" t="str">
        <x:v>кислый, цитрусовый</x:v>
      </x:c>
      <x:c r="L350" s="28" t="str">
        <x:v>бензальдегид, пиразины, фураны, гексаналь</x:v>
      </x:c>
      <x:c r="M350" s="28" t="str">
        <x:v>лимонен, цитраль</x:v>
      </x:c>
      <x:c r="N350" s="28" t="str">
        <x:v>прямое пересечение семейств не является единственным объяснением</x:v>
      </x:c>
      <x:c r="O350" s="28" t="str">
        <x:v>надежная общая ключевая молекула не подтверждена</x:v>
      </x:c>
      <x:c r="P350" s="28" t="str">
        <x:v>контраст кислоты и жирной/горькой матрицы</x:v>
      </x:c>
      <x:c r="Q35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50" s="28" t="str">
        <x:v>минимальный</x:v>
      </x:c>
      <x:c r="S350" s="28" t="str">
        <x:v>жирная белково-клетчаточная матрица; гидрофобные ароматические вещества хорошо удерживаются липидами Водная фруктовая фаза требует эмульсии или мелкого измельчения, если орех или шоколад вводится как паста.</x:v>
      </x:c>
      <x:c r="T35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50" s="28" t="str">
        <x:v>Миндаль имеет профиль «ореховый, сладкий, марципановый, слегка зелёный; после обжарки — карамельный и жареный».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50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W350" s="28" t="str">
        <x:v>ваниль, цитрус или молочный жир</x:v>
      </x:c>
      <x:c r="X350" s="28" t="str">
        <x:v>пралине, паста, выпечка, гарнир, соус, молочный или коктейльный компонент с лимон</x:v>
      </x:c>
      <x:c r="Y350" s="28" t="str">
        <x:v>десерты</x:v>
      </x:c>
      <x:c r="Z350" s="28" t="str">
        <x:v>Высокая</x:v>
      </x:c>
      <x:c r="AA350" s="28" t="str">
        <x:v>Таблица сочетания(1).pdf | Тезариус вкусов (Ники Сегнит)(1).pdf</x:v>
      </x:c>
      <x:c r="AB350" s="28" t="str">
        <x:v>Таблица сочетания(1).pdf: 11; Тезариус вкусов (Ники Сегнит)(1).pdf: 645, 805</x:v>
      </x:c>
      <x:c r="AC350" s="28" t="str">
        <x:v>Пара встречается как table, thesaurus; научное объяснение сформировано по ароматическому профилю и пищевой матрице.</x:v>
      </x:c>
      <x:c r="AD350" s="28" t="n">
        <x:v>2</x:v>
      </x:c>
      <x:c r="AE350" s="28" t="n">
        <x:v>3</x:v>
      </x:c>
      <x:c r="AF350" s="28" t="n">
        <x:f>IF(Z350="Высокая",3,IF(Z350="Средняя",2,1))+AD350*2+MIN(AE350,3)</x:f>
        <x:v>10</x:v>
      </x:c>
    </x:row>
    <x:row r="351" ht="62" customHeight="1">
      <x:c r="A351" s="28" t="str">
        <x:v>NCT-0350</x:v>
      </x:c>
      <x:c r="B351" s="28" t="str">
        <x:v>миндаль</x:v>
      </x:c>
      <x:c r="C351" s="28" t="str">
        <x:v>Универсальные</x:v>
      </x:c>
      <x:c r="D351" s="28" t="str">
        <x:v>миндаль</x:v>
      </x:c>
      <x:c r="E351" s="28" t="str">
        <x:v>Миндаль</x:v>
      </x:c>
      <x:c r="F351" s="28" t="str">
        <x:v>Орехи и семена</x:v>
      </x:c>
      <x:c r="G351" s="28" t="str">
        <x:v>листья кассии</x:v>
      </x:c>
      <x:c r="H351" s="28" t="str">
        <x:v>листья кассии</x:v>
      </x:c>
      <x:c r="I351" s="28" t="str">
        <x:v>Прочее</x:v>
      </x:c>
      <x:c r="J351" s="28" t="str">
        <x:v>ореховый, сладкий, марципановый, слегка зелёный; после обжарки — карамельный и жареный</x:v>
      </x:c>
      <x:c r="K351" s="28" t="str">
        <x:v>профиль зависит от конкретного продукта</x:v>
      </x:c>
      <x:c r="L351" s="28" t="str">
        <x:v>бензальдегид, пиразины, фураны, гексаналь</x:v>
      </x:c>
      <x:c r="M351" s="28" t="str">
        <x:v>характерный профиль зависит от конкретного продукта</x:v>
      </x:c>
      <x:c r="N351" s="28" t="str">
        <x:v>прямое пересечение семейств не является единственным объяснением</x:v>
      </x:c>
      <x:c r="O351" s="28" t="str">
        <x:v>надежная общая ключевая молекула не подтверждена</x:v>
      </x:c>
      <x:c r="P351" s="28" t="str">
        <x:v>сенсорная комплементарность</x:v>
      </x:c>
      <x:c r="Q35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51" s="28" t="str">
        <x:v>минимальный</x:v>
      </x:c>
      <x:c r="S351" s="28" t="str">
        <x:v>жирная белково-клетчаточная матрица; гидрофобные ароматические вещества хорошо удерживаются липидами</x:v>
      </x:c>
      <x:c r="T35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51" s="28" t="str">
        <x:v>Миндаль имеет профиль «ореховый, сладкий, марципановый, слегка зелёный; после обжарки — карамельный и жареный». Партнёр «листья кассии»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51" s="28" t="str">
        <x:v>аллерген; быстро прогоркает после помола; горький миндаль и ядра косточковых не взаимозаменяемы</x:v>
      </x:c>
      <x:c r="W351" s="28" t="str">
        <x:v>соль, ваниль или карамель</x:v>
      </x:c>
      <x:c r="X351" s="28" t="str">
        <x:v>пралине, паста, выпечка, гарнир, соус, молочный или коктейльный компонент с листья кассии</x:v>
      </x:c>
      <x:c r="Y351" s="28" t="str">
        <x:v>десерты</x:v>
      </x:c>
      <x:c r="Z351" s="28" t="str">
        <x:v>Гипотеза / практическая</x:v>
      </x:c>
      <x:c r="AA351" s="28" t="str">
        <x:v>Таблица сочетания(1).pdf</x:v>
      </x:c>
      <x:c r="AB351" s="28" t="str">
        <x:v>Таблица сочетания(1).pdf: 1</x:v>
      </x:c>
      <x:c r="AC351" s="28" t="str">
        <x:v>Пара встречается как table; научное объяснение сформировано по ароматическому профилю и пищевой матрице.</x:v>
      </x:c>
      <x:c r="AD351" s="28" t="n">
        <x:v>1</x:v>
      </x:c>
      <x:c r="AE351" s="28" t="n">
        <x:v>1</x:v>
      </x:c>
      <x:c r="AF351" s="28" t="n">
        <x:f>IF(Z351="Высокая",3,IF(Z351="Средняя",2,1))+AD351*2+MIN(AE351,3)</x:f>
        <x:v>4</x:v>
      </x:c>
    </x:row>
    <x:row r="352" ht="62" customHeight="1">
      <x:c r="A352" s="28" t="str">
        <x:v>NCT-0351</x:v>
      </x:c>
      <x:c r="B352" s="28" t="str">
        <x:v>миндаль</x:v>
      </x:c>
      <x:c r="C352" s="28" t="str">
        <x:v>Универсальные</x:v>
      </x:c>
      <x:c r="D352" s="28" t="str">
        <x:v>миндаль</x:v>
      </x:c>
      <x:c r="E352" s="28" t="str">
        <x:v>Миндаль | миндаль</x:v>
      </x:c>
      <x:c r="F352" s="28" t="str">
        <x:v>Орехи и семена</x:v>
      </x:c>
      <x:c r="G352" s="28" t="str">
        <x:v>малина</x:v>
      </x:c>
      <x:c r="H352" s="28" t="str">
        <x:v>Малина | малина</x:v>
      </x:c>
      <x:c r="I352" s="28" t="str">
        <x:v>Прочее</x:v>
      </x:c>
      <x:c r="J352" s="28" t="str">
        <x:v>ореховый, сладкий, марципановый, слегка зелёный; после обжарки — карамельный и жареный</x:v>
      </x:c>
      <x:c r="K352" s="28" t="str">
        <x:v>цветочный, ягодный</x:v>
      </x:c>
      <x:c r="L352" s="28" t="str">
        <x:v>бензальдегид, пиразины, фураны, гексаналь</x:v>
      </x:c>
      <x:c r="M352" s="28" t="str">
        <x:v>иононы, малиновый кетон</x:v>
      </x:c>
      <x:c r="N352" s="28" t="str">
        <x:v>прямое пересечение семейств не является единственным объяснением</x:v>
      </x:c>
      <x:c r="O352" s="28" t="str">
        <x:v>надежная общая ключевая молекула не подтверждена</x:v>
      </x:c>
      <x:c r="P352" s="28" t="str">
        <x:v>сенсорная комплементарность</x:v>
      </x:c>
      <x:c r="Q35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52" s="28" t="str">
        <x:v>минимальный</x:v>
      </x:c>
      <x:c r="S352" s="28" t="str">
        <x:v>жирная белково-клетчаточная матрица; гидрофобные ароматические вещества хорошо удерживаются липидами</x:v>
      </x:c>
      <x:c r="T35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52" s="28" t="str">
        <x:v>Миндаль имеет профиль «ореховый, сладкий, марципановый, слегка зелёный; после обжарки — карамельный и жареный». Партнёр «малина» относится к группе «Прочее» и даёт цветочный, ягодный.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52" s="28" t="str">
        <x:v>аллерген; быстро прогоркает после помола; горький миндаль и ядра косточковых не взаимозаменяемы</x:v>
      </x:c>
      <x:c r="W352" s="28" t="str">
        <x:v>соль, ваниль или карамель</x:v>
      </x:c>
      <x:c r="X352" s="28" t="str">
        <x:v>пралине, паста, выпечка, гарнир, соус, молочный или коктейльный компонент с малина</x:v>
      </x:c>
      <x:c r="Y352" s="28" t="str">
        <x:v>десерты</x:v>
      </x:c>
      <x:c r="Z352" s="28" t="str">
        <x:v>Средняя</x:v>
      </x:c>
      <x:c r="AA352" s="28" t="str">
        <x:v>Тезариус вкусов (Ники Сегнит)(1).pdf</x:v>
      </x:c>
      <x:c r="AB352" s="28" t="str">
        <x:v>Тезариус вкусов (Ники Сегнит)(1).pdf: 646, 887</x:v>
      </x:c>
      <x:c r="AC352" s="28" t="str">
        <x:v>Пара встречается как thesaurus; научное объяснение сформировано по ароматическому профилю и пищевой матрице.</x:v>
      </x:c>
      <x:c r="AD352" s="28" t="n">
        <x:v>1</x:v>
      </x:c>
      <x:c r="AE352" s="28" t="n">
        <x:v>2</x:v>
      </x:c>
      <x:c r="AF352" s="28" t="n">
        <x:f>IF(Z352="Высокая",3,IF(Z352="Средняя",2,1))+AD352*2+MIN(AE352,3)</x:f>
        <x:v>6</x:v>
      </x:c>
    </x:row>
    <x:row r="353" ht="62" customHeight="1">
      <x:c r="A353" s="28" t="str">
        <x:v>NCT-0352</x:v>
      </x:c>
      <x:c r="B353" s="28" t="str">
        <x:v>миндаль</x:v>
      </x:c>
      <x:c r="C353" s="28" t="str">
        <x:v>Универсальные</x:v>
      </x:c>
      <x:c r="D353" s="28" t="str">
        <x:v>миндаль</x:v>
      </x:c>
      <x:c r="E353" s="28" t="str">
        <x:v>Миндаль | миндаль</x:v>
      </x:c>
      <x:c r="F353" s="28" t="str">
        <x:v>Орехи и семена</x:v>
      </x:c>
      <x:c r="G353" s="28" t="str">
        <x:v>моллюски</x:v>
      </x:c>
      <x:c r="H353" s="28" t="str">
        <x:v>Моллюски | моллюски</x:v>
      </x:c>
      <x:c r="I353" s="28" t="str">
        <x:v>Прочее</x:v>
      </x:c>
      <x:c r="J353" s="28" t="str">
        <x:v>ореховый, сладкий, марципановый, слегка зелёный; после обжарки — карамельный и жареный</x:v>
      </x:c>
      <x:c r="K353" s="28" t="str">
        <x:v>профиль зависит от конкретного продукта</x:v>
      </x:c>
      <x:c r="L353" s="28" t="str">
        <x:v>бензальдегид, пиразины, фураны, гексаналь</x:v>
      </x:c>
      <x:c r="M353" s="28" t="str">
        <x:v>характерный профиль зависит от конкретного продукта</x:v>
      </x:c>
      <x:c r="N353" s="28" t="str">
        <x:v>прямое пересечение семейств не является единственным объяснением</x:v>
      </x:c>
      <x:c r="O353" s="28" t="str">
        <x:v>надежная общая ключевая молекула не подтверждена</x:v>
      </x:c>
      <x:c r="P353" s="28" t="str">
        <x:v>сенсорная комплементарность</x:v>
      </x:c>
      <x:c r="Q35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53" s="28" t="str">
        <x:v>минимальный</x:v>
      </x:c>
      <x:c r="S353" s="28" t="str">
        <x:v>жирная белково-клетчаточная матрица; гидрофобные ароматические вещества хорошо удерживаются липидами</x:v>
      </x:c>
      <x:c r="T35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53" s="28" t="str">
        <x:v>Миндаль имеет профиль «ореховый, сладкий, марципановый, слегка зелёный; после обжарки — карамельный и жареный». Партнёр «моллюски»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53" s="28" t="str">
        <x:v>аллерген; быстро прогоркает после помола; горький миндаль и ядра косточковых не взаимозаменяемы</x:v>
      </x:c>
      <x:c r="W353" s="28" t="str">
        <x:v>соль, ваниль или карамель</x:v>
      </x:c>
      <x:c r="X353" s="28" t="str">
        <x:v>пралине, паста, выпечка, гарнир, соус, молочный или коктейльный компонент с моллюски</x:v>
      </x:c>
      <x:c r="Y353" s="28" t="str">
        <x:v>десерты</x:v>
      </x:c>
      <x:c r="Z353" s="28" t="str">
        <x:v>Средняя</x:v>
      </x:c>
      <x:c r="AA353" s="28" t="str">
        <x:v>Тезариус вкусов (Ники Сегнит)(1).pdf</x:v>
      </x:c>
      <x:c r="AB353" s="28" t="str">
        <x:v>Тезариус вкусов (Ники Сегнит)(1).pdf: 373, 646</x:v>
      </x:c>
      <x:c r="AC353" s="28" t="str">
        <x:v>Пара встречается как thesaurus; научное объяснение сформировано по ароматическому профилю и пищевой матрице.</x:v>
      </x:c>
      <x:c r="AD353" s="28" t="n">
        <x:v>1</x:v>
      </x:c>
      <x:c r="AE353" s="28" t="n">
        <x:v>2</x:v>
      </x:c>
      <x:c r="AF353" s="28" t="n">
        <x:f>IF(Z353="Высокая",3,IF(Z353="Средняя",2,1))+AD353*2+MIN(AE353,3)</x:f>
        <x:v>6</x:v>
      </x:c>
    </x:row>
    <x:row r="354" ht="62" customHeight="1">
      <x:c r="A354" s="28" t="str">
        <x:v>NCT-0353</x:v>
      </x:c>
      <x:c r="B354" s="28" t="str">
        <x:v>миндаль</x:v>
      </x:c>
      <x:c r="C354" s="28" t="str">
        <x:v>Десерты и выпечка</x:v>
      </x:c>
      <x:c r="D354" s="28" t="str">
        <x:v>миндаль</x:v>
      </x:c>
      <x:c r="E354" s="28" t="str">
        <x:v>Миндаль</x:v>
      </x:c>
      <x:c r="F354" s="28" t="str">
        <x:v>Орехи и семена</x:v>
      </x:c>
      <x:c r="G354" s="28" t="str">
        <x:v>мускатный орех</x:v>
      </x:c>
      <x:c r="H354" s="28" t="str">
        <x:v>мускатный орех</x:v>
      </x:c>
      <x:c r="I354" s="28" t="str">
        <x:v>Орехи и семена</x:v>
      </x:c>
      <x:c r="J354" s="28" t="str">
        <x:v>ореховый, сладкий, марципановый, слегка зелёный; после обжарки — карамельный и жареный</x:v>
      </x:c>
      <x:c r="K354" s="28" t="str">
        <x:v>камфорный, ореховый, пряный</x:v>
      </x:c>
      <x:c r="L354" s="28" t="str">
        <x:v>бензальдегид, пиразины, фураны, гексаналь</x:v>
      </x:c>
      <x:c r="M354" s="28" t="str">
        <x:v>пинены, сабинен</x:v>
      </x:c>
      <x:c r="N354" s="28" t="str">
        <x:v>ореховый</x:v>
      </x:c>
      <x:c r="O354" s="28" t="str">
        <x:v>надежная общая ключевая молекула не подтверждена</x:v>
      </x:c>
      <x:c r="P354" s="28" t="str">
        <x:v>пересечение ароматических семейств, жареная химия и реакции Майяра</x:v>
      </x:c>
      <x:c r="Q35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54" s="28" t="str">
        <x:v>минимальный</x:v>
      </x:c>
      <x:c r="S354" s="28" t="str">
        <x:v>жирная белково-клетчаточная матрица; гидрофобные ароматические вещества хорошо удерживаются липидами</x:v>
      </x:c>
      <x:c r="T35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54" s="28" t="str">
        <x:v>Миндаль имеет профиль «ореховый, сладкий, марципановый, слегка зелёный; после обжарки — карамельный и жареный».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механизм не следует сводить к одной общей молекуле.</x:v>
      </x:c>
      <x:c r="V354" s="28" t="str">
        <x:v>аллерген; быстро прогоркает после помола; горький миндаль и ядра косточковых не взаимозаменяемы</x:v>
      </x:c>
      <x:c r="W354" s="28" t="str">
        <x:v>соль, ваниль или карамель</x:v>
      </x:c>
      <x:c r="X354" s="28" t="str">
        <x:v>пралине, паста, выпечка, гарнир, соус, молочный или коктейльный компонент с мускатный орех</x:v>
      </x:c>
      <x:c r="Y354" s="28" t="str">
        <x:v>десерты</x:v>
      </x:c>
      <x:c r="Z354" s="28" t="str">
        <x:v>Гипотеза / практическая</x:v>
      </x:c>
      <x:c r="AA354" s="28" t="str">
        <x:v>Таблица сочетания(1).pdf</x:v>
      </x:c>
      <x:c r="AB354" s="28" t="str">
        <x:v>Таблица сочетания(1).pdf: 1</x:v>
      </x:c>
      <x:c r="AC354" s="28" t="str">
        <x:v>Пара встречается как table; научное объяснение сформировано по ароматическому профилю и пищевой матрице.</x:v>
      </x:c>
      <x:c r="AD354" s="28" t="n">
        <x:v>1</x:v>
      </x:c>
      <x:c r="AE354" s="28" t="n">
        <x:v>1</x:v>
      </x:c>
      <x:c r="AF354" s="28" t="n">
        <x:f>IF(Z354="Высокая",3,IF(Z354="Средняя",2,1))+AD354*2+MIN(AE354,3)</x:f>
        <x:v>4</x:v>
      </x:c>
    </x:row>
    <x:row r="355" ht="62" customHeight="1">
      <x:c r="A355" s="28" t="str">
        <x:v>NCT-0354</x:v>
      </x:c>
      <x:c r="B355" s="28" t="str">
        <x:v>миндаль</x:v>
      </x:c>
      <x:c r="C355" s="28" t="str">
        <x:v>Десерты и выпечка</x:v>
      </x:c>
      <x:c r="D355" s="28" t="str">
        <x:v>миндаль</x:v>
      </x:c>
      <x:c r="E355" s="28" t="str">
        <x:v>Миндаль</x:v>
      </x:c>
      <x:c r="F355" s="28" t="str">
        <x:v>Орехи и семена</x:v>
      </x:c>
      <x:c r="G355" s="28" t="str">
        <x:v>мёд</x:v>
      </x:c>
      <x:c r="H355" s="28" t="str">
        <x:v>мёд</x:v>
      </x:c>
      <x:c r="I355" s="28" t="str">
        <x:v>Выпечка, сахара и десерты</x:v>
      </x:c>
      <x:c r="J355" s="28" t="str">
        <x:v>ореховый, сладкий, марципановый, слегка зелёный; после обжарки — карамельный и жареный</x:v>
      </x:c>
      <x:c r="K355" s="28" t="str">
        <x:v>медовый, цветочный</x:v>
      </x:c>
      <x:c r="L355" s="28" t="str">
        <x:v>бензальдегид, пиразины, фураны, гексаналь</x:v>
      </x:c>
      <x:c r="M355" s="28" t="str">
        <x:v>норизопреноиды, фенилуксусная кислота</x:v>
      </x:c>
      <x:c r="N355" s="28" t="str">
        <x:v>прямое пересечение семейств не является единственным объяснением</x:v>
      </x:c>
      <x:c r="O355" s="28" t="str">
        <x:v>надежная общая ключевая молекула не подтверждена</x:v>
      </x:c>
      <x:c r="P355" s="28" t="str">
        <x:v>жареная химия и реакции Майяра</x:v>
      </x:c>
      <x:c r="Q35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55" s="28" t="str">
        <x:v>минимальный</x:v>
      </x:c>
      <x:c r="S355" s="28" t="str">
        <x:v>жирная белково-клетчаточная матрица; гидрофобные ароматические вещества хорошо удерживаются липидами</x:v>
      </x:c>
      <x:c r="T35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55" s="28" t="str">
        <x:v>Миндаль имеет профиль «ореховый, сладкий, марципановый, слегка зелёный; после обжарки — карамельный и жареный». Партнёр «мёд» относится к группе «Выпечка, сахара и десерты» и даёт медовый, цветочный.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55" s="28" t="str">
        <x:v>аллерген; быстро прогоркает после помола; горький миндаль и ядра косточковых не взаимозаменяемы</x:v>
      </x:c>
      <x:c r="W355" s="28" t="str">
        <x:v>соль, ваниль или карамель</x:v>
      </x:c>
      <x:c r="X355" s="28" t="str">
        <x:v>пралине, паста, выпечка, гарнир, соус, молочный или коктейльный компонент с мёд</x:v>
      </x:c>
      <x:c r="Y355" s="28" t="str">
        <x:v>десерты</x:v>
      </x:c>
      <x:c r="Z355" s="28" t="str">
        <x:v>Гипотеза / практическая</x:v>
      </x:c>
      <x:c r="AA355" s="28" t="str">
        <x:v>Таблица сочетания(1).pdf</x:v>
      </x:c>
      <x:c r="AB355" s="28" t="str">
        <x:v>Таблица сочетания(1).pdf: 1</x:v>
      </x:c>
      <x:c r="AC355" s="28" t="str">
        <x:v>Пара встречается как table; научное объяснение сформировано по ароматическому профилю и пищевой матрице.</x:v>
      </x:c>
      <x:c r="AD355" s="28" t="n">
        <x:v>1</x:v>
      </x:c>
      <x:c r="AE355" s="28" t="n">
        <x:v>1</x:v>
      </x:c>
      <x:c r="AF355" s="28" t="n">
        <x:f>IF(Z355="Высокая",3,IF(Z355="Средняя",2,1))+AD355*2+MIN(AE355,3)</x:f>
        <x:v>4</x:v>
      </x:c>
    </x:row>
    <x:row r="356" ht="62" customHeight="1">
      <x:c r="A356" s="28" t="str">
        <x:v>NCT-0355</x:v>
      </x:c>
      <x:c r="B356" s="28" t="str">
        <x:v>миндаль</x:v>
      </x:c>
      <x:c r="C356" s="28" t="str">
        <x:v>Универсальные</x:v>
      </x:c>
      <x:c r="D356" s="28" t="str">
        <x:v>миндаль</x:v>
      </x:c>
      <x:c r="E356" s="28" t="str">
        <x:v>миндаль</x:v>
      </x:c>
      <x:c r="F356" s="28" t="str">
        <x:v>Орехи и семена</x:v>
      </x:c>
      <x:c r="G356" s="28" t="str">
        <x:v>нектарин</x:v>
      </x:c>
      <x:c r="H356" s="28" t="str">
        <x:v>Нектарин</x:v>
      </x:c>
      <x:c r="I356" s="28" t="str">
        <x:v>Прочее</x:v>
      </x:c>
      <x:c r="J356" s="28" t="str">
        <x:v>ореховый, сладкий, марципановый, слегка зелёный; после обжарки — карамельный и жареный</x:v>
      </x:c>
      <x:c r="K356" s="28" t="str">
        <x:v>профиль зависит от конкретного продукта</x:v>
      </x:c>
      <x:c r="L356" s="28" t="str">
        <x:v>бензальдегид, пиразины, фураны, гексаналь</x:v>
      </x:c>
      <x:c r="M356" s="28" t="str">
        <x:v>характерный профиль зависит от конкретного продукта</x:v>
      </x:c>
      <x:c r="N356" s="28" t="str">
        <x:v>прямое пересечение семейств не является единственным объяснением</x:v>
      </x:c>
      <x:c r="O356" s="28" t="str">
        <x:v>надежная общая ключевая молекула не подтверждена</x:v>
      </x:c>
      <x:c r="P356" s="28" t="str">
        <x:v>сенсорная комплементарность</x:v>
      </x:c>
      <x:c r="Q35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56" s="28" t="str">
        <x:v>минимальный</x:v>
      </x:c>
      <x:c r="S356" s="28" t="str">
        <x:v>жирная белково-клетчаточная матрица; гидрофобные ароматические вещества хорошо удерживаются липидами</x:v>
      </x:c>
      <x:c r="T35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56" s="28" t="str">
        <x:v>Миндаль имеет профиль «ореховый, сладкий, марципановый, слегка зелёный; после обжарки — карамельный и жареный». Партнёр «нектарин»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56" s="28" t="str">
        <x:v>аллерген; быстро прогоркает после помола; горький миндаль и ядра косточковых не взаимозаменяемы</x:v>
      </x:c>
      <x:c r="W356" s="28" t="str">
        <x:v>соль, ваниль или карамель</x:v>
      </x:c>
      <x:c r="X356" s="28" t="str">
        <x:v>пралине, паста, выпечка, гарнир, соус, молочный или коктейльный компонент с нектарин</x:v>
      </x:c>
      <x:c r="Y356" s="28" t="str">
        <x:v>десерты</x:v>
      </x:c>
      <x:c r="Z356" s="28" t="str">
        <x:v>Гипотеза / практическая</x:v>
      </x:c>
      <x:c r="AA356" s="28" t="str">
        <x:v>Таблица сочетания(1).pdf</x:v>
      </x:c>
      <x:c r="AB356" s="28" t="str">
        <x:v>Таблица сочетания(1).pdf: 14</x:v>
      </x:c>
      <x:c r="AC356" s="28" t="str">
        <x:v>Пара встречается как table; научное объяснение сформировано по ароматическому профилю и пищевой матрице.</x:v>
      </x:c>
      <x:c r="AD356" s="28" t="n">
        <x:v>1</x:v>
      </x:c>
      <x:c r="AE356" s="28" t="n">
        <x:v>1</x:v>
      </x:c>
      <x:c r="AF356" s="28" t="n">
        <x:f>IF(Z356="Высокая",3,IF(Z356="Средняя",2,1))+AD356*2+MIN(AE356,3)</x:f>
        <x:v>4</x:v>
      </x:c>
    </x:row>
    <x:row r="357" ht="62" customHeight="1">
      <x:c r="A357" s="28" t="str">
        <x:v>NCT-0356</x:v>
      </x:c>
      <x:c r="B357" s="28" t="str">
        <x:v>миндаль</x:v>
      </x:c>
      <x:c r="C357" s="28" t="str">
        <x:v>Универсальные</x:v>
      </x:c>
      <x:c r="D357" s="28" t="str">
        <x:v>миндаль</x:v>
      </x:c>
      <x:c r="E357" s="28" t="str">
        <x:v>Миндаль | миндаль</x:v>
      </x:c>
      <x:c r="F357" s="28" t="str">
        <x:v>Орехи и семена</x:v>
      </x:c>
      <x:c r="G357" s="28" t="str">
        <x:v>оливки</x:v>
      </x:c>
      <x:c r="H357" s="28" t="str">
        <x:v>Оливки | оливки</x:v>
      </x:c>
      <x:c r="I357" s="28" t="str">
        <x:v>Прочее</x:v>
      </x:c>
      <x:c r="J357" s="28" t="str">
        <x:v>ореховый, сладкий, марципановый, слегка зелёный; после обжарки — карамельный и жареный</x:v>
      </x:c>
      <x:c r="K357" s="28" t="str">
        <x:v>профиль зависит от конкретного продукта</x:v>
      </x:c>
      <x:c r="L357" s="28" t="str">
        <x:v>бензальдегид, пиразины, фураны, гексаналь</x:v>
      </x:c>
      <x:c r="M357" s="28" t="str">
        <x:v>характерный профиль зависит от конкретного продукта</x:v>
      </x:c>
      <x:c r="N357" s="28" t="str">
        <x:v>прямое пересечение семейств не является единственным объяснением</x:v>
      </x:c>
      <x:c r="O357" s="28" t="str">
        <x:v>надежная общая ключевая молекула не подтверждена</x:v>
      </x:c>
      <x:c r="P357" s="28" t="str">
        <x:v>сенсорная комплементарность</x:v>
      </x:c>
      <x:c r="Q35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57" s="28" t="str">
        <x:v>минимальный</x:v>
      </x:c>
      <x:c r="S357" s="28" t="str">
        <x:v>жирная белково-клетчаточная матрица; гидрофобные ароматические вещества хорошо удерживаются липидами</x:v>
      </x:c>
      <x:c r="T35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57" s="28" t="str">
        <x:v>Миндаль имеет профиль «ореховый, сладкий, марципановый, слегка зелёный; после обжарки — карамельный и жареный». Партнёр «оливки»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57" s="28" t="str">
        <x:v>аллерген; быстро прогоркает после помола; горький миндаль и ядра косточковых не взаимозаменяемы</x:v>
      </x:c>
      <x:c r="W357" s="28" t="str">
        <x:v>соль, ваниль или карамель</x:v>
      </x:c>
      <x:c r="X357" s="28" t="str">
        <x:v>пралине, паста, выпечка, гарнир, соус, молочный или коктейльный компонент с оливки</x:v>
      </x:c>
      <x:c r="Y357" s="28" t="str">
        <x:v>десерты</x:v>
      </x:c>
      <x:c r="Z357" s="28" t="str">
        <x:v>Средняя</x:v>
      </x:c>
      <x:c r="AA357" s="28" t="str">
        <x:v>Тезариус вкусов (Ники Сегнит)(1).pdf</x:v>
      </x:c>
      <x:c r="AB357" s="28" t="str">
        <x:v>Тезариус вкусов (Ники Сегнит)(1).pdf: 468, 646</x:v>
      </x:c>
      <x:c r="AC357" s="28" t="str">
        <x:v>Пара встречается как thesaurus; научное объяснение сформировано по ароматическому профилю и пищевой матрице.</x:v>
      </x:c>
      <x:c r="AD357" s="28" t="n">
        <x:v>1</x:v>
      </x:c>
      <x:c r="AE357" s="28" t="n">
        <x:v>2</x:v>
      </x:c>
      <x:c r="AF357" s="28" t="n">
        <x:f>IF(Z357="Высокая",3,IF(Z357="Средняя",2,1))+AD357*2+MIN(AE357,3)</x:f>
        <x:v>6</x:v>
      </x:c>
    </x:row>
    <x:row r="358" ht="62" customHeight="1">
      <x:c r="A358" s="28" t="str">
        <x:v>NCT-0357</x:v>
      </x:c>
      <x:c r="B358" s="28" t="str">
        <x:v>миндаль</x:v>
      </x:c>
      <x:c r="C358" s="28" t="str">
        <x:v>Универсальные</x:v>
      </x:c>
      <x:c r="D358" s="28" t="str">
        <x:v>миндаль</x:v>
      </x:c>
      <x:c r="E358" s="28" t="str">
        <x:v>almond</x:v>
      </x:c>
      <x:c r="F358" s="28" t="str">
        <x:v>Орехи и семена</x:v>
      </x:c>
      <x:c r="G358" s="28" t="str">
        <x:v>оливковое масло</x:v>
      </x:c>
      <x:c r="H358" s="28" t="str">
        <x:v>olive oil</x:v>
      </x:c>
      <x:c r="I358" s="28" t="str">
        <x:v>Масла и жиры</x:v>
      </x:c>
      <x:c r="J358" s="28" t="str">
        <x:v>ореховый, сладкий, марципановый, слегка зелёный; после обжарки — карамельный и жареный</x:v>
      </x:c>
      <x:c r="K358" s="28" t="str">
        <x:v>жирный и мягкий</x:v>
      </x:c>
      <x:c r="L358" s="28" t="str">
        <x:v>бензальдегид, пиразины, фураны, гексаналь</x:v>
      </x:c>
      <x:c r="M358" s="28" t="str">
        <x:v>альдегиды, лактоны</x:v>
      </x:c>
      <x:c r="N358" s="28" t="str">
        <x:v>прямое пересечение семейств не является единственным объяснением</x:v>
      </x:c>
      <x:c r="O358" s="28" t="str">
        <x:v>надежная общая ключевая молекула не подтверждена</x:v>
      </x:c>
      <x:c r="P358" s="28" t="str">
        <x:v>сенсорная комплементарность</x:v>
      </x:c>
      <x:c r="Q35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58" s="28" t="str">
        <x:v>минимальный</x:v>
      </x:c>
      <x:c r="S358" s="28" t="str">
        <x:v>жирная белково-клетчаточная матрица; гидрофобные ароматические вещества хорошо удерживаются липидами</x:v>
      </x:c>
      <x:c r="T35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58" s="28" t="str">
        <x:v>Миндаль имеет профиль «ореховый, сладкий, марципановый, слегка зелёный; после обжарки — карамельный и жареный». Партнёр «оливковое масло» относится к группе «Масла и жиры» и даёт жирный и мягкий.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58" s="28" t="str">
        <x:v>аллерген; быстро прогоркает после помола; горький миндаль и ядра косточковых не взаимозаменяемы</x:v>
      </x:c>
      <x:c r="W358" s="28" t="str">
        <x:v>соль, ваниль или карамель</x:v>
      </x:c>
      <x:c r="X358" s="28" t="str">
        <x:v>пралине, паста, выпечка, гарнир, соус, молочный или коктейльный компонент с оливковое масло</x:v>
      </x:c>
      <x:c r="Y358" s="28" t="str">
        <x:v>десерты</x:v>
      </x:c>
      <x:c r="Z358" s="28" t="str">
        <x:v>Средняя</x:v>
      </x:c>
      <x:c r="AA358" s="28" t="str">
        <x:v>The Art &amp; Science of Foodpairing.pdf</x:v>
      </x:c>
      <x:c r="AB358" s="28" t="str">
        <x:v>The Art &amp; Science of Foodpairing.pdf: 172</x:v>
      </x:c>
      <x:c r="AC358" s="28" t="str">
        <x:v>Пара встречается как grid; научное объяснение сформировано по ароматическому профилю и пищевой матрице.</x:v>
      </x:c>
      <x:c r="AD358" s="28" t="n">
        <x:v>1</x:v>
      </x:c>
      <x:c r="AE358" s="28" t="n">
        <x:v>1</x:v>
      </x:c>
      <x:c r="AF358" s="28" t="n">
        <x:f>IF(Z358="Высокая",3,IF(Z358="Средняя",2,1))+AD358*2+MIN(AE358,3)</x:f>
        <x:v>5</x:v>
      </x:c>
    </x:row>
    <x:row r="359" ht="62" customHeight="1">
      <x:c r="A359" s="28" t="str">
        <x:v>NCT-0358</x:v>
      </x:c>
      <x:c r="B359" s="28" t="str">
        <x:v>миндаль</x:v>
      </x:c>
      <x:c r="C359" s="28" t="str">
        <x:v>Универсальные</x:v>
      </x:c>
      <x:c r="D359" s="28" t="str">
        <x:v>миндаль</x:v>
      </x:c>
      <x:c r="E359" s="28" t="str">
        <x:v>almond</x:v>
      </x:c>
      <x:c r="F359" s="28" t="str">
        <x:v>Орехи и семена</x:v>
      </x:c>
      <x:c r="G359" s="28" t="str">
        <x:v>пармезан</x:v>
      </x:c>
      <x:c r="H359" s="28" t="str">
        <x:v>Parmigiano-Reggiano</x:v>
      </x:c>
      <x:c r="I359" s="28" t="str">
        <x:v>Прочее</x:v>
      </x:c>
      <x:c r="J359" s="28" t="str">
        <x:v>ореховый, сладкий, марципановый, слегка зелёный; после обжарки — карамельный и жареный</x:v>
      </x:c>
      <x:c r="K359" s="28" t="str">
        <x:v>профиль зависит от конкретного продукта</x:v>
      </x:c>
      <x:c r="L359" s="28" t="str">
        <x:v>бензальдегид, пиразины, фураны, гексаналь</x:v>
      </x:c>
      <x:c r="M359" s="28" t="str">
        <x:v>характерный профиль зависит от конкретного продукта</x:v>
      </x:c>
      <x:c r="N359" s="28" t="str">
        <x:v>прямое пересечение семейств не является единственным объяснением</x:v>
      </x:c>
      <x:c r="O359" s="28" t="str">
        <x:v>надежная общая ключевая молекула не подтверждена</x:v>
      </x:c>
      <x:c r="P359" s="28" t="str">
        <x:v>сенсорная комплементарность</x:v>
      </x:c>
      <x:c r="Q35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59" s="28" t="str">
        <x:v>минимальный</x:v>
      </x:c>
      <x:c r="S359" s="28" t="str">
        <x:v>жирная белково-клетчаточная матрица; гидрофобные ароматические вещества хорошо удерживаются липидами</x:v>
      </x:c>
      <x:c r="T35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59" s="28" t="str">
        <x:v>Миндаль имеет профиль «ореховый, сладкий, марципановый, слегка зелёный; после обжарки — карамельный и жареный». Партнёр «пармезан»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59" s="28" t="str">
        <x:v>аллерген; быстро прогоркает после помола; горький миндаль и ядра косточковых не взаимозаменяемы</x:v>
      </x:c>
      <x:c r="W359" s="28" t="str">
        <x:v>соль, ваниль или карамель</x:v>
      </x:c>
      <x:c r="X359" s="28" t="str">
        <x:v>пралине, паста, выпечка, гарнир, соус, молочный или коктейльный компонент с пармезан</x:v>
      </x:c>
      <x:c r="Y359" s="28" t="str">
        <x:v>десерты</x:v>
      </x:c>
      <x:c r="Z359" s="28" t="str">
        <x:v>Средняя</x:v>
      </x:c>
      <x:c r="AA359" s="28" t="str">
        <x:v>The Art &amp; Science of Foodpairing.pdf</x:v>
      </x:c>
      <x:c r="AB359" s="28" t="str">
        <x:v>The Art &amp; Science of Foodpairing.pdf: 282</x:v>
      </x:c>
      <x:c r="AC359" s="28" t="str">
        <x:v>Пара встречается как grid; научное объяснение сформировано по ароматическому профилю и пищевой матрице.</x:v>
      </x:c>
      <x:c r="AD359" s="28" t="n">
        <x:v>1</x:v>
      </x:c>
      <x:c r="AE359" s="28" t="n">
        <x:v>2</x:v>
      </x:c>
      <x:c r="AF359" s="28" t="n">
        <x:f>IF(Z359="Высокая",3,IF(Z359="Средняя",2,1))+AD359*2+MIN(AE359,3)</x:f>
        <x:v>6</x:v>
      </x:c>
    </x:row>
    <x:row r="360" ht="62" customHeight="1">
      <x:c r="A360" s="28" t="str">
        <x:v>NCT-0359</x:v>
      </x:c>
      <x:c r="B360" s="28" t="str">
        <x:v>миндаль</x:v>
      </x:c>
      <x:c r="C360" s="28" t="str">
        <x:v>Универсальные</x:v>
      </x:c>
      <x:c r="D360" s="28" t="str">
        <x:v>миндаль</x:v>
      </x:c>
      <x:c r="E360" s="28" t="str">
        <x:v>Миндаль</x:v>
      </x:c>
      <x:c r="F360" s="28" t="str">
        <x:v>Орехи и семена</x:v>
      </x:c>
      <x:c r="G360" s="28" t="str">
        <x:v>перец</x:v>
      </x:c>
      <x:c r="H360" s="28" t="str">
        <x:v>перец</x:v>
      </x:c>
      <x:c r="I360" s="28" t="str">
        <x:v>Специи</x:v>
      </x:c>
      <x:c r="J360" s="28" t="str">
        <x:v>ореховый, сладкий, марципановый, слегка зелёный; после обжарки — карамельный и жареный</x:v>
      </x:c>
      <x:c r="K360" s="28" t="str">
        <x:v>пряный и древесный</x:v>
      </x:c>
      <x:c r="L360" s="28" t="str">
        <x:v>бензальдегид, пиразины, фураны, гексаналь</x:v>
      </x:c>
      <x:c r="M360" s="28" t="str">
        <x:v>терпены, фенилпропаноиды</x:v>
      </x:c>
      <x:c r="N360" s="28" t="str">
        <x:v>прямое пересечение семейств не является единственным объяснением</x:v>
      </x:c>
      <x:c r="O360" s="28" t="str">
        <x:v>надежная общая ключевая молекула не подтверждена</x:v>
      </x:c>
      <x:c r="P360" s="28" t="str">
        <x:v>сенсорная комплементарность</x:v>
      </x:c>
      <x:c r="Q36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60" s="28" t="str">
        <x:v>минимальный; у острого партнёра тройничный эффект может доминировать</x:v>
      </x:c>
      <x:c r="S360" s="28" t="str">
        <x:v>жирная белково-клетчаточная матрица; гидрофобные ароматические вещества хорошо удерживаются липидами</x:v>
      </x:c>
      <x:c r="T36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60" s="28" t="str">
        <x:v>Миндаль имеет профиль «ореховый, сладкий, марципановый, слегка зелёный; после обжарки — карамельный и жареный». Партнёр «перец»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60" s="28" t="str">
        <x:v>аллерген; быстро прогоркает после помола; горький миндаль и ядра косточковых не взаимозаменяемы</x:v>
      </x:c>
      <x:c r="W360" s="28" t="str">
        <x:v>ваниль, апельсин или мёд</x:v>
      </x:c>
      <x:c r="X360" s="28" t="str">
        <x:v>пралине, паста, выпечка, гарнир, соус, молочный или коктейльный компонент с перец</x:v>
      </x:c>
      <x:c r="Y360" s="28" t="str">
        <x:v>десерты</x:v>
      </x:c>
      <x:c r="Z360" s="28" t="str">
        <x:v>Гипотеза / практическая</x:v>
      </x:c>
      <x:c r="AA360" s="28" t="str">
        <x:v>Таблица сочетания(1).pdf</x:v>
      </x:c>
      <x:c r="AB360" s="28" t="str">
        <x:v>Таблица сочетания(1).pdf: 1</x:v>
      </x:c>
      <x:c r="AC360" s="28" t="str">
        <x:v>Пара встречается как table; научное объяснение сформировано по ароматическому профилю и пищевой матрице.</x:v>
      </x:c>
      <x:c r="AD360" s="28" t="n">
        <x:v>1</x:v>
      </x:c>
      <x:c r="AE360" s="28" t="n">
        <x:v>1</x:v>
      </x:c>
      <x:c r="AF360" s="28" t="n">
        <x:f>IF(Z360="Высокая",3,IF(Z360="Средняя",2,1))+AD360*2+MIN(AE360,3)</x:f>
        <x:v>4</x:v>
      </x:c>
    </x:row>
    <x:row r="361" ht="62" customHeight="1">
      <x:c r="A361" s="28" t="str">
        <x:v>NCT-0360</x:v>
      </x:c>
      <x:c r="B361" s="28" t="str">
        <x:v>миндаль</x:v>
      </x:c>
      <x:c r="C361" s="28" t="str">
        <x:v>Десерты и выпечка</x:v>
      </x:c>
      <x:c r="D361" s="28" t="str">
        <x:v>миндаль</x:v>
      </x:c>
      <x:c r="E361" s="28" t="str">
        <x:v>Миндаль | миндаль</x:v>
      </x:c>
      <x:c r="F361" s="28" t="str">
        <x:v>Орехи и семена</x:v>
      </x:c>
      <x:c r="G361" s="28" t="str">
        <x:v>персик</x:v>
      </x:c>
      <x:c r="H361" s="28" t="str">
        <x:v>Персик | персик</x:v>
      </x:c>
      <x:c r="I361" s="28" t="str">
        <x:v>Фрукты и ягоды</x:v>
      </x:c>
      <x:c r="J361" s="28" t="str">
        <x:v>ореховый, сладкий, марципановый, слегка зелёный; после обжарки — карамельный и жареный</x:v>
      </x:c>
      <x:c r="K361" s="28" t="str">
        <x:v>лактонный, фруктовый, цветочный</x:v>
      </x:c>
      <x:c r="L361" s="28" t="str">
        <x:v>бензальдегид, пиразины, фураны, гексаналь</x:v>
      </x:c>
      <x:c r="M361" s="28" t="str">
        <x:v>лактоны, линалоол</x:v>
      </x:c>
      <x:c r="N361" s="28" t="str">
        <x:v>прямое пересечение семейств не является единственным объяснением</x:v>
      </x:c>
      <x:c r="O361" s="28" t="str">
        <x:v>надежная общая ключевая молекула не подтверждена</x:v>
      </x:c>
      <x:c r="P361" s="28" t="str">
        <x:v>контраст кислоты и жирной/горькой матрицы</x:v>
      </x:c>
      <x:c r="Q36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61" s="28" t="str">
        <x:v>минимальный</x:v>
      </x:c>
      <x:c r="S361" s="28" t="str">
        <x:v>жирная белково-клетчаточная матрица; гидрофобные ароматические вещества хорошо удерживаются липидами Водная фруктовая фаза требует эмульсии или мелкого измельчения, если орех или шоколад вводится как паста.</x:v>
      </x:c>
      <x:c r="T36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61" s="28" t="str">
        <x:v>Миндаль имеет профиль «ореховый, сладкий, марципановый, слегка зелёный; после обжарки — карамельный и жареный». Партнёр «персик» относится к группе «Фрукты и ягоды» и даёт лактонный, фруктовый, цветочный.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61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W361" s="28" t="str">
        <x:v>ваниль, цитрус или молочный жир</x:v>
      </x:c>
      <x:c r="X361" s="28" t="str">
        <x:v>пралине, паста, выпечка, гарнир, соус, молочный или коктейльный компонент с персик</x:v>
      </x:c>
      <x:c r="Y361" s="28" t="str">
        <x:v>десерты</x:v>
      </x:c>
      <x:c r="Z361" s="28" t="str">
        <x:v>Высокая</x:v>
      </x:c>
      <x:c r="AA361" s="28" t="str">
        <x:v>Таблица сочетания(1).pdf | Тезариус вкусов (Ники Сегнит)(1).pdf</x:v>
      </x:c>
      <x:c r="AB361" s="28" t="str">
        <x:v>Таблица сочетания(1).pdf: 1, 15; Тезариус вкусов (Ники Сегнит)(1).pdf: 646, 751</x:v>
      </x:c>
      <x:c r="AC361" s="28" t="str">
        <x:v>Пара встречается как table, thesaurus; научное объяснение сформировано по ароматическому профилю и пищевой матрице.</x:v>
      </x:c>
      <x:c r="AD361" s="28" t="n">
        <x:v>2</x:v>
      </x:c>
      <x:c r="AE361" s="28" t="n">
        <x:v>4</x:v>
      </x:c>
      <x:c r="AF361" s="28" t="n">
        <x:f>IF(Z361="Высокая",3,IF(Z361="Средняя",2,1))+AD361*2+MIN(AE361,3)</x:f>
        <x:v>10</x:v>
      </x:c>
    </x:row>
    <x:row r="362" ht="62" customHeight="1">
      <x:c r="A362" s="28" t="str">
        <x:v>NCT-0361</x:v>
      </x:c>
      <x:c r="B362" s="28" t="str">
        <x:v>миндаль</x:v>
      </x:c>
      <x:c r="C362" s="28" t="str">
        <x:v>Универсальные</x:v>
      </x:c>
      <x:c r="D362" s="28" t="str">
        <x:v>миндаль</x:v>
      </x:c>
      <x:c r="E362" s="28" t="str">
        <x:v>Миндаль</x:v>
      </x:c>
      <x:c r="F362" s="28" t="str">
        <x:v>Орехи и семена</x:v>
      </x:c>
      <x:c r="G362" s="28" t="str">
        <x:v>петрушка</x:v>
      </x:c>
      <x:c r="H362" s="28" t="str">
        <x:v>петрушка</x:v>
      </x:c>
      <x:c r="I362" s="28" t="str">
        <x:v>Травы, цветы и листья</x:v>
      </x:c>
      <x:c r="J362" s="28" t="str">
        <x:v>ореховый, сладкий, марципановый, слегка зелёный; после обжарки — карамельный и жареный</x:v>
      </x:c>
      <x:c r="K362" s="28" t="str">
        <x:v>зелёный, цветочный и терпеновый</x:v>
      </x:c>
      <x:c r="L362" s="28" t="str">
        <x:v>бензальдегид, пиразины, фураны, гексаналь</x:v>
      </x:c>
      <x:c r="M362" s="28" t="str">
        <x:v>линалоол, терпены</x:v>
      </x:c>
      <x:c r="N362" s="28" t="str">
        <x:v>прямое пересечение семейств не является единственным объяснением</x:v>
      </x:c>
      <x:c r="O362" s="28" t="str">
        <x:v>надежная общая ключевая молекула не подтверждена</x:v>
      </x:c>
      <x:c r="P362" s="28" t="str">
        <x:v>сенсорная комплементарность</x:v>
      </x:c>
      <x:c r="Q36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62" s="28" t="str">
        <x:v>минимальный</x:v>
      </x:c>
      <x:c r="S362" s="28" t="str">
        <x:v>жирная белково-клетчаточная матрица; гидрофобные ароматические вещества хорошо удерживаются липидами</x:v>
      </x:c>
      <x:c r="T36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62" s="28" t="str">
        <x:v>Миндаль имеет профиль «ореховый, сладкий, марципановый, слегка зелёный; после обжарки — карамельный и жареный». Партнёр «петрушка»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62" s="28" t="str">
        <x:v>аллерген; быстро прогоркает после помола; горький миндаль и ядра косточковых не взаимозаменяемы</x:v>
      </x:c>
      <x:c r="W362" s="28" t="str">
        <x:v>цитрус, мёд или сливки</x:v>
      </x:c>
      <x:c r="X362" s="28" t="str">
        <x:v>пралине, паста, выпечка, гарнир, соус, молочный или коктейльный компонент с петрушка</x:v>
      </x:c>
      <x:c r="Y362" s="28" t="str">
        <x:v>десерты</x:v>
      </x:c>
      <x:c r="Z362" s="28" t="str">
        <x:v>Гипотеза / практическая</x:v>
      </x:c>
      <x:c r="AA362" s="28" t="str">
        <x:v>Таблица сочетания(1).pdf</x:v>
      </x:c>
      <x:c r="AB362" s="28" t="str">
        <x:v>Таблица сочетания(1).pdf: 1</x:v>
      </x:c>
      <x:c r="AC362" s="28" t="str">
        <x:v>Пара встречается как table; научное объяснение сформировано по ароматическому профилю и пищевой матрице.</x:v>
      </x:c>
      <x:c r="AD362" s="28" t="n">
        <x:v>1</x:v>
      </x:c>
      <x:c r="AE362" s="28" t="n">
        <x:v>1</x:v>
      </x:c>
      <x:c r="AF362" s="28" t="n">
        <x:f>IF(Z362="Высокая",3,IF(Z362="Средняя",2,1))+AD362*2+MIN(AE362,3)</x:f>
        <x:v>4</x:v>
      </x:c>
    </x:row>
    <x:row r="363" ht="62" customHeight="1">
      <x:c r="A363" s="28" t="str">
        <x:v>NCT-0362</x:v>
      </x:c>
      <x:c r="B363" s="28" t="str">
        <x:v>миндаль</x:v>
      </x:c>
      <x:c r="C363" s="28" t="str">
        <x:v>Универсальные</x:v>
      </x:c>
      <x:c r="D363" s="28" t="str">
        <x:v>миндаль</x:v>
      </x:c>
      <x:c r="E363" s="28" t="str">
        <x:v>миндаль</x:v>
      </x:c>
      <x:c r="F363" s="28" t="str">
        <x:v>Орехи и семена</x:v>
      </x:c>
      <x:c r="G363" s="28" t="str">
        <x:v>питахайя (dragon fruit)</x:v>
      </x:c>
      <x:c r="H363" s="28" t="str">
        <x:v>Питахайя (dragon fruit)</x:v>
      </x:c>
      <x:c r="I363" s="28" t="str">
        <x:v>Прочее</x:v>
      </x:c>
      <x:c r="J363" s="28" t="str">
        <x:v>ореховый, сладкий, марципановый, слегка зелёный; после обжарки — карамельный и жареный</x:v>
      </x:c>
      <x:c r="K363" s="28" t="str">
        <x:v>профиль зависит от конкретного продукта</x:v>
      </x:c>
      <x:c r="L363" s="28" t="str">
        <x:v>бензальдегид, пиразины, фураны, гексаналь</x:v>
      </x:c>
      <x:c r="M363" s="28" t="str">
        <x:v>характерный профиль зависит от конкретного продукта</x:v>
      </x:c>
      <x:c r="N363" s="28" t="str">
        <x:v>прямое пересечение семейств не является единственным объяснением</x:v>
      </x:c>
      <x:c r="O363" s="28" t="str">
        <x:v>надежная общая ключевая молекула не подтверждена</x:v>
      </x:c>
      <x:c r="P363" s="28" t="str">
        <x:v>сенсорная комплементарность</x:v>
      </x:c>
      <x:c r="Q36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63" s="28" t="str">
        <x:v>минимальный</x:v>
      </x:c>
      <x:c r="S363" s="28" t="str">
        <x:v>жирная белково-клетчаточная матрица; гидрофобные ароматические вещества хорошо удерживаются липидами</x:v>
      </x:c>
      <x:c r="T36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63" s="28" t="str">
        <x:v>Миндаль имеет профиль «ореховый, сладкий, марципановый, слегка зелёный; после обжарки — карамельный и жареный». Партнёр «питахайя (dragon fruit)»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63" s="28" t="str">
        <x:v>аллерген; быстро прогоркает после помола; горький миндаль и ядра косточковых не взаимозаменяемы</x:v>
      </x:c>
      <x:c r="W363" s="28" t="str">
        <x:v>соль, ваниль или карамель</x:v>
      </x:c>
      <x:c r="X363" s="28" t="str">
        <x:v>пралине, паста, выпечка, гарнир, соус, молочный или коктейльный компонент с питахайя (dragon fruit)</x:v>
      </x:c>
      <x:c r="Y363" s="28" t="str">
        <x:v>десерты</x:v>
      </x:c>
      <x:c r="Z363" s="28" t="str">
        <x:v>Гипотеза / практическая</x:v>
      </x:c>
      <x:c r="AA363" s="28" t="str">
        <x:v>Таблица сочетания(1).pdf</x:v>
      </x:c>
      <x:c r="AB363" s="28" t="str">
        <x:v>Таблица сочетания(1).pdf: 7</x:v>
      </x:c>
      <x:c r="AC363" s="28" t="str">
        <x:v>Пара встречается как table; научное объяснение сформировано по ароматическому профилю и пищевой матрице.</x:v>
      </x:c>
      <x:c r="AD363" s="28" t="n">
        <x:v>1</x:v>
      </x:c>
      <x:c r="AE363" s="28" t="n">
        <x:v>1</x:v>
      </x:c>
      <x:c r="AF363" s="28" t="n">
        <x:f>IF(Z363="Высокая",3,IF(Z363="Средняя",2,1))+AD363*2+MIN(AE363,3)</x:f>
        <x:v>4</x:v>
      </x:c>
    </x:row>
    <x:row r="364" ht="62" customHeight="1">
      <x:c r="A364" s="28" t="str">
        <x:v>NCT-0363</x:v>
      </x:c>
      <x:c r="B364" s="28" t="str">
        <x:v>миндаль</x:v>
      </x:c>
      <x:c r="C364" s="28" t="str">
        <x:v>Десерты и выпечка</x:v>
      </x:c>
      <x:c r="D364" s="28" t="str">
        <x:v>миндаль</x:v>
      </x:c>
      <x:c r="E364" s="28" t="str">
        <x:v>Миндаль | миндаль</x:v>
      </x:c>
      <x:c r="F364" s="28" t="str">
        <x:v>Орехи и семена</x:v>
      </x:c>
      <x:c r="G364" s="28" t="str">
        <x:v>ревень</x:v>
      </x:c>
      <x:c r="H364" s="28" t="str">
        <x:v>Ревень | ревень</x:v>
      </x:c>
      <x:c r="I364" s="28" t="str">
        <x:v>Фрукты и ягоды</x:v>
      </x:c>
      <x:c r="J364" s="28" t="str">
        <x:v>ореховый, сладкий, марципановый, слегка зелёный; после обжарки — карамельный и жареный</x:v>
      </x:c>
      <x:c r="K364" s="28" t="str">
        <x:v>фруктовый, цветочный и свежий</x:v>
      </x:c>
      <x:c r="L364" s="28" t="str">
        <x:v>бензальдегид, пиразины, фураны, гексаналь</x:v>
      </x:c>
      <x:c r="M364" s="28" t="str">
        <x:v>альдегиды, эфиры</x:v>
      </x:c>
      <x:c r="N364" s="28" t="str">
        <x:v>прямое пересечение семейств не является единственным объяснением</x:v>
      </x:c>
      <x:c r="O364" s="28" t="str">
        <x:v>надежная общая ключевая молекула не подтверждена</x:v>
      </x:c>
      <x:c r="P364" s="28" t="str">
        <x:v>контраст кислоты и жирной/горькой матрицы</x:v>
      </x:c>
      <x:c r="Q36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64" s="28" t="str">
        <x:v>минимальный</x:v>
      </x:c>
      <x:c r="S364" s="28" t="str">
        <x:v>жирная белково-клетчаточная матрица; гидрофобные ароматические вещества хорошо удерживаются липидами Водная фруктовая фаза требует эмульсии или мелкого измельчения, если орех или шоколад вводится как паста.</x:v>
      </x:c>
      <x:c r="T36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64" s="28" t="str">
        <x:v>Миндаль имеет профиль «ореховый, сладкий, марципановый, слегка зелёный; после обжарки — карамельный и жареный». Партнёр «ревень»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64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W364" s="28" t="str">
        <x:v>ваниль, цитрус или молочный жир</x:v>
      </x:c>
      <x:c r="X364" s="28" t="str">
        <x:v>пралине, паста, выпечка, гарнир, соус, молочный или коктейльный компонент с ревень</x:v>
      </x:c>
      <x:c r="Y364" s="28" t="str">
        <x:v>десерты</x:v>
      </x:c>
      <x:c r="Z364" s="28" t="str">
        <x:v>Средняя</x:v>
      </x:c>
      <x:c r="AA364" s="28" t="str">
        <x:v>Тезариус вкусов (Ники Сегнит)(1).pdf</x:v>
      </x:c>
      <x:c r="AB364" s="28" t="str">
        <x:v>Тезариус вкусов (Ники Сегнит)(1).pdf: 646, 674</x:v>
      </x:c>
      <x:c r="AC364" s="28" t="str">
        <x:v>Пара встречается как thesaurus; научное объяснение сформировано по ароматическому профилю и пищевой матрице.</x:v>
      </x:c>
      <x:c r="AD364" s="28" t="n">
        <x:v>1</x:v>
      </x:c>
      <x:c r="AE364" s="28" t="n">
        <x:v>2</x:v>
      </x:c>
      <x:c r="AF364" s="28" t="n">
        <x:f>IF(Z364="Высокая",3,IF(Z364="Средняя",2,1))+AD364*2+MIN(AE364,3)</x:f>
        <x:v>6</x:v>
      </x:c>
    </x:row>
    <x:row r="365" ht="62" customHeight="1">
      <x:c r="A365" s="28" t="str">
        <x:v>NCT-0364</x:v>
      </x:c>
      <x:c r="B365" s="28" t="str">
        <x:v>миндаль</x:v>
      </x:c>
      <x:c r="C365" s="28" t="str">
        <x:v>Универсальные</x:v>
      </x:c>
      <x:c r="D365" s="28" t="str">
        <x:v>миндаль</x:v>
      </x:c>
      <x:c r="E365" s="28" t="str">
        <x:v>Миндаль | миндаль</x:v>
      </x:c>
      <x:c r="F365" s="28" t="str">
        <x:v>Орехи и семена</x:v>
      </x:c>
      <x:c r="G365" s="28" t="str">
        <x:v>роза</x:v>
      </x:c>
      <x:c r="H365" s="28" t="str">
        <x:v>Роза | роза</x:v>
      </x:c>
      <x:c r="I365" s="28" t="str">
        <x:v>Травы, цветы и листья</x:v>
      </x:c>
      <x:c r="J365" s="28" t="str">
        <x:v>ореховый, сладкий, марципановый, слегка зелёный; после обжарки — карамельный и жареный</x:v>
      </x:c>
      <x:c r="K365" s="28" t="str">
        <x:v>цветочный</x:v>
      </x:c>
      <x:c r="L365" s="28" t="str">
        <x:v>бензальдегид, пиразины, фураны, гексаналь</x:v>
      </x:c>
      <x:c r="M365" s="28" t="str">
        <x:v>гераниол, цитронеллол</x:v>
      </x:c>
      <x:c r="N365" s="28" t="str">
        <x:v>прямое пересечение семейств не является единственным объяснением</x:v>
      </x:c>
      <x:c r="O365" s="28" t="str">
        <x:v>надежная общая ключевая молекула не подтверждена</x:v>
      </x:c>
      <x:c r="P365" s="28" t="str">
        <x:v>сенсорная комплементарность</x:v>
      </x:c>
      <x:c r="Q36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65" s="28" t="str">
        <x:v>минимальный</x:v>
      </x:c>
      <x:c r="S365" s="28" t="str">
        <x:v>жирная белково-клетчаточная матрица; гидрофобные ароматические вещества хорошо удерживаются липидами</x:v>
      </x:c>
      <x:c r="T36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65" s="28" t="str">
        <x:v>Миндаль имеет профиль «ореховый, сладкий, марципановый, слегка зелёный; после обжарки — карамельный и жареный». Партнёр «роза» относится к группе «Травы, цветы и листья» и даёт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65" s="28" t="str">
        <x:v>аллерген; быстро прогоркает после помола; горький миндаль и ядра косточковых не взаимозаменяемы</x:v>
      </x:c>
      <x:c r="W365" s="28" t="str">
        <x:v>цитрус, мёд или сливки</x:v>
      </x:c>
      <x:c r="X365" s="28" t="str">
        <x:v>пралине, паста, выпечка, гарнир, соус, молочный или коктейльный компонент с роза</x:v>
      </x:c>
      <x:c r="Y365" s="28" t="str">
        <x:v>десерты</x:v>
      </x:c>
      <x:c r="Z365" s="28" t="str">
        <x:v>Средняя</x:v>
      </x:c>
      <x:c r="AA365" s="28" t="str">
        <x:v>Тезариус вкусов (Ники Сегнит)(1).pdf</x:v>
      </x:c>
      <x:c r="AB365" s="28" t="str">
        <x:v>Тезариус вкусов (Ники Сегнит)(1).pdf: 647, 900</x:v>
      </x:c>
      <x:c r="AC365" s="28" t="str">
        <x:v>Пара встречается как thesaurus; научное объяснение сформировано по ароматическому профилю и пищевой матрице.</x:v>
      </x:c>
      <x:c r="AD365" s="28" t="n">
        <x:v>1</x:v>
      </x:c>
      <x:c r="AE365" s="28" t="n">
        <x:v>2</x:v>
      </x:c>
      <x:c r="AF365" s="28" t="n">
        <x:f>IF(Z365="Высокая",3,IF(Z365="Средняя",2,1))+AD365*2+MIN(AE365,3)</x:f>
        <x:v>6</x:v>
      </x:c>
    </x:row>
    <x:row r="366" ht="62" customHeight="1">
      <x:c r="A366" s="28" t="str">
        <x:v>NCT-0365</x:v>
      </x:c>
      <x:c r="B366" s="28" t="str">
        <x:v>миндаль</x:v>
      </x:c>
      <x:c r="C366" s="28" t="str">
        <x:v>Универсальные</x:v>
      </x:c>
      <x:c r="D366" s="28" t="str">
        <x:v>миндаль</x:v>
      </x:c>
      <x:c r="E366" s="28" t="str">
        <x:v>Миндаль | миндаль</x:v>
      </x:c>
      <x:c r="F366" s="28" t="str">
        <x:v>Орехи и семена</x:v>
      </x:c>
      <x:c r="G366" s="28" t="str">
        <x:v>розмарин</x:v>
      </x:c>
      <x:c r="H366" s="28" t="str">
        <x:v>Розмарин | розмарин</x:v>
      </x:c>
      <x:c r="I366" s="28" t="str">
        <x:v>Травы, цветы и листья</x:v>
      </x:c>
      <x:c r="J366" s="28" t="str">
        <x:v>ореховый, сладкий, марципановый, слегка зелёный; после обжарки — карамельный и жареный</x:v>
      </x:c>
      <x:c r="K366" s="28" t="str">
        <x:v>зелёный, цветочный и терпеновый</x:v>
      </x:c>
      <x:c r="L366" s="28" t="str">
        <x:v>бензальдегид, пиразины, фураны, гексаналь</x:v>
      </x:c>
      <x:c r="M366" s="28" t="str">
        <x:v>линалоол, терпены</x:v>
      </x:c>
      <x:c r="N366" s="28" t="str">
        <x:v>прямое пересечение семейств не является единственным объяснением</x:v>
      </x:c>
      <x:c r="O366" s="28" t="str">
        <x:v>надежная общая ключевая молекула не подтверждена</x:v>
      </x:c>
      <x:c r="P366" s="28" t="str">
        <x:v>сенсорная комплементарность</x:v>
      </x:c>
      <x:c r="Q36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66" s="28" t="str">
        <x:v>минимальный</x:v>
      </x:c>
      <x:c r="S366" s="28" t="str">
        <x:v>жирная белково-клетчаточная матрица; гидрофобные ароматические вещества хорошо удерживаются липидами</x:v>
      </x:c>
      <x:c r="T36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66" s="28" t="str">
        <x:v>Миндаль имеет профиль «ореховый, сладкий, марципановый, слегка зелёный; после обжарки — карамельный и жареный». Партнёр «розмарин»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66" s="28" t="str">
        <x:v>аллерген; быстро прогоркает после помола; горький миндаль и ядра косточковых не взаимозаменяемы</x:v>
      </x:c>
      <x:c r="W366" s="28" t="str">
        <x:v>цитрус, мёд или сливки</x:v>
      </x:c>
      <x:c r="X366" s="28" t="str">
        <x:v>пралине, паста, выпечка, гарнир, соус, молочный или коктейльный компонент с розмарин</x:v>
      </x:c>
      <x:c r="Y366" s="28" t="str">
        <x:v>десерты</x:v>
      </x:c>
      <x:c r="Z366" s="28" t="str">
        <x:v>Средняя</x:v>
      </x:c>
      <x:c r="AA366" s="28" t="str">
        <x:v>Тезариус вкусов (Ники Сегнит)(1).pdf</x:v>
      </x:c>
      <x:c r="AB366" s="28" t="str">
        <x:v>Тезариус вкусов (Ники Сегнит)(1).pdf: 647, 838</x:v>
      </x:c>
      <x:c r="AC366" s="28" t="str">
        <x:v>Пара встречается как thesaurus; научное объяснение сформировано по ароматическому профилю и пищевой матрице.</x:v>
      </x:c>
      <x:c r="AD366" s="28" t="n">
        <x:v>1</x:v>
      </x:c>
      <x:c r="AE366" s="28" t="n">
        <x:v>2</x:v>
      </x:c>
      <x:c r="AF366" s="28" t="n">
        <x:f>IF(Z366="Высокая",3,IF(Z366="Средняя",2,1))+AD366*2+MIN(AE366,3)</x:f>
        <x:v>6</x:v>
      </x:c>
    </x:row>
    <x:row r="367" ht="62" customHeight="1">
      <x:c r="A367" s="28" t="str">
        <x:v>NCT-0366</x:v>
      </x:c>
      <x:c r="B367" s="28" t="str">
        <x:v>миндаль</x:v>
      </x:c>
      <x:c r="C367" s="28" t="str">
        <x:v>Напитки</x:v>
      </x:c>
      <x:c r="D367" s="28" t="str">
        <x:v>миндаль</x:v>
      </x:c>
      <x:c r="E367" s="28" t="str">
        <x:v>миндаль</x:v>
      </x:c>
      <x:c r="F367" s="28" t="str">
        <x:v>Орехи и семена</x:v>
      </x:c>
      <x:c r="G367" s="28" t="str">
        <x:v>ромашка</x:v>
      </x:c>
      <x:c r="H367" s="28" t="str">
        <x:v>Ромашка</x:v>
      </x:c>
      <x:c r="I367" s="28" t="str">
        <x:v>Алкогольные напитки</x:v>
      </x:c>
      <x:c r="J367" s="28" t="str">
        <x:v>ореховый, сладкий, марципановый, слегка зелёный; после обжарки — карамельный и жареный</x:v>
      </x:c>
      <x:c r="K367" s="28" t="str">
        <x:v>спиртовой, фруктовый или древесный</x:v>
      </x:c>
      <x:c r="L367" s="28" t="str">
        <x:v>бензальдегид, пиразины, фураны, гексаналь</x:v>
      </x:c>
      <x:c r="M367" s="28" t="str">
        <x:v>альдегиды, эфиры</x:v>
      </x:c>
      <x:c r="N367" s="28" t="str">
        <x:v>прямое пересечение семейств не является единственным объяснением</x:v>
      </x:c>
      <x:c r="O367" s="28" t="str">
        <x:v>надежная общая ключевая молекула не подтверждена</x:v>
      </x:c>
      <x:c r="P367" s="28" t="str">
        <x:v>сенсорная комплементарность</x:v>
      </x:c>
      <x:c r="Q36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67" s="28" t="str">
        <x:v>минимальный</x:v>
      </x:c>
      <x:c r="S367" s="28" t="str">
        <x:v>жирная белково-клетчаточная матрица; гидрофобные ароматические вещества хорошо удерживаются липидами Этанол эффективно извлекает терпены, фенолы и жареные молекулы; время контакта нужно ограничивать.</x:v>
      </x:c>
      <x:c r="T36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67" s="28" t="str">
        <x:v>Миндаль имеет профиль «ореховый, сладкий, марципановый, слегка зелёный; после обжарки — карамельный и жареный». Партнёр «ромашка» относится к группе «Алкогольные напитки» и даёт спиртовой, фруктовый или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67" s="28" t="str">
        <x:v>аллерген; быстро прогоркает после помола; горький миндаль и ядра косточковых не взаимозаменяемы</x:v>
      </x:c>
      <x:c r="W367" s="28" t="str">
        <x:v>соль, ваниль или карамель</x:v>
      </x:c>
      <x:c r="X367" s="28" t="str">
        <x:v>пралине, паста, выпечка, гарнир, соус, молочный или коктейльный компонент с ромашка</x:v>
      </x:c>
      <x:c r="Y367" s="28" t="str">
        <x:v>напитки, десерты</x:v>
      </x:c>
      <x:c r="Z367" s="28" t="str">
        <x:v>Гипотеза / практическая</x:v>
      </x:c>
      <x:c r="AA367" s="28" t="str">
        <x:v>Таблица сочетания(1).pdf</x:v>
      </x:c>
      <x:c r="AB367" s="28" t="str">
        <x:v>Таблица сочетания(1).pdf: 4</x:v>
      </x:c>
      <x:c r="AC367" s="28" t="str">
        <x:v>Пара встречается как table; научное объяснение сформировано по ароматическому профилю и пищевой матрице.</x:v>
      </x:c>
      <x:c r="AD367" s="28" t="n">
        <x:v>1</x:v>
      </x:c>
      <x:c r="AE367" s="28" t="n">
        <x:v>1</x:v>
      </x:c>
      <x:c r="AF367" s="28" t="n">
        <x:f>IF(Z367="Высокая",3,IF(Z367="Средняя",2,1))+AD367*2+MIN(AE367,3)</x:f>
        <x:v>4</x:v>
      </x:c>
    </x:row>
    <x:row r="368" ht="62" customHeight="1">
      <x:c r="A368" s="28" t="str">
        <x:v>NCT-0367</x:v>
      </x:c>
      <x:c r="B368" s="28" t="str">
        <x:v>миндаль</x:v>
      </x:c>
      <x:c r="C368" s="28" t="str">
        <x:v>Универсальные</x:v>
      </x:c>
      <x:c r="D368" s="28" t="str">
        <x:v>миндаль</x:v>
      </x:c>
      <x:c r="E368" s="28" t="str">
        <x:v>almond</x:v>
      </x:c>
      <x:c r="F368" s="28" t="str">
        <x:v>Орехи и семена</x:v>
      </x:c>
      <x:c r="G368" s="28" t="str">
        <x:v>семена нигеллы</x:v>
      </x:c>
      <x:c r="H368" s="28" t="str">
        <x:v>nigella seeds</x:v>
      </x:c>
      <x:c r="I368" s="28" t="str">
        <x:v>Прочее</x:v>
      </x:c>
      <x:c r="J368" s="28" t="str">
        <x:v>ореховый, сладкий, марципановый, слегка зелёный; после обжарки — карамельный и жареный</x:v>
      </x:c>
      <x:c r="K368" s="28" t="str">
        <x:v>профиль зависит от конкретного продукта</x:v>
      </x:c>
      <x:c r="L368" s="28" t="str">
        <x:v>бензальдегид, пиразины, фураны, гексаналь</x:v>
      </x:c>
      <x:c r="M368" s="28" t="str">
        <x:v>характерный профиль зависит от конкретного продукта</x:v>
      </x:c>
      <x:c r="N368" s="28" t="str">
        <x:v>прямое пересечение семейств не является единственным объяснением</x:v>
      </x:c>
      <x:c r="O368" s="28" t="str">
        <x:v>надежная общая ключевая молекула не подтверждена</x:v>
      </x:c>
      <x:c r="P368" s="28" t="str">
        <x:v>сенсорная комплементарность</x:v>
      </x:c>
      <x:c r="Q36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68" s="28" t="str">
        <x:v>минимальный</x:v>
      </x:c>
      <x:c r="S368" s="28" t="str">
        <x:v>жирная белково-клетчаточная матрица; гидрофобные ароматические вещества хорошо удерживаются липидами</x:v>
      </x:c>
      <x:c r="T36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68" s="28" t="str">
        <x:v>Миндаль имеет профиль «ореховый, сладкий, марципановый, слегка зелёный; после обжарки — карамельный и жареный». Партнёр «семена нигеллы»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68" s="28" t="str">
        <x:v>аллерген; быстро прогоркает после помола; горький миндаль и ядра косточковых не взаимозаменяемы</x:v>
      </x:c>
      <x:c r="W368" s="28" t="str">
        <x:v>соль, ваниль или карамель</x:v>
      </x:c>
      <x:c r="X368" s="28" t="str">
        <x:v>пралине, паста, выпечка, гарнир, соус, молочный или коктейльный компонент с семена нигеллы</x:v>
      </x:c>
      <x:c r="Y368" s="28" t="str">
        <x:v>десерты</x:v>
      </x:c>
      <x:c r="Z368" s="28" t="str">
        <x:v>Высокая</x:v>
      </x:c>
      <x:c r="AA368" s="28" t="str">
        <x:v>The Art &amp; Science of Foodpairing.pdf</x:v>
      </x:c>
      <x:c r="AB368" s="28" t="str">
        <x:v>The Art &amp; Science of Foodpairing.pdf: 346</x:v>
      </x:c>
      <x:c r="AC368" s="28" t="str">
        <x:v>Пара встречается как potential; научное объяснение сформировано по ароматическому профилю и пищевой матрице.</x:v>
      </x:c>
      <x:c r="AD368" s="28" t="n">
        <x:v>1</x:v>
      </x:c>
      <x:c r="AE368" s="28" t="n">
        <x:v>1</x:v>
      </x:c>
      <x:c r="AF368" s="28" t="n">
        <x:f>IF(Z368="Высокая",3,IF(Z368="Средняя",2,1))+AD368*2+MIN(AE368,3)</x:f>
        <x:v>6</x:v>
      </x:c>
    </x:row>
    <x:row r="369" ht="62" customHeight="1">
      <x:c r="A369" s="28" t="str">
        <x:v>NCT-0368</x:v>
      </x:c>
      <x:c r="B369" s="28" t="str">
        <x:v>миндаль</x:v>
      </x:c>
      <x:c r="C369" s="28" t="str">
        <x:v>Десерты и выпечка</x:v>
      </x:c>
      <x:c r="D369" s="28" t="str">
        <x:v>миндаль</x:v>
      </x:c>
      <x:c r="E369" s="28" t="str">
        <x:v>Миндаль | миндаль</x:v>
      </x:c>
      <x:c r="F369" s="28" t="str">
        <x:v>Орехи и семена</x:v>
      </x:c>
      <x:c r="G369" s="28" t="str">
        <x:v>слива</x:v>
      </x:c>
      <x:c r="H369" s="28" t="str">
        <x:v>Слива | слива</x:v>
      </x:c>
      <x:c r="I369" s="28" t="str">
        <x:v>Фрукты и ягоды</x:v>
      </x:c>
      <x:c r="J369" s="28" t="str">
        <x:v>ореховый, сладкий, марципановый, слегка зелёный; после обжарки — карамельный и жареный</x:v>
      </x:c>
      <x:c r="K369" s="28" t="str">
        <x:v>фруктовый, цветочный и свежий</x:v>
      </x:c>
      <x:c r="L369" s="28" t="str">
        <x:v>бензальдегид, пиразины, фураны, гексаналь</x:v>
      </x:c>
      <x:c r="M369" s="28" t="str">
        <x:v>альдегиды, эфиры</x:v>
      </x:c>
      <x:c r="N369" s="28" t="str">
        <x:v>прямое пересечение семейств не является единственным объяснением</x:v>
      </x:c>
      <x:c r="O369" s="28" t="str">
        <x:v>надежная общая ключевая молекула не подтверждена</x:v>
      </x:c>
      <x:c r="P369" s="28" t="str">
        <x:v>контраст кислоты и жирной/горькой матрицы</x:v>
      </x:c>
      <x:c r="Q36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69" s="28" t="str">
        <x:v>минимальный</x:v>
      </x:c>
      <x:c r="S369" s="28" t="str">
        <x:v>жирная белково-клетчаточная матрица; гидрофобные ароматические вещества хорошо удерживаются липидами Водная фруктовая фаза требует эмульсии или мелкого измельчения, если орех или шоколад вводится как паста.</x:v>
      </x:c>
      <x:c r="T36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69" s="28" t="str">
        <x:v>Миндаль имеет профиль «ореховый, сладкий, марципановый, слегка зелёный; после обжарки — карамельный и жареный». Партнёр «слива»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69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W369" s="28" t="str">
        <x:v>ваниль, цитрус или молочный жир</x:v>
      </x:c>
      <x:c r="X369" s="28" t="str">
        <x:v>пралине, паста, выпечка, гарнир, соус, молочный или коктейльный компонент с слива</x:v>
      </x:c>
      <x:c r="Y369" s="28" t="str">
        <x:v>десерты</x:v>
      </x:c>
      <x:c r="Z369" s="28" t="str">
        <x:v>Гипотеза / практическая</x:v>
      </x:c>
      <x:c r="AA369" s="28" t="str">
        <x:v>Таблица сочетания(1).pdf</x:v>
      </x:c>
      <x:c r="AB369" s="28" t="str">
        <x:v>Таблица сочетания(1).pdf: 1, 17</x:v>
      </x:c>
      <x:c r="AC369" s="28" t="str">
        <x:v>Пара встречается как table; научное объяснение сформировано по ароматическому профилю и пищевой матрице.</x:v>
      </x:c>
      <x:c r="AD369" s="28" t="n">
        <x:v>1</x:v>
      </x:c>
      <x:c r="AE369" s="28" t="n">
        <x:v>2</x:v>
      </x:c>
      <x:c r="AF369" s="28" t="n">
        <x:f>IF(Z369="Высокая",3,IF(Z369="Средняя",2,1))+AD369*2+MIN(AE369,3)</x:f>
        <x:v>5</x:v>
      </x:c>
    </x:row>
    <x:row r="370" ht="62" customHeight="1">
      <x:c r="A370" s="28" t="str">
        <x:v>NCT-0369</x:v>
      </x:c>
      <x:c r="B370" s="28" t="str">
        <x:v>миндаль</x:v>
      </x:c>
      <x:c r="C370" s="28" t="str">
        <x:v>Еда и соусы</x:v>
      </x:c>
      <x:c r="D370" s="28" t="str">
        <x:v>миндаль</x:v>
      </x:c>
      <x:c r="E370" s="28" t="str">
        <x:v>миндаль</x:v>
      </x:c>
      <x:c r="F370" s="28" t="str">
        <x:v>Орехи и семена</x:v>
      </x:c>
      <x:c r="G370" s="28" t="str">
        <x:v>см. также чеснок</x:v>
      </x:c>
      <x:c r="H370" s="28" t="str">
        <x:v>См. также Чеснок</x:v>
      </x:c>
      <x:c r="I370" s="28" t="str">
        <x:v>Овощи, бобовые и грибы</x:v>
      </x:c>
      <x:c r="J370" s="28" t="str">
        <x:v>ореховый, сладкий, марципановый, слегка зелёный; после обжарки — карамельный и жареный</x:v>
      </x:c>
      <x:c r="K370" s="28" t="str">
        <x:v>зелёный, землистый или умами</x:v>
      </x:c>
      <x:c r="L370" s="28" t="str">
        <x:v>бензальдегид, пиразины, фураны, гексаналь</x:v>
      </x:c>
      <x:c r="M370" s="28" t="str">
        <x:v>альдегиды, сернистые соединения</x:v>
      </x:c>
      <x:c r="N370" s="28" t="str">
        <x:v>прямое пересечение семейств не является единственным объяснением</x:v>
      </x:c>
      <x:c r="O370" s="28" t="str">
        <x:v>надежная общая ключевая молекула не подтверждена</x:v>
      </x:c>
      <x:c r="P370" s="28" t="str">
        <x:v>сенсорная комплементарность</x:v>
      </x:c>
      <x:c r="Q37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70" s="28" t="str">
        <x:v>минимальный</x:v>
      </x:c>
      <x:c r="S370" s="28" t="str">
        <x:v>жирная белково-клетчаточная матрица; гидрофобные ароматические вещества хорошо удерживаются липидами</x:v>
      </x:c>
      <x:c r="T37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70" s="28" t="str">
        <x:v>Миндаль имеет профиль «ореховый, сладкий, марципановый, слегка зелёный; после обжарки — карамельный и жареный». Партнёр «см. также чеснок»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70" s="28" t="str">
        <x:v>аллерген; быстро прогоркает после помола; горький миндаль и ядра косточковых не взаимозаменяемы</x:v>
      </x:c>
      <x:c r="W370" s="28" t="str">
        <x:v>соль, ваниль или карамель</x:v>
      </x:c>
      <x:c r="X370" s="28" t="str">
        <x:v>пралине, паста, выпечка, гарнир, соус, молочный или коктейльный компонент с см. также чеснок</x:v>
      </x:c>
      <x:c r="Y370" s="28" t="str">
        <x:v>еда, десерты, соусы/маринады</x:v>
      </x:c>
      <x:c r="Z370" s="28" t="str">
        <x:v>Средняя</x:v>
      </x:c>
      <x:c r="AA370" s="28" t="str">
        <x:v>Тезариус вкусов (Ники Сегнит)(1).pdf</x:v>
      </x:c>
      <x:c r="AB370" s="28" t="str">
        <x:v>Тезариус вкусов (Ники Сегнит)(1).pdf: 668</x:v>
      </x:c>
      <x:c r="AC370" s="28" t="str">
        <x:v>Пара встречается как thesaurus; научное объяснение сформировано по ароматическому профилю и пищевой матрице.</x:v>
      </x:c>
      <x:c r="AD370" s="28" t="n">
        <x:v>1</x:v>
      </x:c>
      <x:c r="AE370" s="28" t="n">
        <x:v>1</x:v>
      </x:c>
      <x:c r="AF370" s="28" t="n">
        <x:f>IF(Z370="Высокая",3,IF(Z370="Средняя",2,1))+AD370*2+MIN(AE370,3)</x:f>
        <x:v>5</x:v>
      </x:c>
    </x:row>
    <x:row r="371" ht="62" customHeight="1">
      <x:c r="A371" s="28" t="str">
        <x:v>NCT-0370</x:v>
      </x:c>
      <x:c r="B371" s="28" t="str">
        <x:v>миндаль</x:v>
      </x:c>
      <x:c r="C371" s="28" t="str">
        <x:v>Еда и соусы</x:v>
      </x:c>
      <x:c r="D371" s="28" t="str">
        <x:v>миндаль</x:v>
      </x:c>
      <x:c r="E371" s="28" t="str">
        <x:v>Миндаль | миндаль</x:v>
      </x:c>
      <x:c r="F371" s="28" t="str">
        <x:v>Орехи и семена</x:v>
      </x:c>
      <x:c r="G371" s="28" t="str">
        <x:v>спаржа</x:v>
      </x:c>
      <x:c r="H371" s="28" t="str">
        <x:v>Спаржа | спаржа</x:v>
      </x:c>
      <x:c r="I371" s="28" t="str">
        <x:v>Овощи, бобовые и грибы</x:v>
      </x:c>
      <x:c r="J371" s="28" t="str">
        <x:v>ореховый, сладкий, марципановый, слегка зелёный; после обжарки — карамельный и жареный</x:v>
      </x:c>
      <x:c r="K371" s="28" t="str">
        <x:v>зелёный, землистый или умами</x:v>
      </x:c>
      <x:c r="L371" s="28" t="str">
        <x:v>бензальдегид, пиразины, фураны, гексаналь</x:v>
      </x:c>
      <x:c r="M371" s="28" t="str">
        <x:v>альдегиды, сернистые соединения</x:v>
      </x:c>
      <x:c r="N371" s="28" t="str">
        <x:v>прямое пересечение семейств не является единственным объяснением</x:v>
      </x:c>
      <x:c r="O371" s="28" t="str">
        <x:v>надежная общая ключевая молекула не подтверждена</x:v>
      </x:c>
      <x:c r="P371" s="28" t="str">
        <x:v>сенсорная комплементарность</x:v>
      </x:c>
      <x:c r="Q37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71" s="28" t="str">
        <x:v>минимальный</x:v>
      </x:c>
      <x:c r="S371" s="28" t="str">
        <x:v>жирная белково-клетчаточная матрица; гидрофобные ароматические вещества хорошо удерживаются липидами</x:v>
      </x:c>
      <x:c r="T37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71" s="28" t="str">
        <x:v>Миндаль имеет профиль «ореховый, сладкий, марципановый, слегка зелёный; после обжарки — карамельный и жареный». Партнёр «спаржа»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71" s="28" t="str">
        <x:v>аллерген; быстро прогоркает после помола; горький миндаль и ядра косточковых не взаимозаменяемы</x:v>
      </x:c>
      <x:c r="W371" s="28" t="str">
        <x:v>соль, ваниль или карамель</x:v>
      </x:c>
      <x:c r="X371" s="28" t="str">
        <x:v>пралине, паста, выпечка, гарнир, соус, молочный или коктейльный компонент с спаржа</x:v>
      </x:c>
      <x:c r="Y371" s="28" t="str">
        <x:v>еда, десерты, соусы/маринады</x:v>
      </x:c>
      <x:c r="Z371" s="28" t="str">
        <x:v>Средняя</x:v>
      </x:c>
      <x:c r="AA371" s="28" t="str">
        <x:v>Тезариус вкусов (Ники Сегнит)(1).pdf</x:v>
      </x:c>
      <x:c r="AB371" s="28" t="str">
        <x:v>Тезариус вкусов (Ники Сегнит)(1).pdf: 347, 648</x:v>
      </x:c>
      <x:c r="AC371" s="28" t="str">
        <x:v>Пара встречается как thesaurus; научное объяснение сформировано по ароматическому профилю и пищевой матрице.</x:v>
      </x:c>
      <x:c r="AD371" s="28" t="n">
        <x:v>1</x:v>
      </x:c>
      <x:c r="AE371" s="28" t="n">
        <x:v>2</x:v>
      </x:c>
      <x:c r="AF371" s="28" t="n">
        <x:f>IF(Z371="Высокая",3,IF(Z371="Средняя",2,1))+AD371*2+MIN(AE371,3)</x:f>
        <x:v>6</x:v>
      </x:c>
    </x:row>
    <x:row r="372" ht="62" customHeight="1">
      <x:c r="A372" s="28" t="str">
        <x:v>NCT-0371</x:v>
      </x:c>
      <x:c r="B372" s="28" t="str">
        <x:v>миндаль</x:v>
      </x:c>
      <x:c r="C372" s="28" t="str">
        <x:v>Универсальные</x:v>
      </x:c>
      <x:c r="D372" s="28" t="str">
        <x:v>миндаль</x:v>
      </x:c>
      <x:c r="E372" s="28" t="str">
        <x:v>Миндаль | миндаль</x:v>
      </x:c>
      <x:c r="F372" s="28" t="str">
        <x:v>Орехи и семена</x:v>
      </x:c>
      <x:c r="G372" s="28" t="str">
        <x:v>твердый сыр</x:v>
      </x:c>
      <x:c r="H372" s="28" t="str">
        <x:v>Твердый сыр | твердый сыр</x:v>
      </x:c>
      <x:c r="I372" s="28" t="str">
        <x:v>Молочные продукты и сыры</x:v>
      </x:c>
      <x:c r="J372" s="28" t="str">
        <x:v>ореховый, сладкий, марципановый, слегка зелёный; после обжарки — карамельный и жареный</x:v>
      </x:c>
      <x:c r="K372" s="28" t="str">
        <x:v>молочный, умами, ферментированный</x:v>
      </x:c>
      <x:c r="L372" s="28" t="str">
        <x:v>бензальдегид, пиразины, фураны, гексаналь</x:v>
      </x:c>
      <x:c r="M372" s="28" t="str">
        <x:v>диацетил, жирные кислоты</x:v>
      </x:c>
      <x:c r="N372" s="28" t="str">
        <x:v>прямое пересечение семейств не является единственным объяснением</x:v>
      </x:c>
      <x:c r="O372" s="28" t="str">
        <x:v>надежная общая ключевая молекула не подтверждена</x:v>
      </x:c>
      <x:c r="P372" s="28" t="str">
        <x:v>жировая экстракция и связывание полифенолов белком</x:v>
      </x:c>
      <x:c r="Q37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72" s="28" t="str">
        <x:v>минимальный</x:v>
      </x:c>
      <x:c r="S372" s="28" t="str">
        <x:v>жирная белково-клетчаточная матрица; гидрофобные ароматические вещества хорошо удерживаются липидами Совпадающие жирные фазы облегчают перенос аромата, но могут сделать продукт тяжёлым.</x:v>
      </x:c>
      <x:c r="T37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72" s="28" t="str">
        <x:v>Миндаль имеет профиль «ореховый, сладкий, марципановый, слегка зелёный; после обжарки — карамельный и жареный». Партнёр «твердый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72" s="28" t="str">
        <x:v>аллерген; быстро прогоркает после помола; горький миндаль и ядра косточковых не взаимозаменяемы; жир способен приглушить тонкую ароматику; белок связывает полифенолы</x:v>
      </x:c>
      <x:c r="W372" s="28" t="str">
        <x:v>мёд, карамель или фруктовая кислота</x:v>
      </x:c>
      <x:c r="X372" s="28" t="str">
        <x:v>пралине, паста, выпечка, гарнир, соус, молочный или коктейльный компонент с твердый сыр</x:v>
      </x:c>
      <x:c r="Y372" s="28" t="str">
        <x:v>десерты</x:v>
      </x:c>
      <x:c r="Z372" s="28" t="str">
        <x:v>Средняя</x:v>
      </x:c>
      <x:c r="AA372" s="28" t="str">
        <x:v>Тезариус вкусов (Ники Сегнит)(1).pdf</x:v>
      </x:c>
      <x:c r="AB372" s="28" t="str">
        <x:v>Тезариус вкусов (Ники Сегнит)(1).pdf: 174, 648</x:v>
      </x:c>
      <x:c r="AC372" s="28" t="str">
        <x:v>Пара встречается как thesaurus; научное объяснение сформировано по ароматическому профилю и пищевой матрице.</x:v>
      </x:c>
      <x:c r="AD372" s="28" t="n">
        <x:v>1</x:v>
      </x:c>
      <x:c r="AE372" s="28" t="n">
        <x:v>2</x:v>
      </x:c>
      <x:c r="AF372" s="28" t="n">
        <x:f>IF(Z372="Высокая",3,IF(Z372="Средняя",2,1))+AD372*2+MIN(AE372,3)</x:f>
        <x:v>6</x:v>
      </x:c>
    </x:row>
    <x:row r="373" ht="62" customHeight="1">
      <x:c r="A373" s="28" t="str">
        <x:v>NCT-0372</x:v>
      </x:c>
      <x:c r="B373" s="28" t="str">
        <x:v>миндаль</x:v>
      </x:c>
      <x:c r="C373" s="28" t="str">
        <x:v>Универсальные</x:v>
      </x:c>
      <x:c r="D373" s="28" t="str">
        <x:v>миндаль</x:v>
      </x:c>
      <x:c r="E373" s="28" t="str">
        <x:v>oil-roasted almond</x:v>
      </x:c>
      <x:c r="F373" s="28" t="str">
        <x:v>Орехи и семена</x:v>
      </x:c>
      <x:c r="G373" s="28" t="str">
        <x:v>текила</x:v>
      </x:c>
      <x:c r="H373" s="28" t="str">
        <x:v>tequila</x:v>
      </x:c>
      <x:c r="I373" s="28" t="str">
        <x:v>Прочее</x:v>
      </x:c>
      <x:c r="J373" s="28" t="str">
        <x:v>ореховый, сладкий, марципановый, слегка зелёный; после обжарки — карамельный и жареный</x:v>
      </x:c>
      <x:c r="K373" s="28" t="str">
        <x:v>профиль зависит от конкретного продукта</x:v>
      </x:c>
      <x:c r="L373" s="28" t="str">
        <x:v>бензальдегид, пиразины, фураны, гексаналь</x:v>
      </x:c>
      <x:c r="M373" s="28" t="str">
        <x:v>характерный профиль зависит от конкретного продукта</x:v>
      </x:c>
      <x:c r="N373" s="28" t="str">
        <x:v>прямое пересечение семейств не является единственным объяснением</x:v>
      </x:c>
      <x:c r="O373" s="28" t="str">
        <x:v>надежная общая ключевая молекула не подтверждена</x:v>
      </x:c>
      <x:c r="P373" s="28" t="str">
        <x:v>сенсорная комплементарность</x:v>
      </x:c>
      <x:c r="Q37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73" s="28" t="str">
        <x:v>минимальный</x:v>
      </x:c>
      <x:c r="S373" s="28" t="str">
        <x:v>жирная белково-клетчаточная матрица; гидрофобные ароматические вещества хорошо удерживаются липидами</x:v>
      </x:c>
      <x:c r="T37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73" s="28" t="str">
        <x:v>Миндаль имеет профиль «ореховый, сладкий, марципановый, слегка зелёный; после обжарки — карамельный и жареный». Партнёр «текила»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73" s="28" t="str">
        <x:v>аллерген; быстро прогоркает после помола; горький миндаль и ядра косточковых не взаимозаменяемы</x:v>
      </x:c>
      <x:c r="W373" s="28" t="str">
        <x:v>соль, ваниль или карамель</x:v>
      </x:c>
      <x:c r="X373" s="28" t="str">
        <x:v>пралине, паста, выпечка, гарнир, соус, молочный или коктейльный компонент с текила</x:v>
      </x:c>
      <x:c r="Y373" s="28" t="str">
        <x:v>десерты</x:v>
      </x:c>
      <x:c r="Z373" s="28" t="str">
        <x:v>Средняя</x:v>
      </x:c>
      <x:c r="AA373" s="28" t="str">
        <x:v>The Art &amp; Science of Foodpairing.pdf</x:v>
      </x:c>
      <x:c r="AB373" s="28" t="str">
        <x:v>The Art &amp; Science of Foodpairing.pdf: 82</x:v>
      </x:c>
      <x:c r="AC373" s="28" t="str">
        <x:v>Пара встречается как grid; научное объяснение сформировано по ароматическому профилю и пищевой матрице.</x:v>
      </x:c>
      <x:c r="AD373" s="28" t="n">
        <x:v>1</x:v>
      </x:c>
      <x:c r="AE373" s="28" t="n">
        <x:v>1</x:v>
      </x:c>
      <x:c r="AF373" s="28" t="n">
        <x:f>IF(Z373="Высокая",3,IF(Z373="Средняя",2,1))+AD373*2+MIN(AE373,3)</x:f>
        <x:v>5</x:v>
      </x:c>
    </x:row>
    <x:row r="374" ht="62" customHeight="1">
      <x:c r="A374" s="28" t="str">
        <x:v>NCT-0373</x:v>
      </x:c>
      <x:c r="B374" s="28" t="str">
        <x:v>миндаль</x:v>
      </x:c>
      <x:c r="C374" s="28" t="str">
        <x:v>Еда и соусы</x:v>
      </x:c>
      <x:c r="D374" s="28" t="str">
        <x:v>миндаль</x:v>
      </x:c>
      <x:c r="E374" s="28" t="str">
        <x:v>Миндаль | миндаль</x:v>
      </x:c>
      <x:c r="F374" s="28" t="str">
        <x:v>Орехи и семена</x:v>
      </x:c>
      <x:c r="G374" s="28" t="str">
        <x:v>тыква баттернат</x:v>
      </x:c>
      <x:c r="H374" s="28" t="str">
        <x:v>Тыква баттернат | тыква баттернат</x:v>
      </x:c>
      <x:c r="I374" s="28" t="str">
        <x:v>Овощи, бобовые и грибы</x:v>
      </x:c>
      <x:c r="J374" s="28" t="str">
        <x:v>ореховый, сладкий, марципановый, слегка зелёный; после обжарки — карамельный и жареный</x:v>
      </x:c>
      <x:c r="K374" s="28" t="str">
        <x:v>зелёный, землистый или умами</x:v>
      </x:c>
      <x:c r="L374" s="28" t="str">
        <x:v>бензальдегид, пиразины, фураны, гексаналь</x:v>
      </x:c>
      <x:c r="M374" s="28" t="str">
        <x:v>альдегиды, сернистые соединения</x:v>
      </x:c>
      <x:c r="N374" s="28" t="str">
        <x:v>прямое пересечение семейств не является единственным объяснением</x:v>
      </x:c>
      <x:c r="O374" s="28" t="str">
        <x:v>надежная общая ключевая молекула не подтверждена</x:v>
      </x:c>
      <x:c r="P374" s="28" t="str">
        <x:v>сенсорная комплементарность</x:v>
      </x:c>
      <x:c r="Q37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74" s="28" t="str">
        <x:v>минимальный</x:v>
      </x:c>
      <x:c r="S374" s="28" t="str">
        <x:v>жирная белково-клетчаточная матрица; гидрофобные ароматические вещества хорошо удерживаются липидами</x:v>
      </x:c>
      <x:c r="T37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74" s="28" t="str">
        <x:v>Миндаль имеет профиль «ореховый, сладкий, марципановый, слегка зелёный; после обжарки — карамельный и жареный». Партнёр «тыква баттернат»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74" s="28" t="str">
        <x:v>аллерген; быстро прогоркает после помола; горький миндаль и ядра косточковых не взаимозаменяемы</x:v>
      </x:c>
      <x:c r="W374" s="28" t="str">
        <x:v>соль, ваниль или карамель</x:v>
      </x:c>
      <x:c r="X374" s="28" t="str">
        <x:v>пралине, паста, выпечка, гарнир, соус, молочный или коктейльный компонент с тыква баттернат</x:v>
      </x:c>
      <x:c r="Y374" s="28" t="str">
        <x:v>еда, десерты, соусы/маринады</x:v>
      </x:c>
      <x:c r="Z374" s="28" t="str">
        <x:v>Средняя</x:v>
      </x:c>
      <x:c r="AA374" s="28" t="str">
        <x:v>Тезариус вкусов (Ники Сегнит)(1).pdf</x:v>
      </x:c>
      <x:c r="AB374" s="28" t="str">
        <x:v>Тезариус вкусов (Ники Сегнит)(1).pdf: 611, 648</x:v>
      </x:c>
      <x:c r="AC374" s="28" t="str">
        <x:v>Пара встречается как thesaurus; научное объяснение сформировано по ароматическому профилю и пищевой матрице.</x:v>
      </x:c>
      <x:c r="AD374" s="28" t="n">
        <x:v>1</x:v>
      </x:c>
      <x:c r="AE374" s="28" t="n">
        <x:v>2</x:v>
      </x:c>
      <x:c r="AF374" s="28" t="n">
        <x:f>IF(Z374="Высокая",3,IF(Z374="Средняя",2,1))+AD374*2+MIN(AE374,3)</x:f>
        <x:v>6</x:v>
      </x:c>
    </x:row>
    <x:row r="375" ht="62" customHeight="1">
      <x:c r="A375" s="28" t="str">
        <x:v>NCT-0374</x:v>
      </x:c>
      <x:c r="B375" s="28" t="str">
        <x:v>миндаль</x:v>
      </x:c>
      <x:c r="C375" s="28" t="str">
        <x:v>Универсальные</x:v>
      </x:c>
      <x:c r="D375" s="28" t="str">
        <x:v>миндаль</x:v>
      </x:c>
      <x:c r="E375" s="28" t="str">
        <x:v>миндаль</x:v>
      </x:c>
      <x:c r="F375" s="28" t="str">
        <x:v>Орехи и семена</x:v>
      </x:c>
      <x:c r="G375" s="28" t="str">
        <x:v>фиалка</x:v>
      </x:c>
      <x:c r="H375" s="28" t="str">
        <x:v>Фиалка</x:v>
      </x:c>
      <x:c r="I375" s="28" t="str">
        <x:v>Прочее</x:v>
      </x:c>
      <x:c r="J375" s="28" t="str">
        <x:v>ореховый, сладкий, марципановый, слегка зелёный; после обжарки — карамельный и жареный</x:v>
      </x:c>
      <x:c r="K375" s="28" t="str">
        <x:v>профиль зависит от конкретного продукта</x:v>
      </x:c>
      <x:c r="L375" s="28" t="str">
        <x:v>бензальдегид, пиразины, фураны, гексаналь</x:v>
      </x:c>
      <x:c r="M375" s="28" t="str">
        <x:v>характерный профиль зависит от конкретного продукта</x:v>
      </x:c>
      <x:c r="N375" s="28" t="str">
        <x:v>прямое пересечение семейств не является единственным объяснением</x:v>
      </x:c>
      <x:c r="O375" s="28" t="str">
        <x:v>надежная общая ключевая молекула не подтверждена</x:v>
      </x:c>
      <x:c r="P375" s="28" t="str">
        <x:v>сенсорная комплементарность</x:v>
      </x:c>
      <x:c r="Q37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75" s="28" t="str">
        <x:v>минимальный</x:v>
      </x:c>
      <x:c r="S375" s="28" t="str">
        <x:v>жирная белково-клетчаточная матрица; гидрофобные ароматические вещества хорошо удерживаются липидами</x:v>
      </x:c>
      <x:c r="T37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75" s="28" t="str">
        <x:v>Миндаль имеет профиль «ореховый, сладкий, марципановый, слегка зелёный; после обжарки — карамельный и жареный». Партнёр «фиалка»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75" s="28" t="str">
        <x:v>аллерген; быстро прогоркает после помола; горький миндаль и ядра косточковых не взаимозаменяемы</x:v>
      </x:c>
      <x:c r="W375" s="28" t="str">
        <x:v>соль, ваниль или карамель</x:v>
      </x:c>
      <x:c r="X375" s="28" t="str">
        <x:v>пралине, паста, выпечка, гарнир, соус, молочный или коктейльный компонент с фиалка</x:v>
      </x:c>
      <x:c r="Y375" s="28" t="str">
        <x:v>десерты</x:v>
      </x:c>
      <x:c r="Z375" s="28" t="str">
        <x:v>Гипотеза / практическая</x:v>
      </x:c>
      <x:c r="AA375" s="28" t="str">
        <x:v>Таблица сочетания(1).pdf</x:v>
      </x:c>
      <x:c r="AB375" s="28" t="str">
        <x:v>Таблица сочетания(1).pdf: 21</x:v>
      </x:c>
      <x:c r="AC375" s="28" t="str">
        <x:v>Пара встречается как table; научное объяснение сформировано по ароматическому профилю и пищевой матрице.</x:v>
      </x:c>
      <x:c r="AD375" s="28" t="n">
        <x:v>1</x:v>
      </x:c>
      <x:c r="AE375" s="28" t="n">
        <x:v>1</x:v>
      </x:c>
      <x:c r="AF375" s="28" t="n">
        <x:f>IF(Z375="Высокая",3,IF(Z375="Средняя",2,1))+AD375*2+MIN(AE375,3)</x:f>
        <x:v>4</x:v>
      </x:c>
    </x:row>
    <x:row r="376" ht="62" customHeight="1">
      <x:c r="A376" s="28" t="str">
        <x:v>NCT-0375</x:v>
      </x:c>
      <x:c r="B376" s="28" t="str">
        <x:v>миндаль</x:v>
      </x:c>
      <x:c r="C376" s="28" t="str">
        <x:v>Универсальные</x:v>
      </x:c>
      <x:c r="D376" s="28" t="str">
        <x:v>миндаль</x:v>
      </x:c>
      <x:c r="E376" s="28" t="str">
        <x:v>миндаль</x:v>
      </x:c>
      <x:c r="F376" s="28" t="str">
        <x:v>Орехи и семена</x:v>
      </x:c>
      <x:c r="G376" s="28" t="str">
        <x:v>финик</x:v>
      </x:c>
      <x:c r="H376" s="28" t="str">
        <x:v>Финик</x:v>
      </x:c>
      <x:c r="I376" s="28" t="str">
        <x:v>Прочее</x:v>
      </x:c>
      <x:c r="J376" s="28" t="str">
        <x:v>ореховый, сладкий, марципановый, слегка зелёный; после обжарки — карамельный и жареный</x:v>
      </x:c>
      <x:c r="K376" s="28" t="str">
        <x:v>профиль зависит от конкретного продукта</x:v>
      </x:c>
      <x:c r="L376" s="28" t="str">
        <x:v>бензальдегид, пиразины, фураны, гексаналь</x:v>
      </x:c>
      <x:c r="M376" s="28" t="str">
        <x:v>характерный профиль зависит от конкретного продукта</x:v>
      </x:c>
      <x:c r="N376" s="28" t="str">
        <x:v>прямое пересечение семейств не является единственным объяснением</x:v>
      </x:c>
      <x:c r="O376" s="28" t="str">
        <x:v>надежная общая ключевая молекула не подтверждена</x:v>
      </x:c>
      <x:c r="P376" s="28" t="str">
        <x:v>сенсорная комплементарность</x:v>
      </x:c>
      <x:c r="Q37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76" s="28" t="str">
        <x:v>минимальный</x:v>
      </x:c>
      <x:c r="S376" s="28" t="str">
        <x:v>жирная белково-клетчаточная матрица; гидрофобные ароматические вещества хорошо удерживаются липидами</x:v>
      </x:c>
      <x:c r="T37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76" s="28" t="str">
        <x:v>Миндаль имеет профиль «ореховый, сладкий, марципановый, слегка зелёный; после обжарки — карамельный и жареный». Партнёр «финик»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76" s="28" t="str">
        <x:v>аллерген; быстро прогоркает после помола; горький миндаль и ядра косточковых не взаимозаменяемы</x:v>
      </x:c>
      <x:c r="W376" s="28" t="str">
        <x:v>соль, ваниль или карамель</x:v>
      </x:c>
      <x:c r="X376" s="28" t="str">
        <x:v>пралине, паста, выпечка, гарнир, соус, молочный или коктейльный компонент с финик</x:v>
      </x:c>
      <x:c r="Y376" s="28" t="str">
        <x:v>десерты</x:v>
      </x:c>
      <x:c r="Z376" s="28" t="str">
        <x:v>Гипотеза / практическая</x:v>
      </x:c>
      <x:c r="AA376" s="28" t="str">
        <x:v>Таблица сочетания(1).pdf</x:v>
      </x:c>
      <x:c r="AB376" s="28" t="str">
        <x:v>Таблица сочетания(1).pdf: 7</x:v>
      </x:c>
      <x:c r="AC376" s="28" t="str">
        <x:v>Пара встречается как table; научное объяснение сформировано по ароматическому профилю и пищевой матрице.</x:v>
      </x:c>
      <x:c r="AD376" s="28" t="n">
        <x:v>1</x:v>
      </x:c>
      <x:c r="AE376" s="28" t="n">
        <x:v>1</x:v>
      </x:c>
      <x:c r="AF376" s="28" t="n">
        <x:f>IF(Z376="Высокая",3,IF(Z376="Средняя",2,1))+AD376*2+MIN(AE376,3)</x:f>
        <x:v>4</x:v>
      </x:c>
    </x:row>
    <x:row r="377" ht="62" customHeight="1">
      <x:c r="A377" s="28" t="str">
        <x:v>NCT-0376</x:v>
      </x:c>
      <x:c r="B377" s="28" t="str">
        <x:v>миндаль</x:v>
      </x:c>
      <x:c r="C377" s="28" t="str">
        <x:v>Десерты и выпечка</x:v>
      </x:c>
      <x:c r="D377" s="28" t="str">
        <x:v>миндаль</x:v>
      </x:c>
      <x:c r="E377" s="28" t="str">
        <x:v>Миндаль | миндаль</x:v>
      </x:c>
      <x:c r="F377" s="28" t="str">
        <x:v>Орехи и семена</x:v>
      </x:c>
      <x:c r="G377" s="28" t="str">
        <x:v>фундук</x:v>
      </x:c>
      <x:c r="H377" s="28" t="str">
        <x:v>Фундук | фундук</x:v>
      </x:c>
      <x:c r="I377" s="28" t="str">
        <x:v>Орехи и семена</x:v>
      </x:c>
      <x:c r="J377" s="28" t="str">
        <x:v>ореховый, сладкий, марципановый, слегка зелёный; после обжарки — карамельный и жареный</x:v>
      </x:c>
      <x:c r="K377" s="28" t="str">
        <x:v>ореховый, жареный, сладкий, землистый и какаоподобный</x:v>
      </x:c>
      <x:c r="L377" s="28" t="str">
        <x:v>бензальдегид, пиразины, фураны, гексаналь</x:v>
      </x:c>
      <x:c r="M377" s="28" t="str">
        <x:v>альдегиды, пиразины, фильбертон, фураны</x:v>
      </x:c>
      <x:c r="N377" s="28" t="str">
        <x:v>жареный, ореховый</x:v>
      </x:c>
      <x:c r="O377" s="28" t="str">
        <x:v>пиразины, фураны</x:v>
      </x:c>
      <x:c r="P377" s="28" t="str">
        <x:v>общие ароматические соединения, пересечение ароматических семейств, жареная химия и реакции Майяра</x:v>
      </x:c>
      <x:c r="Q37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77" s="28" t="str">
        <x:v>минимальный</x:v>
      </x:c>
      <x:c r="S377" s="28" t="str">
        <x:v>жирная белково-клетчаточная матрица; гидрофобные ароматические вещества хорошо удерживаются липидами</x:v>
      </x:c>
      <x:c r="T37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77" s="28" t="str">
        <x:v>Миндаль имеет профиль «ореховый, сладкий, марципановый, слегка зелёный; после обжарки — карамельный и жареный». Партнёр «фундук» относится к группе «Орехи и семена» и даёт ореховый, жареный, сладкий, землистый и какаоподобный.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ореховый; пиразины, фураны.</x:v>
      </x:c>
      <x:c r="V377" s="28" t="str">
        <x:v>аллерген; быстро прогоркает после помола; горький миндаль и ядра косточковых не взаимозаменяемы</x:v>
      </x:c>
      <x:c r="W377" s="28" t="str">
        <x:v>соль, ваниль или карамель</x:v>
      </x:c>
      <x:c r="X377" s="28" t="str">
        <x:v>пралине, паста, выпечка, гарнир, соус, молочный или коктейльный компонент с фундук</x:v>
      </x:c>
      <x:c r="Y377" s="28" t="str">
        <x:v>десерты</x:v>
      </x:c>
      <x:c r="Z377" s="28" t="str">
        <x:v>Средняя</x:v>
      </x:c>
      <x:c r="AA377" s="28" t="str">
        <x:v>Тезариус вкусов (Ники Сегнит)(1).pdf</x:v>
      </x:c>
      <x:c r="AB377" s="28" t="str">
        <x:v>Тезариус вкусов (Ники Сегнит)(1).pdf: 635, 648</x:v>
      </x:c>
      <x:c r="AC377" s="28" t="str">
        <x:v>Пара встречается как thesaurus; научное объяснение сформировано по ароматическому профилю и пищевой матрице.</x:v>
      </x:c>
      <x:c r="AD377" s="28" t="n">
        <x:v>1</x:v>
      </x:c>
      <x:c r="AE377" s="28" t="n">
        <x:v>2</x:v>
      </x:c>
      <x:c r="AF377" s="28" t="n">
        <x:f>IF(Z377="Высокая",3,IF(Z377="Средняя",2,1))+AD377*2+MIN(AE377,3)</x:f>
        <x:v>6</x:v>
      </x:c>
    </x:row>
    <x:row r="378" ht="62" customHeight="1">
      <x:c r="A378" s="28" t="str">
        <x:v>NCT-0377</x:v>
      </x:c>
      <x:c r="B378" s="28" t="str">
        <x:v>миндаль</x:v>
      </x:c>
      <x:c r="C378" s="28" t="str">
        <x:v>Универсальные</x:v>
      </x:c>
      <x:c r="D378" s="28" t="str">
        <x:v>миндаль</x:v>
      </x:c>
      <x:c r="E378" s="28" t="str">
        <x:v>миндаль</x:v>
      </x:c>
      <x:c r="F378" s="28" t="str">
        <x:v>Орехи и семена</x:v>
      </x:c>
      <x:c r="G378" s="28" t="str">
        <x:v>хурма</x:v>
      </x:c>
      <x:c r="H378" s="28" t="str">
        <x:v>Хурма</x:v>
      </x:c>
      <x:c r="I378" s="28" t="str">
        <x:v>Прочее</x:v>
      </x:c>
      <x:c r="J378" s="28" t="str">
        <x:v>ореховый, сладкий, марципановый, слегка зелёный; после обжарки — карамельный и жареный</x:v>
      </x:c>
      <x:c r="K378" s="28" t="str">
        <x:v>профиль зависит от конкретного продукта</x:v>
      </x:c>
      <x:c r="L378" s="28" t="str">
        <x:v>бензальдегид, пиразины, фураны, гексаналь</x:v>
      </x:c>
      <x:c r="M378" s="28" t="str">
        <x:v>характерный профиль зависит от конкретного продукта</x:v>
      </x:c>
      <x:c r="N378" s="28" t="str">
        <x:v>прямое пересечение семейств не является единственным объяснением</x:v>
      </x:c>
      <x:c r="O378" s="28" t="str">
        <x:v>надежная общая ключевая молекула не подтверждена</x:v>
      </x:c>
      <x:c r="P378" s="28" t="str">
        <x:v>сенсорная комплементарность</x:v>
      </x:c>
      <x:c r="Q37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78" s="28" t="str">
        <x:v>минимальный</x:v>
      </x:c>
      <x:c r="S378" s="28" t="str">
        <x:v>жирная белково-клетчаточная матрица; гидрофобные ароматические вещества хорошо удерживаются липидами</x:v>
      </x:c>
      <x:c r="T37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78" s="28" t="str">
        <x:v>Миндаль имеет профиль «ореховый, сладкий, марципановый, слегка зелёный; после обжарки — карамельный и жареный». Партнёр «хурма»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78" s="28" t="str">
        <x:v>аллерген; быстро прогоркает после помола; горький миндаль и ядра косточковых не взаимозаменяемы</x:v>
      </x:c>
      <x:c r="W378" s="28" t="str">
        <x:v>соль, ваниль или карамель</x:v>
      </x:c>
      <x:c r="X378" s="28" t="str">
        <x:v>пралине, паста, выпечка, гарнир, соус, молочный или коктейльный компонент с хурма</x:v>
      </x:c>
      <x:c r="Y378" s="28" t="str">
        <x:v>десерты</x:v>
      </x:c>
      <x:c r="Z378" s="28" t="str">
        <x:v>Гипотеза / практическая</x:v>
      </x:c>
      <x:c r="AA378" s="28" t="str">
        <x:v>Таблица сочетания(1).pdf</x:v>
      </x:c>
      <x:c r="AB378" s="28" t="str">
        <x:v>Таблица сочетания(1).pdf: 16</x:v>
      </x:c>
      <x:c r="AC378" s="28" t="str">
        <x:v>Пара встречается как table; научное объяснение сформировано по ароматическому профилю и пищевой матрице.</x:v>
      </x:c>
      <x:c r="AD378" s="28" t="n">
        <x:v>1</x:v>
      </x:c>
      <x:c r="AE378" s="28" t="n">
        <x:v>1</x:v>
      </x:c>
      <x:c r="AF378" s="28" t="n">
        <x:f>IF(Z378="Высокая",3,IF(Z378="Средняя",2,1))+AD378*2+MIN(AE378,3)</x:f>
        <x:v>4</x:v>
      </x:c>
    </x:row>
    <x:row r="379" ht="62" customHeight="1">
      <x:c r="A379" s="28" t="str">
        <x:v>NCT-0378</x:v>
      </x:c>
      <x:c r="B379" s="28" t="str">
        <x:v>миндаль</x:v>
      </x:c>
      <x:c r="C379" s="28" t="str">
        <x:v>Еда и соусы</x:v>
      </x:c>
      <x:c r="D379" s="28" t="str">
        <x:v>миндаль</x:v>
      </x:c>
      <x:c r="E379" s="28" t="str">
        <x:v>Миндаль | миндаль</x:v>
      </x:c>
      <x:c r="F379" s="28" t="str">
        <x:v>Орехи и семена</x:v>
      </x:c>
      <x:c r="G379" s="28" t="str">
        <x:v>цветная капуста</x:v>
      </x:c>
      <x:c r="H379" s="28" t="str">
        <x:v>Цветная капуста | цветная капуста</x:v>
      </x:c>
      <x:c r="I379" s="28" t="str">
        <x:v>Овощи, бобовые и грибы</x:v>
      </x:c>
      <x:c r="J379" s="28" t="str">
        <x:v>ореховый, сладкий, марципановый, слегка зелёный; после обжарки — карамельный и жареный</x:v>
      </x:c>
      <x:c r="K379" s="28" t="str">
        <x:v>зелёный, землистый или умами</x:v>
      </x:c>
      <x:c r="L379" s="28" t="str">
        <x:v>бензальдегид, пиразины, фураны, гексаналь</x:v>
      </x:c>
      <x:c r="M379" s="28" t="str">
        <x:v>альдегиды, сернистые соединения</x:v>
      </x:c>
      <x:c r="N379" s="28" t="str">
        <x:v>прямое пересечение семейств не является единственным объяснением</x:v>
      </x:c>
      <x:c r="O379" s="28" t="str">
        <x:v>надежная общая ключевая молекула не подтверждена</x:v>
      </x:c>
      <x:c r="P379" s="28" t="str">
        <x:v>сенсорная комплементарность</x:v>
      </x:c>
      <x:c r="Q37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79" s="28" t="str">
        <x:v>минимальный</x:v>
      </x:c>
      <x:c r="S379" s="28" t="str">
        <x:v>жирная белково-клетчаточная матрица; гидрофобные ароматические вещества хорошо удерживаются липидами</x:v>
      </x:c>
      <x:c r="T37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79" s="28" t="str">
        <x:v>Миндаль имеет профиль «ореховый, сладкий, марципановый, слегка зелёный; после обжарки — карамельный и жареный». Партнёр «цветная капуста»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79" s="28" t="str">
        <x:v>аллерген; быстро прогоркает после помола; горький миндаль и ядра косточковых не взаимозаменяемы</x:v>
      </x:c>
      <x:c r="W379" s="28" t="str">
        <x:v>соль, ваниль или карамель</x:v>
      </x:c>
      <x:c r="X379" s="28" t="str">
        <x:v>пралине, паста, выпечка, гарнир, соус, молочный или коктейльный компонент с цветная капуста</x:v>
      </x:c>
      <x:c r="Y379" s="28" t="str">
        <x:v>еда, десерты, соусы/маринады</x:v>
      </x:c>
      <x:c r="Z379" s="28" t="str">
        <x:v>Средняя</x:v>
      </x:c>
      <x:c r="AA379" s="28" t="str">
        <x:v>Тезариус вкусов (Ники Сегнит)(1).pdf</x:v>
      </x:c>
      <x:c r="AB379" s="28" t="str">
        <x:v>Тезариус вкусов (Ники Сегнит)(1).pdf: 324, 648</x:v>
      </x:c>
      <x:c r="AC379" s="28" t="str">
        <x:v>Пара встречается как thesaurus; научное объяснение сформировано по ароматическому профилю и пищевой матрице.</x:v>
      </x:c>
      <x:c r="AD379" s="28" t="n">
        <x:v>1</x:v>
      </x:c>
      <x:c r="AE379" s="28" t="n">
        <x:v>2</x:v>
      </x:c>
      <x:c r="AF379" s="28" t="n">
        <x:f>IF(Z379="Высокая",3,IF(Z379="Средняя",2,1))+AD379*2+MIN(AE379,3)</x:f>
        <x:v>6</x:v>
      </x:c>
    </x:row>
    <x:row r="380" ht="62" customHeight="1">
      <x:c r="A380" s="28" t="str">
        <x:v>NCT-0379</x:v>
      </x:c>
      <x:c r="B380" s="28" t="str">
        <x:v>миндаль</x:v>
      </x:c>
      <x:c r="C380" s="28" t="str">
        <x:v>Универсальные</x:v>
      </x:c>
      <x:c r="D380" s="28" t="str">
        <x:v>миндаль</x:v>
      </x:c>
      <x:c r="E380" s="28" t="str">
        <x:v>Миндаль | миндаль</x:v>
      </x:c>
      <x:c r="F380" s="28" t="str">
        <x:v>Орехи и семена</x:v>
      </x:c>
      <x:c r="G380" s="28" t="str">
        <x:v>цыпленок</x:v>
      </x:c>
      <x:c r="H380" s="28" t="str">
        <x:v>Цыпленок | цыпленок</x:v>
      </x:c>
      <x:c r="I380" s="28" t="str">
        <x:v>Прочее</x:v>
      </x:c>
      <x:c r="J380" s="28" t="str">
        <x:v>ореховый, сладкий, марципановый, слегка зелёный; после обжарки — карамельный и жареный</x:v>
      </x:c>
      <x:c r="K380" s="28" t="str">
        <x:v>профиль зависит от конкретного продукта</x:v>
      </x:c>
      <x:c r="L380" s="28" t="str">
        <x:v>бензальдегид, пиразины, фураны, гексаналь</x:v>
      </x:c>
      <x:c r="M380" s="28" t="str">
        <x:v>характерный профиль зависит от конкретного продукта</x:v>
      </x:c>
      <x:c r="N380" s="28" t="str">
        <x:v>прямое пересечение семейств не является единственным объяснением</x:v>
      </x:c>
      <x:c r="O380" s="28" t="str">
        <x:v>надежная общая ключевая молекула не подтверждена</x:v>
      </x:c>
      <x:c r="P380" s="28" t="str">
        <x:v>сенсорная комплементарность</x:v>
      </x:c>
      <x:c r="Q38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80" s="28" t="str">
        <x:v>минимальный</x:v>
      </x:c>
      <x:c r="S380" s="28" t="str">
        <x:v>жирная белково-клетчаточная матрица; гидрофобные ароматические вещества хорошо удерживаются липидами</x:v>
      </x:c>
      <x:c r="T38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80" s="28" t="str">
        <x:v>Миндаль имеет профиль «ореховый, сладкий, марципановый, слегка зелёный; после обжарки — карамельный и жареный». Партнёр «цыпленок»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80" s="28" t="str">
        <x:v>аллерген; быстро прогоркает после помола; горький миндаль и ядра косточковых не взаимозаменяемы</x:v>
      </x:c>
      <x:c r="W380" s="28" t="str">
        <x:v>соль, ваниль или карамель</x:v>
      </x:c>
      <x:c r="X380" s="28" t="str">
        <x:v>пралине, паста, выпечка, гарнир, соус, молочный или коктейльный компонент с цыпленок</x:v>
      </x:c>
      <x:c r="Y380" s="28" t="str">
        <x:v>десерты</x:v>
      </x:c>
      <x:c r="Z380" s="28" t="str">
        <x:v>Средняя</x:v>
      </x:c>
      <x:c r="AA380" s="28" t="str">
        <x:v>Тезариус вкусов (Ники Сегнит)(1).pdf</x:v>
      </x:c>
      <x:c r="AB380" s="28" t="str">
        <x:v>Тезариус вкусов (Ники Сегнит)(1).pdf: 69, 648</x:v>
      </x:c>
      <x:c r="AC380" s="28" t="str">
        <x:v>Пара встречается как thesaurus; научное объяснение сформировано по ароматическому профилю и пищевой матрице.</x:v>
      </x:c>
      <x:c r="AD380" s="28" t="n">
        <x:v>1</x:v>
      </x:c>
      <x:c r="AE380" s="28" t="n">
        <x:v>2</x:v>
      </x:c>
      <x:c r="AF380" s="28" t="n">
        <x:f>IF(Z380="Высокая",3,IF(Z380="Средняя",2,1))+AD380*2+MIN(AE380,3)</x:f>
        <x:v>6</x:v>
      </x:c>
    </x:row>
    <x:row r="381" ht="62" customHeight="1">
      <x:c r="A381" s="28" t="str">
        <x:v>NCT-0380</x:v>
      </x:c>
      <x:c r="B381" s="28" t="str">
        <x:v>миндаль</x:v>
      </x:c>
      <x:c r="C381" s="28" t="str">
        <x:v>Универсальные</x:v>
      </x:c>
      <x:c r="D381" s="28" t="str">
        <x:v>миндаль</x:v>
      </x:c>
      <x:c r="E381" s="28" t="str">
        <x:v>Миндаль | миндаль</x:v>
      </x:c>
      <x:c r="F381" s="28" t="str">
        <x:v>Орехи и семена</x:v>
      </x:c>
      <x:c r="G381" s="28" t="str">
        <x:v>черная смородина</x:v>
      </x:c>
      <x:c r="H381" s="28" t="str">
        <x:v>Черная смородина | черная смородина</x:v>
      </x:c>
      <x:c r="I381" s="28" t="str">
        <x:v>Прочее</x:v>
      </x:c>
      <x:c r="J381" s="28" t="str">
        <x:v>ореховый, сладкий, марципановый, слегка зелёный; после обжарки — карамельный и жареный</x:v>
      </x:c>
      <x:c r="K381" s="28" t="str">
        <x:v>профиль зависит от конкретного продукта</x:v>
      </x:c>
      <x:c r="L381" s="28" t="str">
        <x:v>бензальдегид, пиразины, фураны, гексаналь</x:v>
      </x:c>
      <x:c r="M381" s="28" t="str">
        <x:v>характерный профиль зависит от конкретного продукта</x:v>
      </x:c>
      <x:c r="N381" s="28" t="str">
        <x:v>прямое пересечение семейств не является единственным объяснением</x:v>
      </x:c>
      <x:c r="O381" s="28" t="str">
        <x:v>надежная общая ключевая молекула не подтверждена</x:v>
      </x:c>
      <x:c r="P381" s="28" t="str">
        <x:v>сенсорная комплементарность</x:v>
      </x:c>
      <x:c r="Q38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81" s="28" t="str">
        <x:v>минимальный</x:v>
      </x:c>
      <x:c r="S381" s="28" t="str">
        <x:v>жирная белково-клетчаточная матрица; гидрофобные ароматические вещества хорошо удерживаются липидами</x:v>
      </x:c>
      <x:c r="T38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81" s="28" t="str">
        <x:v>Миндаль имеет профиль «ореховый, сладкий, марципановый, слегка зелёный; после обжарки — карамельный и жареный». Партнёр «черная смородина»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81" s="28" t="str">
        <x:v>аллерген; быстро прогоркает после помола; горький миндаль и ядра косточковых не взаимозаменяемы</x:v>
      </x:c>
      <x:c r="W381" s="28" t="str">
        <x:v>соль, ваниль или карамель</x:v>
      </x:c>
      <x:c r="X381" s="28" t="str">
        <x:v>пралине, паста, выпечка, гарнир, соус, молочный или коктейльный компонент с черная смородина</x:v>
      </x:c>
      <x:c r="Y381" s="28" t="str">
        <x:v>десерты</x:v>
      </x:c>
      <x:c r="Z381" s="28" t="str">
        <x:v>Средняя</x:v>
      </x:c>
      <x:c r="AA381" s="28" t="str">
        <x:v>Тезариус вкусов (Ники Сегнит)(1).pdf</x:v>
      </x:c>
      <x:c r="AB381" s="28" t="str">
        <x:v>Тезариус вкусов (Ники Сегнит)(1).pdf: 649, 877</x:v>
      </x:c>
      <x:c r="AC381" s="28" t="str">
        <x:v>Пара встречается как thesaurus; научное объяснение сформировано по ароматическому профилю и пищевой матрице.</x:v>
      </x:c>
      <x:c r="AD381" s="28" t="n">
        <x:v>1</x:v>
      </x:c>
      <x:c r="AE381" s="28" t="n">
        <x:v>2</x:v>
      </x:c>
      <x:c r="AF381" s="28" t="n">
        <x:f>IF(Z381="Высокая",3,IF(Z381="Средняя",2,1))+AD381*2+MIN(AE381,3)</x:f>
        <x:v>6</x:v>
      </x:c>
    </x:row>
    <x:row r="382" ht="62" customHeight="1">
      <x:c r="A382" s="28" t="str">
        <x:v>NCT-0381</x:v>
      </x:c>
      <x:c r="B382" s="28" t="str">
        <x:v>миндаль</x:v>
      </x:c>
      <x:c r="C382" s="28" t="str">
        <x:v>Универсальные</x:v>
      </x:c>
      <x:c r="D382" s="28" t="str">
        <x:v>миндаль</x:v>
      </x:c>
      <x:c r="E382" s="28" t="str">
        <x:v>Миндаль | миндаль</x:v>
      </x:c>
      <x:c r="F382" s="28" t="str">
        <x:v>Орехи и семена</x:v>
      </x:c>
      <x:c r="G382" s="28" t="str">
        <x:v>черника</x:v>
      </x:c>
      <x:c r="H382" s="28" t="str">
        <x:v>Черника | черника</x:v>
      </x:c>
      <x:c r="I382" s="28" t="str">
        <x:v>Прочее</x:v>
      </x:c>
      <x:c r="J382" s="28" t="str">
        <x:v>ореховый, сладкий, марципановый, слегка зелёный; после обжарки — карамельный и жареный</x:v>
      </x:c>
      <x:c r="K382" s="28" t="str">
        <x:v>профиль зависит от конкретного продукта</x:v>
      </x:c>
      <x:c r="L382" s="28" t="str">
        <x:v>бензальдегид, пиразины, фураны, гексаналь</x:v>
      </x:c>
      <x:c r="M382" s="28" t="str">
        <x:v>характерный профиль зависит от конкретного продукта</x:v>
      </x:c>
      <x:c r="N382" s="28" t="str">
        <x:v>прямое пересечение семейств не является единственным объяснением</x:v>
      </x:c>
      <x:c r="O382" s="28" t="str">
        <x:v>надежная общая ключевая молекула не подтверждена</x:v>
      </x:c>
      <x:c r="P382" s="28" t="str">
        <x:v>сенсорная комплементарность</x:v>
      </x:c>
      <x:c r="Q38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82" s="28" t="str">
        <x:v>минимальный</x:v>
      </x:c>
      <x:c r="S382" s="28" t="str">
        <x:v>жирная белково-клетчаточная матрица; гидрофобные ароматические вещества хорошо удерживаются липидами</x:v>
      </x:c>
      <x:c r="T38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82" s="28" t="str">
        <x:v>Миндаль имеет профиль «ореховый, сладкий, марципановый, слегка зелёный; после обжарки — карамельный и жареный». Партнёр «черника»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82" s="28" t="str">
        <x:v>аллерген; быстро прогоркает после помола; горький миндаль и ядра косточковых не взаимозаменяемы</x:v>
      </x:c>
      <x:c r="W382" s="28" t="str">
        <x:v>соль, ваниль или карамель</x:v>
      </x:c>
      <x:c r="X382" s="28" t="str">
        <x:v>пралине, паста, выпечка, гарнир, соус, молочный или коктейльный компонент с черника</x:v>
      </x:c>
      <x:c r="Y382" s="28" t="str">
        <x:v>десерты</x:v>
      </x:c>
      <x:c r="Z382" s="28" t="str">
        <x:v>Средняя</x:v>
      </x:c>
      <x:c r="AA382" s="28" t="str">
        <x:v>Тезариус вкусов (Ники Сегнит)(1).pdf</x:v>
      </x:c>
      <x:c r="AB382" s="28" t="str">
        <x:v>Тезариус вкусов (Ники Сегнит)(1).pdf: 649, 905</x:v>
      </x:c>
      <x:c r="AC382" s="28" t="str">
        <x:v>Пара встречается как thesaurus; научное объяснение сформировано по ароматическому профилю и пищевой матрице.</x:v>
      </x:c>
      <x:c r="AD382" s="28" t="n">
        <x:v>1</x:v>
      </x:c>
      <x:c r="AE382" s="28" t="n">
        <x:v>2</x:v>
      </x:c>
      <x:c r="AF382" s="28" t="n">
        <x:f>IF(Z382="Высокая",3,IF(Z382="Средняя",2,1))+AD382*2+MIN(AE382,3)</x:f>
        <x:v>6</x:v>
      </x:c>
    </x:row>
    <x:row r="383" ht="62" customHeight="1">
      <x:c r="A383" s="28" t="str">
        <x:v>NCT-0382</x:v>
      </x:c>
      <x:c r="B383" s="28" t="str">
        <x:v>миндаль</x:v>
      </x:c>
      <x:c r="C383" s="28" t="str">
        <x:v>Десерты и выпечка</x:v>
      </x:c>
      <x:c r="D383" s="28" t="str">
        <x:v>миндаль</x:v>
      </x:c>
      <x:c r="E383" s="28" t="str">
        <x:v>миндаль</x:v>
      </x:c>
      <x:c r="F383" s="28" t="str">
        <x:v>Орехи и семена</x:v>
      </x:c>
      <x:c r="G383" s="28" t="str">
        <x:v>чернослив</x:v>
      </x:c>
      <x:c r="H383" s="28" t="str">
        <x:v>Чернослив</x:v>
      </x:c>
      <x:c r="I383" s="28" t="str">
        <x:v>Фрукты и ягоды</x:v>
      </x:c>
      <x:c r="J383" s="28" t="str">
        <x:v>ореховый, сладкий, марципановый, слегка зелёный; после обжарки — карамельный и жареный</x:v>
      </x:c>
      <x:c r="K383" s="28" t="str">
        <x:v>фруктовый, цветочный и свежий</x:v>
      </x:c>
      <x:c r="L383" s="28" t="str">
        <x:v>бензальдегид, пиразины, фураны, гексаналь</x:v>
      </x:c>
      <x:c r="M383" s="28" t="str">
        <x:v>альдегиды, эфиры</x:v>
      </x:c>
      <x:c r="N383" s="28" t="str">
        <x:v>прямое пересечение семейств не является единственным объяснением</x:v>
      </x:c>
      <x:c r="O383" s="28" t="str">
        <x:v>надежная общая ключевая молекула не подтверждена</x:v>
      </x:c>
      <x:c r="P383" s="28" t="str">
        <x:v>контраст кислоты и жирной/горькой матрицы</x:v>
      </x:c>
      <x:c r="Q38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83" s="28" t="str">
        <x:v>минимальный</x:v>
      </x:c>
      <x:c r="S383" s="28" t="str">
        <x:v>жирная белково-клетчаточная матрица; гидрофобные ароматические вещества хорошо удерживаются липидами Водная фруктовая фаза требует эмульсии или мелкого измельчения, если орех или шоколад вводится как паста.</x:v>
      </x:c>
      <x:c r="T38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83" s="28" t="str">
        <x:v>Миндаль имеет профиль «ореховый, сладкий, марципановый, слегка зелёный; после обжарки — карамельный и жареный». Партнёр «чернослив»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83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W383" s="28" t="str">
        <x:v>ваниль, цитрус или молочный жир</x:v>
      </x:c>
      <x:c r="X383" s="28" t="str">
        <x:v>пралине, паста, выпечка, гарнир, соус, молочный или коктейльный компонент с чернослив</x:v>
      </x:c>
      <x:c r="Y383" s="28" t="str">
        <x:v>десерты</x:v>
      </x:c>
      <x:c r="Z383" s="28" t="str">
        <x:v>Гипотеза / практическая</x:v>
      </x:c>
      <x:c r="AA383" s="28" t="str">
        <x:v>Таблица сочетания(1).pdf</x:v>
      </x:c>
      <x:c r="AB383" s="28" t="str">
        <x:v>Таблица сочетания(1).pdf: 18</x:v>
      </x:c>
      <x:c r="AC383" s="28" t="str">
        <x:v>Пара встречается как table; научное объяснение сформировано по ароматическому профилю и пищевой матрице.</x:v>
      </x:c>
      <x:c r="AD383" s="28" t="n">
        <x:v>1</x:v>
      </x:c>
      <x:c r="AE383" s="28" t="n">
        <x:v>1</x:v>
      </x:c>
      <x:c r="AF383" s="28" t="n">
        <x:f>IF(Z383="Высокая",3,IF(Z383="Средняя",2,1))+AD383*2+MIN(AE383,3)</x:f>
        <x:v>4</x:v>
      </x:c>
    </x:row>
    <x:row r="384" ht="62" customHeight="1">
      <x:c r="A384" s="28" t="str">
        <x:v>NCT-0383</x:v>
      </x:c>
      <x:c r="B384" s="28" t="str">
        <x:v>миндаль</x:v>
      </x:c>
      <x:c r="C384" s="28" t="str">
        <x:v>Еда и соусы</x:v>
      </x:c>
      <x:c r="D384" s="28" t="str">
        <x:v>миндаль</x:v>
      </x:c>
      <x:c r="E384" s="28" t="str">
        <x:v>Миндаль | миндаль</x:v>
      </x:c>
      <x:c r="F384" s="28" t="str">
        <x:v>Орехи и семена</x:v>
      </x:c>
      <x:c r="G384" s="28" t="str">
        <x:v>чеснок</x:v>
      </x:c>
      <x:c r="H384" s="28" t="str">
        <x:v>Чеснок | чеснок</x:v>
      </x:c>
      <x:c r="I384" s="28" t="str">
        <x:v>Овощи, бобовые и грибы</x:v>
      </x:c>
      <x:c r="J384" s="28" t="str">
        <x:v>ореховый, сладкий, марципановый, слегка зелёный; после обжарки — карамельный и жареный</x:v>
      </x:c>
      <x:c r="K384" s="28" t="str">
        <x:v>зелёный, землистый или умами</x:v>
      </x:c>
      <x:c r="L384" s="28" t="str">
        <x:v>бензальдегид, пиразины, фураны, гексаналь</x:v>
      </x:c>
      <x:c r="M384" s="28" t="str">
        <x:v>альдегиды, сернистые соединения</x:v>
      </x:c>
      <x:c r="N384" s="28" t="str">
        <x:v>прямое пересечение семейств не является единственным объяснением</x:v>
      </x:c>
      <x:c r="O384" s="28" t="str">
        <x:v>надежная общая ключевая молекула не подтверждена</x:v>
      </x:c>
      <x:c r="P384" s="28" t="str">
        <x:v>сенсорная комплементарность</x:v>
      </x:c>
      <x:c r="Q38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84" s="28" t="str">
        <x:v>минимальный</x:v>
      </x:c>
      <x:c r="S384" s="28" t="str">
        <x:v>жирная белково-клетчаточная матрица; гидрофобные ароматические вещества хорошо удерживаются липидами</x:v>
      </x:c>
      <x:c r="T38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84" s="28" t="str">
        <x:v>Миндаль имеет профиль «ореховый, сладкий, марципановый, слегка зелёный; после обжарки — карамельный и жареный». Партнёр «чеснок»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84" s="28" t="str">
        <x:v>аллерген; быстро прогоркает после помола; горький миндаль и ядра косточковых не взаимозаменяемы</x:v>
      </x:c>
      <x:c r="W384" s="28" t="str">
        <x:v>соль, ваниль или карамель</x:v>
      </x:c>
      <x:c r="X384" s="28" t="str">
        <x:v>пралине, паста, выпечка, гарнир, соус, молочный или коктейльный компонент с чеснок</x:v>
      </x:c>
      <x:c r="Y384" s="28" t="str">
        <x:v>еда, десерты, соусы/маринады</x:v>
      </x:c>
      <x:c r="Z384" s="28" t="str">
        <x:v>Средняя</x:v>
      </x:c>
      <x:c r="AA384" s="28" t="str">
        <x:v>Тезариус вкусов (Ники Сегнит)(1).pdf</x:v>
      </x:c>
      <x:c r="AB384" s="28" t="str">
        <x:v>Тезариус вкусов (Ники Сегнит)(1).pdf: 295, 650</x:v>
      </x:c>
      <x:c r="AC384" s="28" t="str">
        <x:v>Пара встречается как thesaurus; научное объяснение сформировано по ароматическому профилю и пищевой матрице.</x:v>
      </x:c>
      <x:c r="AD384" s="28" t="n">
        <x:v>1</x:v>
      </x:c>
      <x:c r="AE384" s="28" t="n">
        <x:v>2</x:v>
      </x:c>
      <x:c r="AF384" s="28" t="n">
        <x:f>IF(Z384="Высокая",3,IF(Z384="Средняя",2,1))+AD384*2+MIN(AE384,3)</x:f>
        <x:v>6</x:v>
      </x:c>
    </x:row>
    <x:row r="385" ht="62" customHeight="1">
      <x:c r="A385" s="28" t="str">
        <x:v>NCT-0384</x:v>
      </x:c>
      <x:c r="B385" s="28" t="str">
        <x:v>миндаль</x:v>
      </x:c>
      <x:c r="C385" s="28" t="str">
        <x:v>Универсальные</x:v>
      </x:c>
      <x:c r="D385" s="28" t="str">
        <x:v>миндаль</x:v>
      </x:c>
      <x:c r="E385" s="28" t="str">
        <x:v>Миндаль | миндаль</x:v>
      </x:c>
      <x:c r="F385" s="28" t="str">
        <x:v>Орехи и семена</x:v>
      </x:c>
      <x:c r="G385" s="28" t="str">
        <x:v>чили</x:v>
      </x:c>
      <x:c r="H385" s="28" t="str">
        <x:v>Чили | чили</x:v>
      </x:c>
      <x:c r="I385" s="28" t="str">
        <x:v>Специи</x:v>
      </x:c>
      <x:c r="J385" s="28" t="str">
        <x:v>ореховый, сладкий, марципановый, слегка зелёный; после обжарки — карамельный и жареный</x:v>
      </x:c>
      <x:c r="K385" s="28" t="str">
        <x:v>пряный и древесный</x:v>
      </x:c>
      <x:c r="L385" s="28" t="str">
        <x:v>бензальдегид, пиразины, фураны, гексаналь</x:v>
      </x:c>
      <x:c r="M385" s="28" t="str">
        <x:v>терпены, фенилпропаноиды</x:v>
      </x:c>
      <x:c r="N385" s="28" t="str">
        <x:v>прямое пересечение семейств не является единственным объяснением</x:v>
      </x:c>
      <x:c r="O385" s="28" t="str">
        <x:v>надежная общая ключевая молекула не подтверждена</x:v>
      </x:c>
      <x:c r="P385" s="28" t="str">
        <x:v>сенсорная комплементарность</x:v>
      </x:c>
      <x:c r="Q38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85" s="28" t="str">
        <x:v>минимальный; у острого партнёра тройничный эффект может доминировать</x:v>
      </x:c>
      <x:c r="S385" s="28" t="str">
        <x:v>жирная белково-клетчаточная матрица; гидрофобные ароматические вещества хорошо удерживаются липидами</x:v>
      </x:c>
      <x:c r="T38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85" s="28" t="str">
        <x:v>Миндаль имеет профиль «ореховый, сладкий, марципановый, слегка зелёный; после обжарки — карамельный и жареный». Партнёр «чили»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85" s="28" t="str">
        <x:v>аллерген; быстро прогоркает после помола; горький миндаль и ядра косточковых не взаимозаменяемы</x:v>
      </x:c>
      <x:c r="W385" s="28" t="str">
        <x:v>ваниль, апельсин или мёд</x:v>
      </x:c>
      <x:c r="X385" s="28" t="str">
        <x:v>пралине, паста, выпечка, гарнир, соус, молочный или коктейльный компонент с чили</x:v>
      </x:c>
      <x:c r="Y385" s="28" t="str">
        <x:v>десерты</x:v>
      </x:c>
      <x:c r="Z385" s="28" t="str">
        <x:v>Средняя</x:v>
      </x:c>
      <x:c r="AA385" s="28" t="str">
        <x:v>Тезариус вкусов (Ники Сегнит)(1).pdf</x:v>
      </x:c>
      <x:c r="AB385" s="28" t="str">
        <x:v>Тезариус вкусов (Ники Сегнит)(1).pdf: 556, 650</x:v>
      </x:c>
      <x:c r="AC385" s="28" t="str">
        <x:v>Пара встречается как thesaurus; научное объяснение сформировано по ароматическому профилю и пищевой матрице.</x:v>
      </x:c>
      <x:c r="AD385" s="28" t="n">
        <x:v>1</x:v>
      </x:c>
      <x:c r="AE385" s="28" t="n">
        <x:v>2</x:v>
      </x:c>
      <x:c r="AF385" s="28" t="n">
        <x:f>IF(Z385="Высокая",3,IF(Z385="Средняя",2,1))+AD385*2+MIN(AE385,3)</x:f>
        <x:v>6</x:v>
      </x:c>
    </x:row>
    <x:row r="386" ht="62" customHeight="1">
      <x:c r="A386" s="28" t="str">
        <x:v>NCT-0385</x:v>
      </x:c>
      <x:c r="B386" s="28" t="str">
        <x:v>миндаль</x:v>
      </x:c>
      <x:c r="C386" s="28" t="str">
        <x:v>Универсальные</x:v>
      </x:c>
      <x:c r="D386" s="28" t="str">
        <x:v>миндаль</x:v>
      </x:c>
      <x:c r="E386" s="28" t="str">
        <x:v>миндаль</x:v>
      </x:c>
      <x:c r="F386" s="28" t="str">
        <x:v>Орехи и семена</x:v>
      </x:c>
      <x:c r="G386" s="28" t="str">
        <x:v>чёрная смородина</x:v>
      </x:c>
      <x:c r="H386" s="28" t="str">
        <x:v>Чёрная смородина</x:v>
      </x:c>
      <x:c r="I386" s="28" t="str">
        <x:v>Прочее</x:v>
      </x:c>
      <x:c r="J386" s="28" t="str">
        <x:v>ореховый, сладкий, марципановый, слегка зелёный; после обжарки — карамельный и жареный</x:v>
      </x:c>
      <x:c r="K386" s="28" t="str">
        <x:v>профиль зависит от конкретного продукта</x:v>
      </x:c>
      <x:c r="L386" s="28" t="str">
        <x:v>бензальдегид, пиразины, фураны, гексаналь</x:v>
      </x:c>
      <x:c r="M386" s="28" t="str">
        <x:v>характерный профиль зависит от конкретного продукта</x:v>
      </x:c>
      <x:c r="N386" s="28" t="str">
        <x:v>прямое пересечение семейств не является единственным объяснением</x:v>
      </x:c>
      <x:c r="O386" s="28" t="str">
        <x:v>надежная общая ключевая молекула не подтверждена</x:v>
      </x:c>
      <x:c r="P386" s="28" t="str">
        <x:v>сенсорная комплементарность</x:v>
      </x:c>
      <x:c r="Q38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86" s="28" t="str">
        <x:v>минимальный</x:v>
      </x:c>
      <x:c r="S386" s="28" t="str">
        <x:v>жирная белково-клетчаточная матрица; гидрофобные ароматические вещества хорошо удерживаются липидами</x:v>
      </x:c>
      <x:c r="T38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86" s="28" t="str">
        <x:v>Миндаль имеет профиль «ореховый, сладкий, марципановый, слегка зелёный; после обжарки — карамельный и жареный». Партнёр «чёрная смородина»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86" s="28" t="str">
        <x:v>аллерген; быстро прогоркает после помола; горький миндаль и ядра косточковых не взаимозаменяемы</x:v>
      </x:c>
      <x:c r="W386" s="28" t="str">
        <x:v>соль, ваниль или карамель</x:v>
      </x:c>
      <x:c r="X386" s="28" t="str">
        <x:v>пралине, паста, выпечка, гарнир, соус, молочный или коктейльный компонент с чёрная смородина</x:v>
      </x:c>
      <x:c r="Y386" s="28" t="str">
        <x:v>десерты</x:v>
      </x:c>
      <x:c r="Z386" s="28" t="str">
        <x:v>Гипотеза / практическая</x:v>
      </x:c>
      <x:c r="AA386" s="28" t="str">
        <x:v>Таблица сочетания(1).pdf</x:v>
      </x:c>
      <x:c r="AB386" s="28" t="str">
        <x:v>Таблица сочетания(1).pdf: 2</x:v>
      </x:c>
      <x:c r="AC386" s="28" t="str">
        <x:v>Пара встречается как table; научное объяснение сформировано по ароматическому профилю и пищевой матрице.</x:v>
      </x:c>
      <x:c r="AD386" s="28" t="n">
        <x:v>1</x:v>
      </x:c>
      <x:c r="AE386" s="28" t="n">
        <x:v>1</x:v>
      </x:c>
      <x:c r="AF386" s="28" t="n">
        <x:f>IF(Z386="Высокая",3,IF(Z386="Средняя",2,1))+AD386*2+MIN(AE386,3)</x:f>
        <x:v>4</x:v>
      </x:c>
    </x:row>
    <x:row r="387" ht="62" customHeight="1">
      <x:c r="A387" s="28" t="str">
        <x:v>NCT-0386</x:v>
      </x:c>
      <x:c r="B387" s="28" t="str">
        <x:v>миндаль</x:v>
      </x:c>
      <x:c r="C387" s="28" t="str">
        <x:v>Универсальные</x:v>
      </x:c>
      <x:c r="D387" s="28" t="str">
        <x:v>миндаль</x:v>
      </x:c>
      <x:c r="E387" s="28" t="str">
        <x:v>Миндаль | миндаль</x:v>
      </x:c>
      <x:c r="F387" s="28" t="str">
        <x:v>Орехи и семена</x:v>
      </x:c>
      <x:c r="G387" s="28" t="str">
        <x:v>шафран</x:v>
      </x:c>
      <x:c r="H387" s="28" t="str">
        <x:v>Шафран | шафран</x:v>
      </x:c>
      <x:c r="I387" s="28" t="str">
        <x:v>Прочее</x:v>
      </x:c>
      <x:c r="J387" s="28" t="str">
        <x:v>ореховый, сладкий, марципановый, слегка зелёный; после обжарки — карамельный и жареный</x:v>
      </x:c>
      <x:c r="K387" s="28" t="str">
        <x:v>профиль зависит от конкретного продукта</x:v>
      </x:c>
      <x:c r="L387" s="28" t="str">
        <x:v>бензальдегид, пиразины, фураны, гексаналь</x:v>
      </x:c>
      <x:c r="M387" s="28" t="str">
        <x:v>характерный профиль зависит от конкретного продукта</x:v>
      </x:c>
      <x:c r="N387" s="28" t="str">
        <x:v>прямое пересечение семейств не является единственным объяснением</x:v>
      </x:c>
      <x:c r="O387" s="28" t="str">
        <x:v>надежная общая ключевая молекула не подтверждена</x:v>
      </x:c>
      <x:c r="P387" s="28" t="str">
        <x:v>сенсорная комплементарность</x:v>
      </x:c>
      <x:c r="Q38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87" s="28" t="str">
        <x:v>минимальный</x:v>
      </x:c>
      <x:c r="S387" s="28" t="str">
        <x:v>жирная белково-клетчаточная матрица; гидрофобные ароматические вещества хорошо удерживаются липидами</x:v>
      </x:c>
      <x:c r="T38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87" s="28" t="str">
        <x:v>Миндаль имеет профиль «ореховый, сладкий, марципановый, слегка зелёный; после обжарки — карамельный и жареный». Партнёр «шафран»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87" s="28" t="str">
        <x:v>аллерген; быстро прогоркает после помола; горький миндаль и ядра косточковых не взаимозаменяемы</x:v>
      </x:c>
      <x:c r="W387" s="28" t="str">
        <x:v>соль, ваниль или карамель</x:v>
      </x:c>
      <x:c r="X387" s="28" t="str">
        <x:v>пралине, паста, выпечка, гарнир, соус, молочный или коктейльный компонент с шафран</x:v>
      </x:c>
      <x:c r="Y387" s="28" t="str">
        <x:v>десерты</x:v>
      </x:c>
      <x:c r="Z387" s="28" t="str">
        <x:v>Средняя</x:v>
      </x:c>
      <x:c r="AA387" s="28" t="str">
        <x:v>Тезариус вкусов (Ники Сегнит)(1).pdf</x:v>
      </x:c>
      <x:c r="AB387" s="28" t="str">
        <x:v>Тезариус вкусов (Ники Сегнит)(1).pdf: 475, 650</x:v>
      </x:c>
      <x:c r="AC387" s="28" t="str">
        <x:v>Пара встречается как thesaurus; научное объяснение сформировано по ароматическому профилю и пищевой матрице.</x:v>
      </x:c>
      <x:c r="AD387" s="28" t="n">
        <x:v>1</x:v>
      </x:c>
      <x:c r="AE387" s="28" t="n">
        <x:v>2</x:v>
      </x:c>
      <x:c r="AF387" s="28" t="n">
        <x:f>IF(Z387="Высокая",3,IF(Z387="Средняя",2,1))+AD387*2+MIN(AE387,3)</x:f>
        <x:v>6</x:v>
      </x:c>
    </x:row>
    <x:row r="388" ht="62" customHeight="1">
      <x:c r="A388" s="28" t="str">
        <x:v>NCT-0387</x:v>
      </x:c>
      <x:c r="B388" s="28" t="str">
        <x:v>миндаль</x:v>
      </x:c>
      <x:c r="C388" s="28" t="str">
        <x:v>Десерты и выпечка</x:v>
      </x:c>
      <x:c r="D388" s="28" t="str">
        <x:v>миндаль</x:v>
      </x:c>
      <x:c r="E388" s="28" t="str">
        <x:v>Миндаль | миндаль</x:v>
      </x:c>
      <x:c r="F388" s="28" t="str">
        <x:v>Орехи и семена</x:v>
      </x:c>
      <x:c r="G388" s="28" t="str">
        <x:v>шоколад</x:v>
      </x:c>
      <x:c r="H388" s="28" t="str">
        <x:v>Шоколад | шоколад</x:v>
      </x:c>
      <x:c r="I388" s="28" t="str">
        <x:v>Какао и шоколад</x:v>
      </x:c>
      <x:c r="J388" s="28" t="str">
        <x:v>ореховый, сладкий, марципановый, слегка зелёный; после обжарки — карамельный и жареный</x:v>
      </x:c>
      <x:c r="K388" s="28" t="str">
        <x:v>жареный, какаовый, фруктовый, цветочный, древесный и пряный; профиль зависит от происхождения и обжарки</x:v>
      </x:c>
      <x:c r="L388" s="28" t="str">
        <x:v>бензальдегид, пиразины, фураны, гексаналь</x:v>
      </x:c>
      <x:c r="M388" s="28" t="str">
        <x:v>альдегиды, пиразины, теобромин, фураны, эфиры</x:v>
      </x:c>
      <x:c r="N388" s="28" t="str">
        <x:v>жареный</x:v>
      </x:c>
      <x:c r="O388" s="28" t="str">
        <x:v>пиразины, фураны</x:v>
      </x:c>
      <x:c r="P388" s="28" t="str">
        <x:v>общие ароматические соединения, пересечение ароматических семейств, жареная химия и реакции Майяра</x:v>
      </x:c>
      <x:c r="Q38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88" s="28" t="str">
        <x:v>минимальный</x:v>
      </x:c>
      <x:c r="S388" s="28" t="str">
        <x:v>жирная белково-клетчаточная матрица; гидрофобные ароматические вещества хорошо удерживаются липидами</x:v>
      </x:c>
      <x:c r="T38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88" s="28" t="str">
        <x:v>Миндаль имеет профиль «ореховый, сладкий, марципановый, слегка зелёный; после обжарки — карамельный и жареный».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V388" s="28" t="str">
        <x:v>аллерген; быстро прогоркает после помола; горький миндаль и ядра косточковых не взаимозаменяемы</x:v>
      </x:c>
      <x:c r="W388" s="28" t="str">
        <x:v>соль, ваниль или карамель</x:v>
      </x:c>
      <x:c r="X388" s="28" t="str">
        <x:v>пралине, паста, выпечка, гарнир, соус, молочный или коктейльный компонент с шоколад</x:v>
      </x:c>
      <x:c r="Y388" s="28" t="str">
        <x:v>десерты</x:v>
      </x:c>
      <x:c r="Z388" s="28" t="str">
        <x:v>Высокая</x:v>
      </x:c>
      <x:c r="AA388" s="28" t="str">
        <x:v>Таблица сочетания(1).pdf | Тезариус вкусов (Ники Сегнит)(1).pdf</x:v>
      </x:c>
      <x:c r="AB388" s="28" t="str">
        <x:v>Таблица сочетания(1).pdf: 5; Тезариус вкусов (Ники Сегнит)(1).pdf: 33, 650</x:v>
      </x:c>
      <x:c r="AC388" s="28" t="str">
        <x:v>Пара встречается как table, thesaurus; научное объяснение сформировано по ароматическому профилю и пищевой матрице.</x:v>
      </x:c>
      <x:c r="AD388" s="28" t="n">
        <x:v>2</x:v>
      </x:c>
      <x:c r="AE388" s="28" t="n">
        <x:v>3</x:v>
      </x:c>
      <x:c r="AF388" s="28" t="n">
        <x:f>IF(Z388="Высокая",3,IF(Z388="Средняя",2,1))+AD388*2+MIN(AE388,3)</x:f>
        <x:v>10</x:v>
      </x:c>
    </x:row>
    <x:row r="389" ht="62" customHeight="1">
      <x:c r="A389" s="28" t="str">
        <x:v>NCT-0388</x:v>
      </x:c>
      <x:c r="B389" s="28" t="str">
        <x:v>миндаль</x:v>
      </x:c>
      <x:c r="C389" s="28" t="str">
        <x:v>Универсальные</x:v>
      </x:c>
      <x:c r="D389" s="28" t="str">
        <x:v>миндаль</x:v>
      </x:c>
      <x:c r="E389" s="28" t="str">
        <x:v>миндаль</x:v>
      </x:c>
      <x:c r="F389" s="28" t="str">
        <x:v>Орехи и семена</x:v>
      </x:c>
      <x:c r="G389" s="28" t="str">
        <x:v>юдзу</x:v>
      </x:c>
      <x:c r="H389" s="28" t="str">
        <x:v>Юдзу</x:v>
      </x:c>
      <x:c r="I389" s="28" t="str">
        <x:v>Прочее</x:v>
      </x:c>
      <x:c r="J389" s="28" t="str">
        <x:v>ореховый, сладкий, марципановый, слегка зелёный; после обжарки — карамельный и жареный</x:v>
      </x:c>
      <x:c r="K389" s="28" t="str">
        <x:v>профиль зависит от конкретного продукта</x:v>
      </x:c>
      <x:c r="L389" s="28" t="str">
        <x:v>бензальдегид, пиразины, фураны, гексаналь</x:v>
      </x:c>
      <x:c r="M389" s="28" t="str">
        <x:v>характерный профиль зависит от конкретного продукта</x:v>
      </x:c>
      <x:c r="N389" s="28" t="str">
        <x:v>прямое пересечение семейств не является единственным объяснением</x:v>
      </x:c>
      <x:c r="O389" s="28" t="str">
        <x:v>надежная общая ключевая молекула не подтверждена</x:v>
      </x:c>
      <x:c r="P389" s="28" t="str">
        <x:v>сенсорная комплементарность</x:v>
      </x:c>
      <x:c r="Q38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89" s="28" t="str">
        <x:v>минимальный</x:v>
      </x:c>
      <x:c r="S389" s="28" t="str">
        <x:v>жирная белково-клетчаточная матрица; гидрофобные ароматические вещества хорошо удерживаются липидами</x:v>
      </x:c>
      <x:c r="T38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89" s="28" t="str">
        <x:v>Миндаль имеет профиль «ореховый, сладкий, марципановый, слегка зелёный; после обжарки — карамельный и жареный». Партнёр «юдзу»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89" s="28" t="str">
        <x:v>аллерген; быстро прогоркает после помола; горький миндаль и ядра косточковых не взаимозаменяемы</x:v>
      </x:c>
      <x:c r="W389" s="28" t="str">
        <x:v>соль, ваниль или карамель</x:v>
      </x:c>
      <x:c r="X389" s="28" t="str">
        <x:v>пралине, паста, выпечка, гарнир, соус, молочный или коктейльный компонент с юдзу</x:v>
      </x:c>
      <x:c r="Y389" s="28" t="str">
        <x:v>десерты</x:v>
      </x:c>
      <x:c r="Z389" s="28" t="str">
        <x:v>Гипотеза / практическая</x:v>
      </x:c>
      <x:c r="AA389" s="28" t="str">
        <x:v>Таблица сочетания(1).pdf</x:v>
      </x:c>
      <x:c r="AB389" s="28" t="str">
        <x:v>Таблица сочетания(1).pdf: 22</x:v>
      </x:c>
      <x:c r="AC389" s="28" t="str">
        <x:v>Пара встречается как table; научное объяснение сформировано по ароматическому профилю и пищевой матрице.</x:v>
      </x:c>
      <x:c r="AD389" s="28" t="n">
        <x:v>1</x:v>
      </x:c>
      <x:c r="AE389" s="28" t="n">
        <x:v>1</x:v>
      </x:c>
      <x:c r="AF389" s="28" t="n">
        <x:f>IF(Z389="Высокая",3,IF(Z389="Средняя",2,1))+AD389*2+MIN(AE389,3)</x:f>
        <x:v>4</x:v>
      </x:c>
    </x:row>
    <x:row r="390" ht="62" customHeight="1">
      <x:c r="A390" s="28" t="str">
        <x:v>NCT-0389</x:v>
      </x:c>
      <x:c r="B390" s="28" t="str">
        <x:v>миндаль</x:v>
      </x:c>
      <x:c r="C390" s="28" t="str">
        <x:v>Десерты и выпечка</x:v>
      </x:c>
      <x:c r="D390" s="28" t="str">
        <x:v>миндаль</x:v>
      </x:c>
      <x:c r="E390" s="28" t="str">
        <x:v>Миндаль | миндаль</x:v>
      </x:c>
      <x:c r="F390" s="28" t="str">
        <x:v>Орехи и семена</x:v>
      </x:c>
      <x:c r="G390" s="28" t="str">
        <x:v>яблоко</x:v>
      </x:c>
      <x:c r="H390" s="28" t="str">
        <x:v>Яблоко | яблоко</x:v>
      </x:c>
      <x:c r="I390" s="28" t="str">
        <x:v>Фрукты и ягоды</x:v>
      </x:c>
      <x:c r="J390" s="28" t="str">
        <x:v>ореховый, сладкий, марципановый, слегка зелёный; после обжарки — карамельный и жареный</x:v>
      </x:c>
      <x:c r="K390" s="28" t="str">
        <x:v>фруктовый, цветочный и свежий</x:v>
      </x:c>
      <x:c r="L390" s="28" t="str">
        <x:v>бензальдегид, пиразины, фураны, гексаналь</x:v>
      </x:c>
      <x:c r="M390" s="28" t="str">
        <x:v>альдегиды, эфиры</x:v>
      </x:c>
      <x:c r="N390" s="28" t="str">
        <x:v>прямое пересечение семейств не является единственным объяснением</x:v>
      </x:c>
      <x:c r="O390" s="28" t="str">
        <x:v>надежная общая ключевая молекула не подтверждена</x:v>
      </x:c>
      <x:c r="P390" s="28" t="str">
        <x:v>контраст кислоты и жирной/горькой матрицы</x:v>
      </x:c>
      <x:c r="Q39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90" s="28" t="str">
        <x:v>минимальный</x:v>
      </x:c>
      <x:c r="S390" s="28" t="str">
        <x:v>жирная белково-клетчаточная матрица; гидрофобные ароматические вещества хорошо удерживаются липидами Водная фруктовая фаза требует эмульсии или мелкого измельчения, если орех или шоколад вводится как паста.</x:v>
      </x:c>
      <x:c r="T39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U390" s="28" t="str">
        <x:v>Миндаль имеет профиль «ореховый, сладкий, марципановый, слегка зелёный; после обжарки — карамельный и жареный». Партнёр «яблоко»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390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W390" s="28" t="str">
        <x:v>ваниль, цитрус или молочный жир</x:v>
      </x:c>
      <x:c r="X390" s="28" t="str">
        <x:v>пралине, паста, выпечка, гарнир, соус, молочный или коктейльный компонент с яблоко</x:v>
      </x:c>
      <x:c r="Y390" s="28" t="str">
        <x:v>десерты</x:v>
      </x:c>
      <x:c r="Z390" s="28" t="str">
        <x:v>Средняя</x:v>
      </x:c>
      <x:c r="AA390" s="28" t="str">
        <x:v>Тезариус вкусов (Ники Сегнит)(1).pdf</x:v>
      </x:c>
      <x:c r="AB390" s="28" t="str">
        <x:v>Тезариус вкусов (Ники Сегнит)(1).pdf: 650, 714</x:v>
      </x:c>
      <x:c r="AC390" s="28" t="str">
        <x:v>Пара встречается как thesaurus; научное объяснение сформировано по ароматическому профилю и пищевой матрице.</x:v>
      </x:c>
      <x:c r="AD390" s="28" t="n">
        <x:v>1</x:v>
      </x:c>
      <x:c r="AE390" s="28" t="n">
        <x:v>2</x:v>
      </x:c>
      <x:c r="AF390" s="28" t="n">
        <x:f>IF(Z390="Высокая",3,IF(Z390="Средняя",2,1))+AD390*2+MIN(AE390,3)</x:f>
        <x:v>6</x:v>
      </x:c>
    </x:row>
    <x:row r="391" ht="62" customHeight="1">
      <x:c r="A391" s="28" t="str">
        <x:v>NCT-0390</x:v>
      </x:c>
      <x:c r="B391" s="28" t="str">
        <x:v>молочный шоколад</x:v>
      </x:c>
      <x:c r="C391" s="28" t="str">
        <x:v>Еда и соусы</x:v>
      </x:c>
      <x:c r="D391" s="28" t="str">
        <x:v>молочный шоколад</x:v>
      </x:c>
      <x:c r="E391" s="28" t="str">
        <x:v>milk chocolate</x:v>
      </x:c>
      <x:c r="F391" s="28" t="str">
        <x:v>Какао и шоколад</x:v>
      </x:c>
      <x:c r="G391" s="28" t="str">
        <x:v>balsamic vinegar</x:v>
      </x:c>
      <x:c r="H391" s="28" t="str">
        <x:v>balsamic vinegar</x:v>
      </x:c>
      <x:c r="I391" s="28" t="str">
        <x:v>Ферментированные продукты и соусы</x:v>
      </x:c>
      <x:c r="J391" s="28" t="str">
        <x:v>какаовый, молочный, карамельный и ванильный</x:v>
      </x:c>
      <x:c r="K391" s="28" t="str">
        <x:v>ферментированный, умами и сложный</x:v>
      </x:c>
      <x:c r="L391" s="28" t="str">
        <x:v>пиразины, фураны, ванилин, лактоны, диацетил</x:v>
      </x:c>
      <x:c r="M391" s="28" t="str">
        <x:v>пиразины, фураны, эфиры</x:v>
      </x:c>
      <x:c r="N391" s="28" t="str">
        <x:v>прямое пересечение семейств не является единственным объяснением</x:v>
      </x:c>
      <x:c r="O391" s="28" t="str">
        <x:v>пиразины, фураны</x:v>
      </x:c>
      <x:c r="P391" s="28" t="str">
        <x:v>общие ароматические соединения, солёно-умами контраст</x:v>
      </x:c>
      <x:c r="Q391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391" s="28" t="str">
        <x:v>минимальный</x:v>
      </x:c>
      <x:c r="S391" s="28" t="str">
        <x:v>какао-масло, молочный жир, сахар и какао-сухие вещества</x:v>
      </x:c>
      <x:c r="T391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U391" s="28" t="str">
        <x:v>Молочный шоколад имеет профиль «какаовый, молочный, карамельный и ванильный». Партнёр «balsamic vinegar»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пиразины, фураны.</x:v>
      </x:c>
      <x:c r="V391" s="28" t="str">
        <x:v>сладость и жир быстро подавляют кислотные и цветочные продукты</x:v>
      </x:c>
      <x:c r="W391" s="28" t="str">
        <x:v>карамелизированный лук, грибы или сливочное масло</x:v>
      </x:c>
      <x:c r="X391" s="28" t="str">
        <x:v>ганаш, плитка, крем, мусс, напиток, глазурь или соус с balsamic vinegar</x:v>
      </x:c>
      <x:c r="Y391" s="28" t="str">
        <x:v>еда, десерты, соусы/маринады</x:v>
      </x:c>
      <x:c r="Z391" s="28" t="str">
        <x:v>Средняя</x:v>
      </x:c>
      <x:c r="AA391" s="28" t="str">
        <x:v>The Art &amp; Science of Foodpairing.pdf</x:v>
      </x:c>
      <x:c r="AB391" s="28" t="str">
        <x:v>The Art &amp; Science of Foodpairing.pdf: 316</x:v>
      </x:c>
      <x:c r="AC391" s="28" t="str">
        <x:v>Пара встречается как grid; научное объяснение сформировано по ароматическому профилю и пищевой матрице.</x:v>
      </x:c>
      <x:c r="AD391" s="28" t="n">
        <x:v>1</x:v>
      </x:c>
      <x:c r="AE391" s="28" t="n">
        <x:v>1</x:v>
      </x:c>
      <x:c r="AF391" s="28" t="n">
        <x:f>IF(Z391="Высокая",3,IF(Z391="Средняя",2,1))+AD391*2+MIN(AE391,3)</x:f>
        <x:v>5</x:v>
      </x:c>
    </x:row>
    <x:row r="392" ht="62" customHeight="1">
      <x:c r="A392" s="28" t="str">
        <x:v>NCT-0391</x:v>
      </x:c>
      <x:c r="B392" s="28" t="str">
        <x:v>молочный шоколад</x:v>
      </x:c>
      <x:c r="C392" s="28" t="str">
        <x:v>Еда и соусы</x:v>
      </x:c>
      <x:c r="D392" s="28" t="str">
        <x:v>молочный шоколад</x:v>
      </x:c>
      <x:c r="E392" s="28" t="str">
        <x:v>milk chocolate</x:v>
      </x:c>
      <x:c r="F392" s="28" t="str">
        <x:v>Какао и шоколад</x:v>
      </x:c>
      <x:c r="G392" s="28" t="str">
        <x:v>lberico ham</x:v>
      </x:c>
      <x:c r="H392" s="28" t="str">
        <x:v>lberico ham</x:v>
      </x:c>
      <x:c r="I392" s="28" t="str">
        <x:v>Мясо и птица</x:v>
      </x:c>
      <x:c r="J392" s="28" t="str">
        <x:v>какаовый, молочный, карамельный и ванильный</x:v>
      </x:c>
      <x:c r="K392" s="28" t="str">
        <x:v>жареный, мясной и умами</x:v>
      </x:c>
      <x:c r="L392" s="28" t="str">
        <x:v>пиразины, фураны, ванилин, лактоны, диацетил</x:v>
      </x:c>
      <x:c r="M392" s="28" t="str">
        <x:v>пиразины, сернистые соединения</x:v>
      </x:c>
      <x:c r="N392" s="28" t="str">
        <x:v>прямое пересечение семейств не является единственным объяснением</x:v>
      </x:c>
      <x:c r="O392" s="28" t="str">
        <x:v>пиразины</x:v>
      </x:c>
      <x:c r="P392" s="28" t="str">
        <x:v>общие ароматические соединения, жареная химия и реакции Майяра, солёно-умами контраст</x:v>
      </x:c>
      <x:c r="Q392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392" s="28" t="str">
        <x:v>минимальный</x:v>
      </x:c>
      <x:c r="S392" s="28" t="str">
        <x:v>какао-масло, молочный жир, сахар и какао-сухие вещества</x:v>
      </x:c>
      <x:c r="T392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U392" s="28" t="str">
        <x:v>Молочный шоколад имеет профиль «какаовый, молочный, карамельный и ванильный».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пиразины.</x:v>
      </x:c>
      <x:c r="V392" s="28" t="str">
        <x:v>сладость и жир быстро подавляют кислотные и цветочные продукты</x:v>
      </x:c>
      <x:c r="W392" s="28" t="str">
        <x:v>соль, соевый соус, коричневое масло или специя</x:v>
      </x:c>
      <x:c r="X392" s="28" t="str">
        <x:v>ганаш, плитка, крем, мусс, напиток, глазурь или соус с lberico ham</x:v>
      </x:c>
      <x:c r="Y392" s="28" t="str">
        <x:v>еда, десерты, соусы/маринады</x:v>
      </x:c>
      <x:c r="Z392" s="28" t="str">
        <x:v>Средняя</x:v>
      </x:c>
      <x:c r="AA392" s="28" t="str">
        <x:v>The Art &amp; Science of Foodpairing.pdf</x:v>
      </x:c>
      <x:c r="AB392" s="28" t="str">
        <x:v>The Art &amp; Science of Foodpairing.pdf: 278</x:v>
      </x:c>
      <x:c r="AC392" s="28" t="str">
        <x:v>Пара встречается как grid; научное объяснение сформировано по ароматическому профилю и пищевой матрице.</x:v>
      </x:c>
      <x:c r="AD392" s="28" t="n">
        <x:v>1</x:v>
      </x:c>
      <x:c r="AE392" s="28" t="n">
        <x:v>1</x:v>
      </x:c>
      <x:c r="AF392" s="28" t="n">
        <x:f>IF(Z392="Высокая",3,IF(Z392="Средняя",2,1))+AD392*2+MIN(AE392,3)</x:f>
        <x:v>5</x:v>
      </x:c>
    </x:row>
    <x:row r="393" ht="62" customHeight="1">
      <x:c r="A393" s="28" t="str">
        <x:v>NCT-0392</x:v>
      </x:c>
      <x:c r="B393" s="28" t="str">
        <x:v>молочный шоколад</x:v>
      </x:c>
      <x:c r="C393" s="28" t="str">
        <x:v>Еда и соусы</x:v>
      </x:c>
      <x:c r="D393" s="28" t="str">
        <x:v>молочный шоколад</x:v>
      </x:c>
      <x:c r="E393" s="28" t="str">
        <x:v>milk chocolate</x:v>
      </x:c>
      <x:c r="F393" s="28" t="str">
        <x:v>Какао и шоколад</x:v>
      </x:c>
      <x:c r="G393" s="28" t="str">
        <x:v>tomato and tomato puree</x:v>
      </x:c>
      <x:c r="H393" s="28" t="str">
        <x:v>tomato and tomato puree</x:v>
      </x:c>
      <x:c r="I393" s="28" t="str">
        <x:v>Овощи, бобовые и грибы</x:v>
      </x:c>
      <x:c r="J393" s="28" t="str">
        <x:v>какаовый, молочный, карамельный и ванильный</x:v>
      </x:c>
      <x:c r="K393" s="28" t="str">
        <x:v>зелёный, землистый или умами</x:v>
      </x:c>
      <x:c r="L393" s="28" t="str">
        <x:v>пиразины, фураны, ванилин, лактоны, диацетил</x:v>
      </x:c>
      <x:c r="M393" s="28" t="str">
        <x:v>альдегиды, сернистые соединения</x:v>
      </x:c>
      <x:c r="N393" s="28" t="str">
        <x:v>прямое пересечение семейств не является единственным объяснением</x:v>
      </x:c>
      <x:c r="O393" s="28" t="str">
        <x:v>надежная общая ключевая молекула не подтверждена</x:v>
      </x:c>
      <x:c r="P393" s="28" t="str">
        <x:v>сенсорная комплементарность</x:v>
      </x:c>
      <x:c r="Q393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393" s="28" t="str">
        <x:v>минимальный</x:v>
      </x:c>
      <x:c r="S393" s="28" t="str">
        <x:v>какао-масло, молочный жир, сахар и какао-сухие вещества</x:v>
      </x:c>
      <x:c r="T393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U393" s="28" t="str">
        <x:v>Молочный шоколад имеет профиль «какаовый, молочный, карамельный и ванильный». Партнёр «tomato and tomato puree» относится к группе «Овощи, бобовые и грибы» и даёт зелёный, землистый или умами.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393" s="28" t="str">
        <x:v>сладость и жир быстро подавляют кислотные и цветочные продукты</x:v>
      </x:c>
      <x:c r="W393" s="28" t="str">
        <x:v>соль, ваниль или карамель</x:v>
      </x:c>
      <x:c r="X393" s="28" t="str">
        <x:v>ганаш, плитка, крем, мусс, напиток, глазурь или соус с tomato and tomato puree</x:v>
      </x:c>
      <x:c r="Y393" s="28" t="str">
        <x:v>еда, десерты, соусы/маринады</x:v>
      </x:c>
      <x:c r="Z393" s="28" t="str">
        <x:v>Средняя</x:v>
      </x:c>
      <x:c r="AA393" s="28" t="str">
        <x:v>The Art &amp; Science of Foodpairing.pdf</x:v>
      </x:c>
      <x:c r="AB393" s="28" t="str">
        <x:v>The Art &amp; Science of Foodpairing.pdf: 161</x:v>
      </x:c>
      <x:c r="AC393" s="28" t="str">
        <x:v>Пара встречается как grid; научное объяснение сформировано по ароматическому профилю и пищевой матрице.</x:v>
      </x:c>
      <x:c r="AD393" s="28" t="n">
        <x:v>1</x:v>
      </x:c>
      <x:c r="AE393" s="28" t="n">
        <x:v>1</x:v>
      </x:c>
      <x:c r="AF393" s="28" t="n">
        <x:f>IF(Z393="Высокая",3,IF(Z393="Средняя",2,1))+AD393*2+MIN(AE393,3)</x:f>
        <x:v>5</x:v>
      </x:c>
    </x:row>
    <x:row r="394" ht="62" customHeight="1">
      <x:c r="A394" s="28" t="str">
        <x:v>NCT-0393</x:v>
      </x:c>
      <x:c r="B394" s="28" t="str">
        <x:v>молочный шоколад</x:v>
      </x:c>
      <x:c r="C394" s="28" t="str">
        <x:v>Универсальные</x:v>
      </x:c>
      <x:c r="D394" s="28" t="str">
        <x:v>молочный шоколад</x:v>
      </x:c>
      <x:c r="E394" s="28" t="str">
        <x:v>milk chocolate</x:v>
      </x:c>
      <x:c r="F394" s="28" t="str">
        <x:v>Какао и шоколад</x:v>
      </x:c>
      <x:c r="G394" s="28" t="str">
        <x:v>кардамон</x:v>
      </x:c>
      <x:c r="H394" s="28" t="str">
        <x:v>cardamom</x:v>
      </x:c>
      <x:c r="I394" s="28" t="str">
        <x:v>Специи</x:v>
      </x:c>
      <x:c r="J394" s="28" t="str">
        <x:v>какаовый, молочный, карамельный и ванильный</x:v>
      </x:c>
      <x:c r="K394" s="28" t="str">
        <x:v>камфорный, цветочный, цитрусовый</x:v>
      </x:c>
      <x:c r="L394" s="28" t="str">
        <x:v>пиразины, фураны, ванилин, лактоны, диацетил</x:v>
      </x:c>
      <x:c r="M394" s="28" t="str">
        <x:v>1,8-цинеол, линалоол</x:v>
      </x:c>
      <x:c r="N394" s="28" t="str">
        <x:v>прямое пересечение семейств не является единственным объяснением</x:v>
      </x:c>
      <x:c r="O394" s="28" t="str">
        <x:v>надежная общая ключевая молекула не подтверждена</x:v>
      </x:c>
      <x:c r="P394" s="28" t="str">
        <x:v>сенсорная комплементарность</x:v>
      </x:c>
      <x:c r="Q394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394" s="28" t="str">
        <x:v>минимальный</x:v>
      </x:c>
      <x:c r="S394" s="28" t="str">
        <x:v>какао-масло, молочный жир, сахар и какао-сухие вещества</x:v>
      </x:c>
      <x:c r="T394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U394" s="28" t="str">
        <x:v>Молочный шоколад имеет профиль «какаовый, молочный, карамельный и ванильный». Партнёр «кардамон» относится к группе «Специи» и даёт камфорный, цветочный, цитрусовый.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394" s="28" t="str">
        <x:v>сладость и жир быстро подавляют кислотные и цветочные продукты</x:v>
      </x:c>
      <x:c r="W394" s="28" t="str">
        <x:v>ваниль, апельсин или мёд</x:v>
      </x:c>
      <x:c r="X394" s="28" t="str">
        <x:v>ганаш, плитка, крем, мусс, напиток, глазурь или соус с кардамон</x:v>
      </x:c>
      <x:c r="Y394" s="28" t="str">
        <x:v>десерты</x:v>
      </x:c>
      <x:c r="Z394" s="28" t="str">
        <x:v>Средняя</x:v>
      </x:c>
      <x:c r="AA394" s="28" t="str">
        <x:v>The Art &amp; Science of Foodpairing.pdf</x:v>
      </x:c>
      <x:c r="AB394" s="28" t="str">
        <x:v>The Art &amp; Science of Foodpairing.pdf: 256</x:v>
      </x:c>
      <x:c r="AC394" s="28" t="str">
        <x:v>Пара встречается как grid; научное объяснение сформировано по ароматическому профилю и пищевой матрице.</x:v>
      </x:c>
      <x:c r="AD394" s="28" t="n">
        <x:v>1</x:v>
      </x:c>
      <x:c r="AE394" s="28" t="n">
        <x:v>1</x:v>
      </x:c>
      <x:c r="AF394" s="28" t="n">
        <x:f>IF(Z394="Высокая",3,IF(Z394="Средняя",2,1))+AD394*2+MIN(AE394,3)</x:f>
        <x:v>5</x:v>
      </x:c>
    </x:row>
    <x:row r="395" ht="62" customHeight="1">
      <x:c r="A395" s="28" t="str">
        <x:v>NCT-0394</x:v>
      </x:c>
      <x:c r="B395" s="28" t="str">
        <x:v>молочный шоколад</x:v>
      </x:c>
      <x:c r="C395" s="28" t="str">
        <x:v>Универсальные</x:v>
      </x:c>
      <x:c r="D395" s="28" t="str">
        <x:v>молочный шоколад</x:v>
      </x:c>
      <x:c r="E395" s="28" t="str">
        <x:v>milk chocolate</x:v>
      </x:c>
      <x:c r="F395" s="28" t="str">
        <x:v>Какао и шоколад</x:v>
      </x:c>
      <x:c r="G395" s="28" t="str">
        <x:v>клубника</x:v>
      </x:c>
      <x:c r="H395" s="28" t="str">
        <x:v>strawberry</x:v>
      </x:c>
      <x:c r="I395" s="28" t="str">
        <x:v>Прочее</x:v>
      </x:c>
      <x:c r="J395" s="28" t="str">
        <x:v>какаовый, молочный, карамельный и ванильный</x:v>
      </x:c>
      <x:c r="K395" s="28" t="str">
        <x:v>зелёный, карамельный, фруктовый</x:v>
      </x:c>
      <x:c r="L395" s="28" t="str">
        <x:v>пиразины, фураны, ванилин, лактоны, диацетил</x:v>
      </x:c>
      <x:c r="M395" s="28" t="str">
        <x:v>фуранеол, эфиры</x:v>
      </x:c>
      <x:c r="N395" s="28" t="str">
        <x:v>карамельный</x:v>
      </x:c>
      <x:c r="O395" s="28" t="str">
        <x:v>надежная общая ключевая молекула не подтверждена</x:v>
      </x:c>
      <x:c r="P395" s="28" t="str">
        <x:v>пересечение ароматических семейств</x:v>
      </x:c>
      <x:c r="Q395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395" s="28" t="str">
        <x:v>минимальный</x:v>
      </x:c>
      <x:c r="S395" s="28" t="str">
        <x:v>какао-масло, молочный жир, сахар и какао-сухие вещества</x:v>
      </x:c>
      <x:c r="T395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U395" s="28" t="str">
        <x:v>Молочный шоколад имеет профиль «какаовый, молочный, карамельный и ванильный». Партнёр «клубника» относится к группе «Прочее» и даёт зелёный, карамельный, фруктовый. Профили пересекаются в семействах: карамельный Какао-масло медленно высвобождает липофильные ароматы, а сахар и соль изменяют воспринимаемую горечь. Итог: карамельный; механизм не следует сводить к одной общей молекуле.</x:v>
      </x:c>
      <x:c r="V395" s="28" t="str">
        <x:v>сладость и жир быстро подавляют кислотные и цветочные продукты</x:v>
      </x:c>
      <x:c r="W395" s="28" t="str">
        <x:v>соль, ваниль или карамель</x:v>
      </x:c>
      <x:c r="X395" s="28" t="str">
        <x:v>ганаш, плитка, крем, мусс, напиток, глазурь или соус с клубника</x:v>
      </x:c>
      <x:c r="Y395" s="28" t="str">
        <x:v>десерты</x:v>
      </x:c>
      <x:c r="Z395" s="28" t="str">
        <x:v>Высокая</x:v>
      </x:c>
      <x:c r="AA395" s="28" t="str">
        <x:v>The Art &amp; Science of Foodpairing.pdf</x:v>
      </x:c>
      <x:c r="AB395" s="28" t="str">
        <x:v>The Art &amp; Science of Foodpairing.pdf: 60</x:v>
      </x:c>
      <x:c r="AC395" s="28" t="str">
        <x:v>Пара встречается как classic; научное объяснение сформировано по ароматическому профилю и пищевой матрице.</x:v>
      </x:c>
      <x:c r="AD395" s="28" t="n">
        <x:v>1</x:v>
      </x:c>
      <x:c r="AE395" s="28" t="n">
        <x:v>1</x:v>
      </x:c>
      <x:c r="AF395" s="28" t="n">
        <x:f>IF(Z395="Высокая",3,IF(Z395="Средняя",2,1))+AD395*2+MIN(AE395,3)</x:f>
        <x:v>6</x:v>
      </x:c>
    </x:row>
    <x:row r="396" ht="62" customHeight="1">
      <x:c r="A396" s="28" t="str">
        <x:v>NCT-0395</x:v>
      </x:c>
      <x:c r="B396" s="28" t="str">
        <x:v>молочный шоколад</x:v>
      </x:c>
      <x:c r="C396" s="28" t="str">
        <x:v>Универсальные</x:v>
      </x:c>
      <x:c r="D396" s="28" t="str">
        <x:v>молочный шоколад</x:v>
      </x:c>
      <x:c r="E396" s="28" t="str">
        <x:v>milk chocolate</x:v>
      </x:c>
      <x:c r="F396" s="28" t="str">
        <x:v>Какао и шоколад</x:v>
      </x:c>
      <x:c r="G396" s="28" t="str">
        <x:v>маниок</x:v>
      </x:c>
      <x:c r="H396" s="28" t="str">
        <x:v>cassava</x:v>
      </x:c>
      <x:c r="I396" s="28" t="str">
        <x:v>Прочее</x:v>
      </x:c>
      <x:c r="J396" s="28" t="str">
        <x:v>какаовый, молочный, карамельный и ванильный</x:v>
      </x:c>
      <x:c r="K396" s="28" t="str">
        <x:v>профиль зависит от конкретного продукта</x:v>
      </x:c>
      <x:c r="L396" s="28" t="str">
        <x:v>пиразины, фураны, ванилин, лактоны, диацетил</x:v>
      </x:c>
      <x:c r="M396" s="28" t="str">
        <x:v>характерный профиль зависит от конкретного продукта</x:v>
      </x:c>
      <x:c r="N396" s="28" t="str">
        <x:v>прямое пересечение семейств не является единственным объяснением</x:v>
      </x:c>
      <x:c r="O396" s="28" t="str">
        <x:v>надежная общая ключевая молекула не подтверждена</x:v>
      </x:c>
      <x:c r="P396" s="28" t="str">
        <x:v>сенсорная комплементарность</x:v>
      </x:c>
      <x:c r="Q396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396" s="28" t="str">
        <x:v>минимальный</x:v>
      </x:c>
      <x:c r="S396" s="28" t="str">
        <x:v>какао-масло, молочный жир, сахар и какао-сухие вещества</x:v>
      </x:c>
      <x:c r="T396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U396" s="28" t="str">
        <x:v>Молочный шоколад имеет профиль «какаовый, молочный, карамельный и ванильный». Партнёр «маниок»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396" s="28" t="str">
        <x:v>сладость и жир быстро подавляют кислотные и цветочные продукты</x:v>
      </x:c>
      <x:c r="W396" s="28" t="str">
        <x:v>соль, ваниль или карамель</x:v>
      </x:c>
      <x:c r="X396" s="28" t="str">
        <x:v>ганаш, плитка, крем, мусс, напиток, глазурь или соус с маниок</x:v>
      </x:c>
      <x:c r="Y396" s="28" t="str">
        <x:v>десерты</x:v>
      </x:c>
      <x:c r="Z396" s="28" t="str">
        <x:v>Средняя</x:v>
      </x:c>
      <x:c r="AA396" s="28" t="str">
        <x:v>The Art &amp; Science of Foodpairing.pdf</x:v>
      </x:c>
      <x:c r="AB396" s="28" t="str">
        <x:v>The Art &amp; Science of Foodpairing.pdf: 251</x:v>
      </x:c>
      <x:c r="AC396" s="28" t="str">
        <x:v>Пара встречается как grid; научное объяснение сформировано по ароматическому профилю и пищевой матрице.</x:v>
      </x:c>
      <x:c r="AD396" s="28" t="n">
        <x:v>1</x:v>
      </x:c>
      <x:c r="AE396" s="28" t="n">
        <x:v>1</x:v>
      </x:c>
      <x:c r="AF396" s="28" t="n">
        <x:f>IF(Z396="Высокая",3,IF(Z396="Средняя",2,1))+AD396*2+MIN(AE396,3)</x:f>
        <x:v>5</x:v>
      </x:c>
    </x:row>
    <x:row r="397" ht="62" customHeight="1">
      <x:c r="A397" s="28" t="str">
        <x:v>NCT-0396</x:v>
      </x:c>
      <x:c r="B397" s="28" t="str">
        <x:v>молочный шоколад</x:v>
      </x:c>
      <x:c r="C397" s="28" t="str">
        <x:v>Универсальные</x:v>
      </x:c>
      <x:c r="D397" s="28" t="str">
        <x:v>молочный шоколад</x:v>
      </x:c>
      <x:c r="E397" s="28" t="str">
        <x:v>milk chocolate</x:v>
      </x:c>
      <x:c r="F397" s="28" t="str">
        <x:v>Какао и шоколад</x:v>
      </x:c>
      <x:c r="G397" s="28" t="str">
        <x:v>оливковое масло</x:v>
      </x:c>
      <x:c r="H397" s="28" t="str">
        <x:v>olive oil</x:v>
      </x:c>
      <x:c r="I397" s="28" t="str">
        <x:v>Масла и жиры</x:v>
      </x:c>
      <x:c r="J397" s="28" t="str">
        <x:v>какаовый, молочный, карамельный и ванильный</x:v>
      </x:c>
      <x:c r="K397" s="28" t="str">
        <x:v>жирный и мягкий</x:v>
      </x:c>
      <x:c r="L397" s="28" t="str">
        <x:v>пиразины, фураны, ванилин, лактоны, диацетил</x:v>
      </x:c>
      <x:c r="M397" s="28" t="str">
        <x:v>альдегиды, лактоны</x:v>
      </x:c>
      <x:c r="N397" s="28" t="str">
        <x:v>прямое пересечение семейств не является единственным объяснением</x:v>
      </x:c>
      <x:c r="O397" s="28" t="str">
        <x:v>лактоны</x:v>
      </x:c>
      <x:c r="P397" s="28" t="str">
        <x:v>общие ароматические соединения</x:v>
      </x:c>
      <x:c r="Q397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397" s="28" t="str">
        <x:v>минимальный</x:v>
      </x:c>
      <x:c r="S397" s="28" t="str">
        <x:v>какао-масло, молочный жир, сахар и какао-сухие вещества</x:v>
      </x:c>
      <x:c r="T397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U397" s="28" t="str">
        <x:v>Молочный шоколад имеет профиль «какаовый, молочный, карамельный и ванильный». Партнёр «оливковое масло» относится к группе «Масла и жиры» и даёт жирный и мягкий. Молекулярный мост создают лактоны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лактоны.</x:v>
      </x:c>
      <x:c r="V397" s="28" t="str">
        <x:v>сладость и жир быстро подавляют кислотные и цветочные продукты</x:v>
      </x:c>
      <x:c r="W397" s="28" t="str">
        <x:v>соль, ваниль или карамель</x:v>
      </x:c>
      <x:c r="X397" s="28" t="str">
        <x:v>ганаш, плитка, крем, мусс, напиток, глазурь или соус с оливковое масло</x:v>
      </x:c>
      <x:c r="Y397" s="28" t="str">
        <x:v>десерты</x:v>
      </x:c>
      <x:c r="Z397" s="28" t="str">
        <x:v>Средняя</x:v>
      </x:c>
      <x:c r="AA397" s="28" t="str">
        <x:v>The Art &amp; Science of Foodpairing.pdf</x:v>
      </x:c>
      <x:c r="AB397" s="28" t="str">
        <x:v>The Art &amp; Science of Foodpairing.pdf: 172</x:v>
      </x:c>
      <x:c r="AC397" s="28" t="str">
        <x:v>Пара встречается как grid; научное объяснение сформировано по ароматическому профилю и пищевой матрице.</x:v>
      </x:c>
      <x:c r="AD397" s="28" t="n">
        <x:v>1</x:v>
      </x:c>
      <x:c r="AE397" s="28" t="n">
        <x:v>1</x:v>
      </x:c>
      <x:c r="AF397" s="28" t="n">
        <x:f>IF(Z397="Высокая",3,IF(Z397="Средняя",2,1))+AD397*2+MIN(AE397,3)</x:f>
        <x:v>5</x:v>
      </x:c>
    </x:row>
    <x:row r="398" ht="62" customHeight="1">
      <x:c r="A398" s="28" t="str">
        <x:v>NCT-0397</x:v>
      </x:c>
      <x:c r="B398" s="28" t="str">
        <x:v>молочный шоколад</x:v>
      </x:c>
      <x:c r="C398" s="28" t="str">
        <x:v>Универсальные</x:v>
      </x:c>
      <x:c r="D398" s="28" t="str">
        <x:v>молочный шоколад</x:v>
      </x:c>
      <x:c r="E398" s="28" t="str">
        <x:v>milk chocolate</x:v>
      </x:c>
      <x:c r="F398" s="28" t="str">
        <x:v>Какао и шоколад</x:v>
      </x:c>
      <x:c r="G398" s="28" t="str">
        <x:v>чоризо</x:v>
      </x:c>
      <x:c r="H398" s="28" t="str">
        <x:v>chorizo</x:v>
      </x:c>
      <x:c r="I398" s="28" t="str">
        <x:v>Прочее</x:v>
      </x:c>
      <x:c r="J398" s="28" t="str">
        <x:v>какаовый, молочный, карамельный и ванильный</x:v>
      </x:c>
      <x:c r="K398" s="28" t="str">
        <x:v>профиль зависит от конкретного продукта</x:v>
      </x:c>
      <x:c r="L398" s="28" t="str">
        <x:v>пиразины, фураны, ванилин, лактоны, диацетил</x:v>
      </x:c>
      <x:c r="M398" s="28" t="str">
        <x:v>характерный профиль зависит от конкретного продукта</x:v>
      </x:c>
      <x:c r="N398" s="28" t="str">
        <x:v>прямое пересечение семейств не является единственным объяснением</x:v>
      </x:c>
      <x:c r="O398" s="28" t="str">
        <x:v>надежная общая ключевая молекула не подтверждена</x:v>
      </x:c>
      <x:c r="P398" s="28" t="str">
        <x:v>сенсорная комплементарность</x:v>
      </x:c>
      <x:c r="Q398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398" s="28" t="str">
        <x:v>минимальный</x:v>
      </x:c>
      <x:c r="S398" s="28" t="str">
        <x:v>какао-масло, молочный жир, сахар и какао-сухие вещества</x:v>
      </x:c>
      <x:c r="T398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U398" s="28" t="str">
        <x:v>Молочный шоколад имеет профиль «какаовый, молочный, карамельный и ванильный». Партнёр «чоризо»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398" s="28" t="str">
        <x:v>сладость и жир быстро подавляют кислотные и цветочные продукты</x:v>
      </x:c>
      <x:c r="W398" s="28" t="str">
        <x:v>соль, ваниль или карамель</x:v>
      </x:c>
      <x:c r="X398" s="28" t="str">
        <x:v>ганаш, плитка, крем, мусс, напиток, глазурь или соус с чоризо</x:v>
      </x:c>
      <x:c r="Y398" s="28" t="str">
        <x:v>десерты</x:v>
      </x:c>
      <x:c r="Z398" s="28" t="str">
        <x:v>Средняя</x:v>
      </x:c>
      <x:c r="AA398" s="28" t="str">
        <x:v>The Art &amp; Science of Foodpairing.pdf</x:v>
      </x:c>
      <x:c r="AB398" s="28" t="str">
        <x:v>The Art &amp; Science of Foodpairing.pdf: 288</x:v>
      </x:c>
      <x:c r="AC398" s="28" t="str">
        <x:v>Пара встречается как grid; научное объяснение сформировано по ароматическому профилю и пищевой матрице.</x:v>
      </x:c>
      <x:c r="AD398" s="28" t="n">
        <x:v>1</x:v>
      </x:c>
      <x:c r="AE398" s="28" t="n">
        <x:v>1</x:v>
      </x:c>
      <x:c r="AF398" s="28" t="n">
        <x:f>IF(Z398="Высокая",3,IF(Z398="Средняя",2,1))+AD398*2+MIN(AE398,3)</x:f>
        <x:v>5</x:v>
      </x:c>
    </x:row>
    <x:row r="399" ht="62" customHeight="1">
      <x:c r="A399" s="28" t="str">
        <x:v>NCT-0398</x:v>
      </x:c>
      <x:c r="B399" s="28" t="str">
        <x:v>пекан</x:v>
      </x:c>
      <x:c r="C399" s="28" t="str">
        <x:v>Универсальные</x:v>
      </x:c>
      <x:c r="D399" s="28" t="str">
        <x:v>пекан</x:v>
      </x:c>
      <x:c r="E399" s="28" t="str">
        <x:v>pecan</x:v>
      </x:c>
      <x:c r="F399" s="28" t="str">
        <x:v>Орехи и семена</x:v>
      </x:c>
      <x:c r="G399" s="28" t="str">
        <x:v>blue cheese</x:v>
      </x:c>
      <x:c r="H399" s="28" t="str">
        <x:v>blue cheese</x:v>
      </x:c>
      <x:c r="I399" s="28" t="str">
        <x:v>Молочные продукты и сыры</x:v>
      </x:c>
      <x:c r="J399" s="28" t="str">
        <x:v>маслянистый, сладкий, карамельный и древесно-ореховый</x:v>
      </x:c>
      <x:c r="K399" s="28" t="str">
        <x:v>молочный, сливочный и ферментированный</x:v>
      </x:c>
      <x:c r="L399" s="28" t="str">
        <x:v>пиразины, фураны, лактоны, гексаналь</x:v>
      </x:c>
      <x:c r="M399" s="28" t="str">
        <x:v>диацетил, жирные кислоты, лактоны</x:v>
      </x:c>
      <x:c r="N399" s="28" t="str">
        <x:v>прямое пересечение семейств не является единственным объяснением</x:v>
      </x:c>
      <x:c r="O399" s="28" t="str">
        <x:v>лактоны</x:v>
      </x:c>
      <x:c r="P399" s="28" t="str">
        <x:v>общие ароматические соединения, жировая экстракция и связывание полифенолов белком</x:v>
      </x:c>
      <x:c r="Q39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399" s="28" t="str">
        <x:v>минимальный</x:v>
      </x:c>
      <x:c r="S399" s="28" t="str">
        <x:v>высокожировая и хрупкая; хорошо связывает карамель и шоколад Совпадающие жирные фазы облегчают перенос аромата, но могут сделать продукт тяжёлым.</x:v>
      </x:c>
      <x:c r="T399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399" s="28" t="str">
        <x:v>Пекан имеет профиль «маслянистый, сладкий, карамельный и древесно-ореховый». Партнёр «blue cheese» относится к группе «Молочные продукты и сыры» и даёт молочный, сливочный и ферментированный. Молекулярный мост создают лактоны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лактоны.</x:v>
      </x:c>
      <x:c r="V399" s="28" t="str">
        <x:v>аллерген и высокая склонность к окислению; жир способен приглушить тонкую ароматику; белок связывает полифенолы</x:v>
      </x:c>
      <x:c r="W399" s="28" t="str">
        <x:v>мёд, карамель или фруктовая кислота</x:v>
      </x:c>
      <x:c r="X399" s="28" t="str">
        <x:v>пралине, паста, выпечка, гарнир, соус, молочный или коктейльный компонент с blue cheese</x:v>
      </x:c>
      <x:c r="Y399" s="28" t="str">
        <x:v>десерты</x:v>
      </x:c>
      <x:c r="Z399" s="28" t="str">
        <x:v>Средняя</x:v>
      </x:c>
      <x:c r="AA399" s="28" t="str">
        <x:v>The Art &amp; Science of Foodpairing.pdf</x:v>
      </x:c>
      <x:c r="AB399" s="28" t="str">
        <x:v>The Art &amp; Science of Foodpairing.pdf: 164</x:v>
      </x:c>
      <x:c r="AC399" s="28" t="str">
        <x:v>Пара встречается как grid; научное объяснение сформировано по ароматическому профилю и пищевой матрице.</x:v>
      </x:c>
      <x:c r="AD399" s="28" t="n">
        <x:v>1</x:v>
      </x:c>
      <x:c r="AE399" s="28" t="n">
        <x:v>1</x:v>
      </x:c>
      <x:c r="AF399" s="28" t="n">
        <x:f>IF(Z399="Высокая",3,IF(Z399="Средняя",2,1))+AD399*2+MIN(AE399,3)</x:f>
        <x:v>5</x:v>
      </x:c>
    </x:row>
    <x:row r="400" ht="62" customHeight="1">
      <x:c r="A400" s="28" t="str">
        <x:v>NCT-0399</x:v>
      </x:c>
      <x:c r="B400" s="28" t="str">
        <x:v>пекан</x:v>
      </x:c>
      <x:c r="C400" s="28" t="str">
        <x:v>Еда и соусы</x:v>
      </x:c>
      <x:c r="D400" s="28" t="str">
        <x:v>пекан</x:v>
      </x:c>
      <x:c r="E400" s="28" t="str">
        <x:v>pecan</x:v>
      </x:c>
      <x:c r="F400" s="28" t="str">
        <x:v>Орехи и семена</x:v>
      </x:c>
      <x:c r="G400" s="28" t="str">
        <x:v>tomato and tomato puree</x:v>
      </x:c>
      <x:c r="H400" s="28" t="str">
        <x:v>tomato and tomato puree</x:v>
      </x:c>
      <x:c r="I400" s="28" t="str">
        <x:v>Овощи, бобовые и грибы</x:v>
      </x:c>
      <x:c r="J400" s="28" t="str">
        <x:v>маслянистый, сладкий, карамельный и древесно-ореховый</x:v>
      </x:c>
      <x:c r="K400" s="28" t="str">
        <x:v>зелёный, землистый или умами</x:v>
      </x:c>
      <x:c r="L400" s="28" t="str">
        <x:v>пиразины, фураны, лактоны, гексаналь</x:v>
      </x:c>
      <x:c r="M400" s="28" t="str">
        <x:v>альдегиды, сернистые соединения</x:v>
      </x:c>
      <x:c r="N400" s="28" t="str">
        <x:v>прямое пересечение семейств не является единственным объяснением</x:v>
      </x:c>
      <x:c r="O400" s="28" t="str">
        <x:v>надежная общая ключевая молекула не подтверждена</x:v>
      </x:c>
      <x:c r="P400" s="28" t="str">
        <x:v>сенсорная комплементарность</x:v>
      </x:c>
      <x:c r="Q40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00" s="28" t="str">
        <x:v>минимальный</x:v>
      </x:c>
      <x:c r="S400" s="28" t="str">
        <x:v>высокожировая и хрупкая; хорошо связывает карамель и шоколад</x:v>
      </x:c>
      <x:c r="T400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00" s="28" t="str">
        <x:v>Пекан имеет профиль «маслянистый, сладкий, карамельный и древесно-ореховый». Партнёр «tomato and tomato puree»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00" s="28" t="str">
        <x:v>аллерген и высокая склонность к окислению</x:v>
      </x:c>
      <x:c r="W400" s="28" t="str">
        <x:v>соль, ваниль или карамель</x:v>
      </x:c>
      <x:c r="X400" s="28" t="str">
        <x:v>пралине, паста, выпечка, гарнир, соус, молочный или коктейльный компонент с tomato and tomato puree</x:v>
      </x:c>
      <x:c r="Y400" s="28" t="str">
        <x:v>еда, десерты, соусы/маринады</x:v>
      </x:c>
      <x:c r="Z400" s="28" t="str">
        <x:v>Средняя</x:v>
      </x:c>
      <x:c r="AA400" s="28" t="str">
        <x:v>The Art &amp; Science of Foodpairing.pdf</x:v>
      </x:c>
      <x:c r="AB400" s="28" t="str">
        <x:v>The Art &amp; Science of Foodpairing.pdf: 161</x:v>
      </x:c>
      <x:c r="AC400" s="28" t="str">
        <x:v>Пара встречается как grid; научное объяснение сформировано по ароматическому профилю и пищевой матрице.</x:v>
      </x:c>
      <x:c r="AD400" s="28" t="n">
        <x:v>1</x:v>
      </x:c>
      <x:c r="AE400" s="28" t="n">
        <x:v>1</x:v>
      </x:c>
      <x:c r="AF400" s="28" t="n">
        <x:f>IF(Z400="Высокая",3,IF(Z400="Средняя",2,1))+AD400*2+MIN(AE400,3)</x:f>
        <x:v>5</x:v>
      </x:c>
    </x:row>
    <x:row r="401" ht="62" customHeight="1">
      <x:c r="A401" s="28" t="str">
        <x:v>NCT-0400</x:v>
      </x:c>
      <x:c r="B401" s="28" t="str">
        <x:v>пекан</x:v>
      </x:c>
      <x:c r="C401" s="28" t="str">
        <x:v>Универсальные</x:v>
      </x:c>
      <x:c r="D401" s="28" t="str">
        <x:v>пекан</x:v>
      </x:c>
      <x:c r="E401" s="28" t="str">
        <x:v>пекан</x:v>
      </x:c>
      <x:c r="F401" s="28" t="str">
        <x:v>Орехи и семена</x:v>
      </x:c>
      <x:c r="G401" s="28" t="str">
        <x:v>айва</x:v>
      </x:c>
      <x:c r="H401" s="28" t="str">
        <x:v>Айва</x:v>
      </x:c>
      <x:c r="I401" s="28" t="str">
        <x:v>Прочее</x:v>
      </x:c>
      <x:c r="J401" s="28" t="str">
        <x:v>маслянистый, сладкий, карамельный и древесно-ореховый</x:v>
      </x:c>
      <x:c r="K401" s="28" t="str">
        <x:v>профиль зависит от конкретного продукта</x:v>
      </x:c>
      <x:c r="L401" s="28" t="str">
        <x:v>пиразины, фураны, лактоны, гексаналь</x:v>
      </x:c>
      <x:c r="M401" s="28" t="str">
        <x:v>характерный профиль зависит от конкретного продукта</x:v>
      </x:c>
      <x:c r="N401" s="28" t="str">
        <x:v>прямое пересечение семейств не является единственным объяснением</x:v>
      </x:c>
      <x:c r="O401" s="28" t="str">
        <x:v>надежная общая ключевая молекула не подтверждена</x:v>
      </x:c>
      <x:c r="P401" s="28" t="str">
        <x:v>сенсорная комплементарность</x:v>
      </x:c>
      <x:c r="Q40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01" s="28" t="str">
        <x:v>минимальный</x:v>
      </x:c>
      <x:c r="S401" s="28" t="str">
        <x:v>высокожировая и хрупкая; хорошо связывает карамель и шоколад</x:v>
      </x:c>
      <x:c r="T401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01" s="28" t="str">
        <x:v>Пекан имеет профиль «маслянистый, сладкий, карамельный и древесно-ореховый». Партнёр «айва»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01" s="28" t="str">
        <x:v>аллерген и высокая склонность к окислению</x:v>
      </x:c>
      <x:c r="W401" s="28" t="str">
        <x:v>соль, ваниль или карамель</x:v>
      </x:c>
      <x:c r="X401" s="28" t="str">
        <x:v>пралине, паста, выпечка, гарнир, соус, молочный или коктейльный компонент с айва</x:v>
      </x:c>
      <x:c r="Y401" s="28" t="str">
        <x:v>десерты</x:v>
      </x:c>
      <x:c r="Z401" s="28" t="str">
        <x:v>Гипотеза / практическая</x:v>
      </x:c>
      <x:c r="AA401" s="28" t="str">
        <x:v>Таблица сочетания(1).pdf</x:v>
      </x:c>
      <x:c r="AB401" s="28" t="str">
        <x:v>Таблица сочетания(1).pdf: 18</x:v>
      </x:c>
      <x:c r="AC401" s="28" t="str">
        <x:v>Пара встречается как table; научное объяснение сформировано по ароматическому профилю и пищевой матрице.</x:v>
      </x:c>
      <x:c r="AD401" s="28" t="n">
        <x:v>1</x:v>
      </x:c>
      <x:c r="AE401" s="28" t="n">
        <x:v>1</x:v>
      </x:c>
      <x:c r="AF401" s="28" t="n">
        <x:f>IF(Z401="Высокая",3,IF(Z401="Средняя",2,1))+AD401*2+MIN(AE401,3)</x:f>
        <x:v>4</x:v>
      </x:c>
    </x:row>
    <x:row r="402" ht="62" customHeight="1">
      <x:c r="A402" s="28" t="str">
        <x:v>NCT-0401</x:v>
      </x:c>
      <x:c r="B402" s="28" t="str">
        <x:v>пекан</x:v>
      </x:c>
      <x:c r="C402" s="28" t="str">
        <x:v>Универсальные</x:v>
      </x:c>
      <x:c r="D402" s="28" t="str">
        <x:v>пекан</x:v>
      </x:c>
      <x:c r="E402" s="28" t="str">
        <x:v>pecan | Пекан</x:v>
      </x:c>
      <x:c r="F402" s="28" t="str">
        <x:v>Орехи и семена</x:v>
      </x:c>
      <x:c r="G402" s="28" t="str">
        <x:v>базилик</x:v>
      </x:c>
      <x:c r="H402" s="28" t="str">
        <x:v>basil | базилик</x:v>
      </x:c>
      <x:c r="I402" s="28" t="str">
        <x:v>Травы, цветы и листья</x:v>
      </x:c>
      <x:c r="J402" s="28" t="str">
        <x:v>маслянистый, сладкий, карамельный и древесно-ореховый</x:v>
      </x:c>
      <x:c r="K402" s="28" t="str">
        <x:v>зелёный, цветочный и терпеновый</x:v>
      </x:c>
      <x:c r="L402" s="28" t="str">
        <x:v>пиразины, фураны, лактоны, гексаналь</x:v>
      </x:c>
      <x:c r="M402" s="28" t="str">
        <x:v>линалоол, терпены</x:v>
      </x:c>
      <x:c r="N402" s="28" t="str">
        <x:v>прямое пересечение семейств не является единственным объяснением</x:v>
      </x:c>
      <x:c r="O402" s="28" t="str">
        <x:v>надежная общая ключевая молекула не подтверждена</x:v>
      </x:c>
      <x:c r="P402" s="28" t="str">
        <x:v>сенсорная комплементарность</x:v>
      </x:c>
      <x:c r="Q40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02" s="28" t="str">
        <x:v>минимальный</x:v>
      </x:c>
      <x:c r="S402" s="28" t="str">
        <x:v>высокожировая и хрупкая; хорошо связывает карамель и шоколад</x:v>
      </x:c>
      <x:c r="T402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02" s="28" t="str">
        <x:v>Пекан имеет профиль «маслянистый, сладкий, карамельный и древесно-ореховый». Партнёр «базилик»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02" s="28" t="str">
        <x:v>аллерген и высокая склонность к окислению</x:v>
      </x:c>
      <x:c r="W402" s="28" t="str">
        <x:v>цитрус, мёд или сливки</x:v>
      </x:c>
      <x:c r="X402" s="28" t="str">
        <x:v>пралине, паста, выпечка, гарнир, соус, молочный или коктейльный компонент с базилик</x:v>
      </x:c>
      <x:c r="Y402" s="28" t="str">
        <x:v>десерты</x:v>
      </x:c>
      <x:c r="Z402" s="28" t="str">
        <x:v>Высокая</x:v>
      </x:c>
      <x:c r="AA402" s="28" t="str">
        <x:v>The Art &amp; Science of Foodpairing.pdf | Таблица сочетания(1).pdf</x:v>
      </x:c>
      <x:c r="AB402" s="28" t="str">
        <x:v>The Art &amp; Science of Foodpairing.pdf: 74; Таблица сочетания(1).pdf: 16</x:v>
      </x:c>
      <x:c r="AC402" s="28" t="str">
        <x:v>Пара встречается как grid, table; научное объяснение сформировано по ароматическому профилю и пищевой матрице.</x:v>
      </x:c>
      <x:c r="AD402" s="28" t="n">
        <x:v>2</x:v>
      </x:c>
      <x:c r="AE402" s="28" t="n">
        <x:v>2</x:v>
      </x:c>
      <x:c r="AF402" s="28" t="n">
        <x:f>IF(Z402="Высокая",3,IF(Z402="Средняя",2,1))+AD402*2+MIN(AE402,3)</x:f>
        <x:v>9</x:v>
      </x:c>
    </x:row>
    <x:row r="403" ht="62" customHeight="1">
      <x:c r="A403" s="28" t="str">
        <x:v>NCT-0402</x:v>
      </x:c>
      <x:c r="B403" s="28" t="str">
        <x:v>пекан</x:v>
      </x:c>
      <x:c r="C403" s="28" t="str">
        <x:v>Десерты и выпечка</x:v>
      </x:c>
      <x:c r="D403" s="28" t="str">
        <x:v>пекан</x:v>
      </x:c>
      <x:c r="E403" s="28" t="str">
        <x:v>Пекан | пекан</x:v>
      </x:c>
      <x:c r="F403" s="28" t="str">
        <x:v>Орехи и семена</x:v>
      </x:c>
      <x:c r="G403" s="28" t="str">
        <x:v>банан</x:v>
      </x:c>
      <x:c r="H403" s="28" t="str">
        <x:v>Банан | банан</x:v>
      </x:c>
      <x:c r="I403" s="28" t="str">
        <x:v>Фрукты и ягоды</x:v>
      </x:c>
      <x:c r="J403" s="28" t="str">
        <x:v>маслянистый, сладкий, карамельный и древесно-ореховый</x:v>
      </x:c>
      <x:c r="K403" s="28" t="str">
        <x:v>сливочный, фруктовый</x:v>
      </x:c>
      <x:c r="L403" s="28" t="str">
        <x:v>пиразины, фураны, лактоны, гексаналь</x:v>
      </x:c>
      <x:c r="M403" s="28" t="str">
        <x:v>изоамилацетат</x:v>
      </x:c>
      <x:c r="N403" s="28" t="str">
        <x:v>прямое пересечение семейств не является единственным объяснением</x:v>
      </x:c>
      <x:c r="O403" s="28" t="str">
        <x:v>надежная общая ключевая молекула не подтверждена</x:v>
      </x:c>
      <x:c r="P403" s="28" t="str">
        <x:v>контраст кислоты и жирной/горькой матрицы</x:v>
      </x:c>
      <x:c r="Q40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03" s="28" t="str">
        <x:v>минимальный</x:v>
      </x:c>
      <x:c r="S403" s="28" t="str">
        <x:v>высокожировая и хрупкая; хорошо связывает карамель и шоколад Водная фруктовая фаза требует эмульсии или мелкого измельчения, если орех или шоколад вводится как паста.</x:v>
      </x:c>
      <x:c r="T403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03" s="28" t="str">
        <x:v>Пекан имеет профиль «маслянистый, сладкий, карамельный и древесно-ореховый».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03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W403" s="28" t="str">
        <x:v>ваниль, цитрус или молочный жир</x:v>
      </x:c>
      <x:c r="X403" s="28" t="str">
        <x:v>пралине, паста, выпечка, гарнир, соус, молочный или коктейльный компонент с банан</x:v>
      </x:c>
      <x:c r="Y403" s="28" t="str">
        <x:v>десерты</x:v>
      </x:c>
      <x:c r="Z403" s="28" t="str">
        <x:v>Гипотеза / практическая</x:v>
      </x:c>
      <x:c r="AA403" s="28" t="str">
        <x:v>Таблица сочетания(1).pdf</x:v>
      </x:c>
      <x:c r="AB403" s="28" t="str">
        <x:v>Таблица сочетания(1).pdf: 2, 16</x:v>
      </x:c>
      <x:c r="AC403" s="28" t="str">
        <x:v>Пара встречается как table; научное объяснение сформировано по ароматическому профилю и пищевой матрице.</x:v>
      </x:c>
      <x:c r="AD403" s="28" t="n">
        <x:v>1</x:v>
      </x:c>
      <x:c r="AE403" s="28" t="n">
        <x:v>2</x:v>
      </x:c>
      <x:c r="AF403" s="28" t="n">
        <x:f>IF(Z403="Высокая",3,IF(Z403="Средняя",2,1))+AD403*2+MIN(AE403,3)</x:f>
        <x:v>5</x:v>
      </x:c>
    </x:row>
    <x:row r="404" ht="62" customHeight="1">
      <x:c r="A404" s="28" t="str">
        <x:v>NCT-0403</x:v>
      </x:c>
      <x:c r="B404" s="28" t="str">
        <x:v>пекан</x:v>
      </x:c>
      <x:c r="C404" s="28" t="str">
        <x:v>Универсальные</x:v>
      </x:c>
      <x:c r="D404" s="28" t="str">
        <x:v>пекан</x:v>
      </x:c>
      <x:c r="E404" s="28" t="str">
        <x:v>Пекан</x:v>
      </x:c>
      <x:c r="F404" s="28" t="str">
        <x:v>Орехи и семена</x:v>
      </x:c>
      <x:c r="G404" s="28" t="str">
        <x:v>ваниль</x:v>
      </x:c>
      <x:c r="H404" s="28" t="str">
        <x:v>ваниль</x:v>
      </x:c>
      <x:c r="I404" s="28" t="str">
        <x:v>Специи</x:v>
      </x:c>
      <x:c r="J404" s="28" t="str">
        <x:v>маслянистый, сладкий, карамельный и древесно-ореховый</x:v>
      </x:c>
      <x:c r="K404" s="28" t="str">
        <x:v>ванильный, цветочный</x:v>
      </x:c>
      <x:c r="L404" s="28" t="str">
        <x:v>пиразины, фураны, лактоны, гексаналь</x:v>
      </x:c>
      <x:c r="M404" s="28" t="str">
        <x:v>ванилин</x:v>
      </x:c>
      <x:c r="N404" s="28" t="str">
        <x:v>прямое пересечение семейств не является единственным объяснением</x:v>
      </x:c>
      <x:c r="O404" s="28" t="str">
        <x:v>надежная общая ключевая молекула не подтверждена</x:v>
      </x:c>
      <x:c r="P404" s="28" t="str">
        <x:v>сенсорная комплементарность</x:v>
      </x:c>
      <x:c r="Q40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04" s="28" t="str">
        <x:v>минимальный</x:v>
      </x:c>
      <x:c r="S404" s="28" t="str">
        <x:v>высокожировая и хрупкая; хорошо связывает карамель и шоколад</x:v>
      </x:c>
      <x:c r="T404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04" s="28" t="str">
        <x:v>Пекан имеет профиль «маслянистый, сладкий, карамельный и древесно-ореховый».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04" s="28" t="str">
        <x:v>аллерген и высокая склонность к окислению</x:v>
      </x:c>
      <x:c r="W404" s="28" t="str">
        <x:v>ваниль, апельсин или мёд</x:v>
      </x:c>
      <x:c r="X404" s="28" t="str">
        <x:v>пралине, паста, выпечка, гарнир, соус, молочный или коктейльный компонент с ваниль</x:v>
      </x:c>
      <x:c r="Y404" s="28" t="str">
        <x:v>десерты</x:v>
      </x:c>
      <x:c r="Z404" s="28" t="str">
        <x:v>Гипотеза / практическая</x:v>
      </x:c>
      <x:c r="AA404" s="28" t="str">
        <x:v>Таблица сочетания(1).pdf</x:v>
      </x:c>
      <x:c r="AB404" s="28" t="str">
        <x:v>Таблица сочетания(1).pdf: 16</x:v>
      </x:c>
      <x:c r="AC404" s="28" t="str">
        <x:v>Пара встречается как table; научное объяснение сформировано по ароматическому профилю и пищевой матрице.</x:v>
      </x:c>
      <x:c r="AD404" s="28" t="n">
        <x:v>1</x:v>
      </x:c>
      <x:c r="AE404" s="28" t="n">
        <x:v>1</x:v>
      </x:c>
      <x:c r="AF404" s="28" t="n">
        <x:f>IF(Z404="Высокая",3,IF(Z404="Средняя",2,1))+AD404*2+MIN(AE404,3)</x:f>
        <x:v>4</x:v>
      </x:c>
    </x:row>
    <x:row r="405" ht="62" customHeight="1">
      <x:c r="A405" s="28" t="str">
        <x:v>NCT-0404</x:v>
      </x:c>
      <x:c r="B405" s="28" t="str">
        <x:v>пекан</x:v>
      </x:c>
      <x:c r="C405" s="28" t="str">
        <x:v>Напитки</x:v>
      </x:c>
      <x:c r="D405" s="28" t="str">
        <x:v>пекан</x:v>
      </x:c>
      <x:c r="E405" s="28" t="str">
        <x:v>Пекан</x:v>
      </x:c>
      <x:c r="F405" s="28" t="str">
        <x:v>Орехи и семена</x:v>
      </x:c>
      <x:c r="G405" s="28" t="str">
        <x:v>виноград</x:v>
      </x:c>
      <x:c r="H405" s="28" t="str">
        <x:v>виноград</x:v>
      </x:c>
      <x:c r="I405" s="28" t="str">
        <x:v>Алкогольные напитки</x:v>
      </x:c>
      <x:c r="J405" s="28" t="str">
        <x:v>маслянистый, сладкий, карамельный и древесно-ореховый</x:v>
      </x:c>
      <x:c r="K405" s="28" t="str">
        <x:v>спиртовой, фруктовый или древесный</x:v>
      </x:c>
      <x:c r="L405" s="28" t="str">
        <x:v>пиразины, фураны, лактоны, гексаналь</x:v>
      </x:c>
      <x:c r="M405" s="28" t="str">
        <x:v>альдегиды, эфиры</x:v>
      </x:c>
      <x:c r="N405" s="28" t="str">
        <x:v>прямое пересечение семейств не является единственным объяснением</x:v>
      </x:c>
      <x:c r="O405" s="28" t="str">
        <x:v>надежная общая ключевая молекула не подтверждена</x:v>
      </x:c>
      <x:c r="P405" s="28" t="str">
        <x:v>сенсорная комплементарность</x:v>
      </x:c>
      <x:c r="Q40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05" s="28" t="str">
        <x:v>минимальный</x:v>
      </x:c>
      <x:c r="S405" s="28" t="str">
        <x:v>высокожировая и хрупкая; хорошо связывает карамель и шоколад Этанол эффективно извлекает терпены, фенолы и жареные молекулы; время контакта нужно ограничивать.</x:v>
      </x:c>
      <x:c r="T405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05" s="28" t="str">
        <x:v>Пекан имеет профиль «маслянистый, сладкий, карамельный и древесно-ореховый». Партнёр «виноград» относится к группе «Алкогольные напитки» и даёт спиртовой, фруктовый или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05" s="28" t="str">
        <x:v>аллерген и высокая склонность к окислению</x:v>
      </x:c>
      <x:c r="W405" s="28" t="str">
        <x:v>соль, ваниль или карамель</x:v>
      </x:c>
      <x:c r="X405" s="28" t="str">
        <x:v>пралине, паста, выпечка, гарнир, соус, молочный или коктейльный компонент с виноград</x:v>
      </x:c>
      <x:c r="Y405" s="28" t="str">
        <x:v>напитки, десерты</x:v>
      </x:c>
      <x:c r="Z405" s="28" t="str">
        <x:v>Гипотеза / практическая</x:v>
      </x:c>
      <x:c r="AA405" s="28" t="str">
        <x:v>Таблица сочетания(1).pdf</x:v>
      </x:c>
      <x:c r="AB405" s="28" t="str">
        <x:v>Таблица сочетания(1).pdf: 16</x:v>
      </x:c>
      <x:c r="AC405" s="28" t="str">
        <x:v>Пара встречается как table; научное объяснение сформировано по ароматическому профилю и пищевой матрице.</x:v>
      </x:c>
      <x:c r="AD405" s="28" t="n">
        <x:v>1</x:v>
      </x:c>
      <x:c r="AE405" s="28" t="n">
        <x:v>1</x:v>
      </x:c>
      <x:c r="AF405" s="28" t="n">
        <x:f>IF(Z405="Высокая",3,IF(Z405="Средняя",2,1))+AD405*2+MIN(AE405,3)</x:f>
        <x:v>4</x:v>
      </x:c>
    </x:row>
    <x:row r="406" ht="62" customHeight="1">
      <x:c r="A406" s="28" t="str">
        <x:v>NCT-0405</x:v>
      </x:c>
      <x:c r="B406" s="28" t="str">
        <x:v>пекан</x:v>
      </x:c>
      <x:c r="C406" s="28" t="str">
        <x:v>Десерты и выпечка</x:v>
      </x:c>
      <x:c r="D406" s="28" t="str">
        <x:v>пекан</x:v>
      </x:c>
      <x:c r="E406" s="28" t="str">
        <x:v>пекан</x:v>
      </x:c>
      <x:c r="F406" s="28" t="str">
        <x:v>Орехи и семена</x:v>
      </x:c>
      <x:c r="G406" s="28" t="str">
        <x:v>вишня</x:v>
      </x:c>
      <x:c r="H406" s="28" t="str">
        <x:v>Вишня</x:v>
      </x:c>
      <x:c r="I406" s="28" t="str">
        <x:v>Фрукты и ягоды</x:v>
      </x:c>
      <x:c r="J406" s="28" t="str">
        <x:v>маслянистый, сладкий, карамельный и древесно-ореховый</x:v>
      </x:c>
      <x:c r="K406" s="28" t="str">
        <x:v>миндальный, фруктовый</x:v>
      </x:c>
      <x:c r="L406" s="28" t="str">
        <x:v>пиразины, фураны, лактоны, гексаналь</x:v>
      </x:c>
      <x:c r="M406" s="28" t="str">
        <x:v>бензальдегид, эфиры</x:v>
      </x:c>
      <x:c r="N406" s="28" t="str">
        <x:v>прямое пересечение семейств не является единственным объяснением</x:v>
      </x:c>
      <x:c r="O406" s="28" t="str">
        <x:v>надежная общая ключевая молекула не подтверждена</x:v>
      </x:c>
      <x:c r="P406" s="28" t="str">
        <x:v>контраст кислоты и жирной/горькой матрицы</x:v>
      </x:c>
      <x:c r="Q40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06" s="28" t="str">
        <x:v>минимальный</x:v>
      </x:c>
      <x:c r="S406" s="28" t="str">
        <x:v>высокожировая и хрупкая; хорошо связывает карамель и шоколад Водная фруктовая фаза требует эмульсии или мелкого измельчения, если орех или шоколад вводится как паста.</x:v>
      </x:c>
      <x:c r="T406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06" s="28" t="str">
        <x:v>Пекан имеет профиль «маслянистый, сладкий, карамельный и древесно-ореховый». Партнёр «вишня» относится к группе «Фрукты и ягоды» и даёт миндальный,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06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W406" s="28" t="str">
        <x:v>ваниль, цитрус или молочный жир</x:v>
      </x:c>
      <x:c r="X406" s="28" t="str">
        <x:v>пралине, паста, выпечка, гарнир, соус, молочный или коктейльный компонент с вишня</x:v>
      </x:c>
      <x:c r="Y406" s="28" t="str">
        <x:v>десерты</x:v>
      </x:c>
      <x:c r="Z406" s="28" t="str">
        <x:v>Гипотеза / практическая</x:v>
      </x:c>
      <x:c r="AA406" s="28" t="str">
        <x:v>Таблица сочетания(1).pdf</x:v>
      </x:c>
      <x:c r="AB406" s="28" t="str">
        <x:v>Таблица сочетания(1).pdf: 4</x:v>
      </x:c>
      <x:c r="AC406" s="28" t="str">
        <x:v>Пара встречается как table; научное объяснение сформировано по ароматическому профилю и пищевой матрице.</x:v>
      </x:c>
      <x:c r="AD406" s="28" t="n">
        <x:v>1</x:v>
      </x:c>
      <x:c r="AE406" s="28" t="n">
        <x:v>1</x:v>
      </x:c>
      <x:c r="AF406" s="28" t="n">
        <x:f>IF(Z406="Высокая",3,IF(Z406="Средняя",2,1))+AD406*2+MIN(AE406,3)</x:f>
        <x:v>4</x:v>
      </x:c>
    </x:row>
    <x:row r="407" ht="62" customHeight="1">
      <x:c r="A407" s="28" t="str">
        <x:v>NCT-0406</x:v>
      </x:c>
      <x:c r="B407" s="28" t="str">
        <x:v>пекан</x:v>
      </x:c>
      <x:c r="C407" s="28" t="str">
        <x:v>Десерты и выпечка</x:v>
      </x:c>
      <x:c r="D407" s="28" t="str">
        <x:v>пекан</x:v>
      </x:c>
      <x:c r="E407" s="28" t="str">
        <x:v>пекан</x:v>
      </x:c>
      <x:c r="F407" s="28" t="str">
        <x:v>Орехи и семена</x:v>
      </x:c>
      <x:c r="G407" s="28" t="str">
        <x:v>грейпфрут</x:v>
      </x:c>
      <x:c r="H407" s="28" t="str">
        <x:v>Грейпфрут</x:v>
      </x:c>
      <x:c r="I407" s="28" t="str">
        <x:v>Фрукты и ягоды</x:v>
      </x:c>
      <x:c r="J407" s="28" t="str">
        <x:v>маслянистый, сладкий, карамельный и древесно-ореховый</x:v>
      </x:c>
      <x:c r="K407" s="28" t="str">
        <x:v>фруктовый, цветочный и свежий</x:v>
      </x:c>
      <x:c r="L407" s="28" t="str">
        <x:v>пиразины, фураны, лактоны, гексаналь</x:v>
      </x:c>
      <x:c r="M407" s="28" t="str">
        <x:v>альдегиды, эфиры</x:v>
      </x:c>
      <x:c r="N407" s="28" t="str">
        <x:v>прямое пересечение семейств не является единственным объяснением</x:v>
      </x:c>
      <x:c r="O407" s="28" t="str">
        <x:v>надежная общая ключевая молекула не подтверждена</x:v>
      </x:c>
      <x:c r="P407" s="28" t="str">
        <x:v>контраст кислоты и жирной/горькой матрицы</x:v>
      </x:c>
      <x:c r="Q40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07" s="28" t="str">
        <x:v>минимальный</x:v>
      </x:c>
      <x:c r="S407" s="28" t="str">
        <x:v>высокожировая и хрупкая; хорошо связывает карамель и шоколад Водная фруктовая фаза требует эмульсии или мелкого измельчения, если орех или шоколад вводится как паста.</x:v>
      </x:c>
      <x:c r="T407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07" s="28" t="str">
        <x:v>Пекан имеет профиль «маслянистый, сладкий, карамельный и древесно-ореховый». Партнёр «грейпфрут»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07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W407" s="28" t="str">
        <x:v>ваниль, цитрус или молочный жир</x:v>
      </x:c>
      <x:c r="X407" s="28" t="str">
        <x:v>пралине, паста, выпечка, гарнир, соус, молочный или коктейльный компонент с грейпфрут</x:v>
      </x:c>
      <x:c r="Y407" s="28" t="str">
        <x:v>десерты</x:v>
      </x:c>
      <x:c r="Z407" s="28" t="str">
        <x:v>Гипотеза / практическая</x:v>
      </x:c>
      <x:c r="AA407" s="28" t="str">
        <x:v>Таблица сочетания(1).pdf</x:v>
      </x:c>
      <x:c r="AB407" s="28" t="str">
        <x:v>Таблица сочетания(1).pdf: 9</x:v>
      </x:c>
      <x:c r="AC407" s="28" t="str">
        <x:v>Пара встречается как table; научное объяснение сформировано по ароматическому профилю и пищевой матрице.</x:v>
      </x:c>
      <x:c r="AD407" s="28" t="n">
        <x:v>1</x:v>
      </x:c>
      <x:c r="AE407" s="28" t="n">
        <x:v>1</x:v>
      </x:c>
      <x:c r="AF407" s="28" t="n">
        <x:f>IF(Z407="Высокая",3,IF(Z407="Средняя",2,1))+AD407*2+MIN(AE407,3)</x:f>
        <x:v>4</x:v>
      </x:c>
    </x:row>
    <x:row r="408" ht="62" customHeight="1">
      <x:c r="A408" s="28" t="str">
        <x:v>NCT-0407</x:v>
      </x:c>
      <x:c r="B408" s="28" t="str">
        <x:v>пекан</x:v>
      </x:c>
      <x:c r="C408" s="28" t="str">
        <x:v>Десерты и выпечка</x:v>
      </x:c>
      <x:c r="D408" s="28" t="str">
        <x:v>пекан</x:v>
      </x:c>
      <x:c r="E408" s="28" t="str">
        <x:v>Пекан</x:v>
      </x:c>
      <x:c r="F408" s="28" t="str">
        <x:v>Орехи и семена</x:v>
      </x:c>
      <x:c r="G408" s="28" t="str">
        <x:v>груша</x:v>
      </x:c>
      <x:c r="H408" s="28" t="str">
        <x:v>груша</x:v>
      </x:c>
      <x:c r="I408" s="28" t="str">
        <x:v>Фрукты и ягоды</x:v>
      </x:c>
      <x:c r="J408" s="28" t="str">
        <x:v>маслянистый, сладкий, карамельный и древесно-ореховый</x:v>
      </x:c>
      <x:c r="K408" s="28" t="str">
        <x:v>фруктовый, цветочный и свежий</x:v>
      </x:c>
      <x:c r="L408" s="28" t="str">
        <x:v>пиразины, фураны, лактоны, гексаналь</x:v>
      </x:c>
      <x:c r="M408" s="28" t="str">
        <x:v>альдегиды, эфиры</x:v>
      </x:c>
      <x:c r="N408" s="28" t="str">
        <x:v>прямое пересечение семейств не является единственным объяснением</x:v>
      </x:c>
      <x:c r="O408" s="28" t="str">
        <x:v>надежная общая ключевая молекула не подтверждена</x:v>
      </x:c>
      <x:c r="P408" s="28" t="str">
        <x:v>контраст кислоты и жирной/горькой матрицы</x:v>
      </x:c>
      <x:c r="Q40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08" s="28" t="str">
        <x:v>минимальный</x:v>
      </x:c>
      <x:c r="S408" s="28" t="str">
        <x:v>высокожировая и хрупкая; хорошо связывает карамель и шоколад Водная фруктовая фаза требует эмульсии или мелкого измельчения, если орех или шоколад вводится как паста.</x:v>
      </x:c>
      <x:c r="T408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08" s="28" t="str">
        <x:v>Пекан имеет профиль «маслянистый, сладкий, карамельный и древесно-ореховый». Партнёр «груша»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08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W408" s="28" t="str">
        <x:v>ваниль, цитрус или молочный жир</x:v>
      </x:c>
      <x:c r="X408" s="28" t="str">
        <x:v>пралине, паста, выпечка, гарнир, соус, молочный или коктейльный компонент с груша</x:v>
      </x:c>
      <x:c r="Y408" s="28" t="str">
        <x:v>десерты</x:v>
      </x:c>
      <x:c r="Z408" s="28" t="str">
        <x:v>Гипотеза / практическая</x:v>
      </x:c>
      <x:c r="AA408" s="28" t="str">
        <x:v>Таблица сочетания(1).pdf</x:v>
      </x:c>
      <x:c r="AB408" s="28" t="str">
        <x:v>Таблица сочетания(1).pdf: 16</x:v>
      </x:c>
      <x:c r="AC408" s="28" t="str">
        <x:v>Пара встречается как table; научное объяснение сформировано по ароматическому профилю и пищевой матрице.</x:v>
      </x:c>
      <x:c r="AD408" s="28" t="n">
        <x:v>1</x:v>
      </x:c>
      <x:c r="AE408" s="28" t="n">
        <x:v>1</x:v>
      </x:c>
      <x:c r="AF408" s="28" t="n">
        <x:f>IF(Z408="Высокая",3,IF(Z408="Средняя",2,1))+AD408*2+MIN(AE408,3)</x:f>
        <x:v>4</x:v>
      </x:c>
    </x:row>
    <x:row r="409" ht="62" customHeight="1">
      <x:c r="A409" s="28" t="str">
        <x:v>NCT-0408</x:v>
      </x:c>
      <x:c r="B409" s="28" t="str">
        <x:v>пекан</x:v>
      </x:c>
      <x:c r="C409" s="28" t="str">
        <x:v>Десерты и выпечка</x:v>
      </x:c>
      <x:c r="D409" s="28" t="str">
        <x:v>пекан</x:v>
      </x:c>
      <x:c r="E409" s="28" t="str">
        <x:v>Пекан</x:v>
      </x:c>
      <x:c r="F409" s="28" t="str">
        <x:v>Орехи и семена</x:v>
      </x:c>
      <x:c r="G409" s="28" t="str">
        <x:v>инжир</x:v>
      </x:c>
      <x:c r="H409" s="28" t="str">
        <x:v>инжир</x:v>
      </x:c>
      <x:c r="I409" s="28" t="str">
        <x:v>Фрукты и ягоды</x:v>
      </x:c>
      <x:c r="J409" s="28" t="str">
        <x:v>маслянистый, сладкий, карамельный и древесно-ореховый</x:v>
      </x:c>
      <x:c r="K409" s="28" t="str">
        <x:v>фруктовый, цветочный и свежий</x:v>
      </x:c>
      <x:c r="L409" s="28" t="str">
        <x:v>пиразины, фураны, лактоны, гексаналь</x:v>
      </x:c>
      <x:c r="M409" s="28" t="str">
        <x:v>альдегиды, эфиры</x:v>
      </x:c>
      <x:c r="N409" s="28" t="str">
        <x:v>прямое пересечение семейств не является единственным объяснением</x:v>
      </x:c>
      <x:c r="O409" s="28" t="str">
        <x:v>надежная общая ключевая молекула не подтверждена</x:v>
      </x:c>
      <x:c r="P409" s="28" t="str">
        <x:v>контраст кислоты и жирной/горькой матрицы</x:v>
      </x:c>
      <x:c r="Q40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09" s="28" t="str">
        <x:v>минимальный</x:v>
      </x:c>
      <x:c r="S409" s="28" t="str">
        <x:v>высокожировая и хрупкая; хорошо связывает карамель и шоколад Водная фруктовая фаза требует эмульсии или мелкого измельчения, если орех или шоколад вводится как паста.</x:v>
      </x:c>
      <x:c r="T409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09" s="28" t="str">
        <x:v>Пекан имеет профиль «маслянистый, сладкий, карамельный и древесно-ореховый». Партнёр «инжир»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09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W409" s="28" t="str">
        <x:v>ваниль, цитрус или молочный жир</x:v>
      </x:c>
      <x:c r="X409" s="28" t="str">
        <x:v>пралине, паста, выпечка, гарнир, соус, молочный или коктейльный компонент с инжир</x:v>
      </x:c>
      <x:c r="Y409" s="28" t="str">
        <x:v>десерты</x:v>
      </x:c>
      <x:c r="Z409" s="28" t="str">
        <x:v>Гипотеза / практическая</x:v>
      </x:c>
      <x:c r="AA409" s="28" t="str">
        <x:v>Таблица сочетания(1).pdf</x:v>
      </x:c>
      <x:c r="AB409" s="28" t="str">
        <x:v>Таблица сочетания(1).pdf: 16</x:v>
      </x:c>
      <x:c r="AC409" s="28" t="str">
        <x:v>Пара встречается как table; научное объяснение сформировано по ароматическому профилю и пищевой матрице.</x:v>
      </x:c>
      <x:c r="AD409" s="28" t="n">
        <x:v>1</x:v>
      </x:c>
      <x:c r="AE409" s="28" t="n">
        <x:v>1</x:v>
      </x:c>
      <x:c r="AF409" s="28" t="n">
        <x:f>IF(Z409="Высокая",3,IF(Z409="Средняя",2,1))+AD409*2+MIN(AE409,3)</x:f>
        <x:v>4</x:v>
      </x:c>
    </x:row>
    <x:row r="410" ht="62" customHeight="1">
      <x:c r="A410" s="28" t="str">
        <x:v>NCT-0409</x:v>
      </x:c>
      <x:c r="B410" s="28" t="str">
        <x:v>пекан</x:v>
      </x:c>
      <x:c r="C410" s="28" t="str">
        <x:v>Универсальные</x:v>
      </x:c>
      <x:c r="D410" s="28" t="str">
        <x:v>пекан</x:v>
      </x:c>
      <x:c r="E410" s="28" t="str">
        <x:v>Пекан</x:v>
      </x:c>
      <x:c r="F410" s="28" t="str">
        <x:v>Орехи и семена</x:v>
      </x:c>
      <x:c r="G410" s="28" t="str">
        <x:v>кардамон</x:v>
      </x:c>
      <x:c r="H410" s="28" t="str">
        <x:v>кардамон</x:v>
      </x:c>
      <x:c r="I410" s="28" t="str">
        <x:v>Специи</x:v>
      </x:c>
      <x:c r="J410" s="28" t="str">
        <x:v>маслянистый, сладкий, карамельный и древесно-ореховый</x:v>
      </x:c>
      <x:c r="K410" s="28" t="str">
        <x:v>камфорный, цветочный, цитрусовый</x:v>
      </x:c>
      <x:c r="L410" s="28" t="str">
        <x:v>пиразины, фураны, лактоны, гексаналь</x:v>
      </x:c>
      <x:c r="M410" s="28" t="str">
        <x:v>1,8-цинеол, линалоол</x:v>
      </x:c>
      <x:c r="N410" s="28" t="str">
        <x:v>прямое пересечение семейств не является единственным объяснением</x:v>
      </x:c>
      <x:c r="O410" s="28" t="str">
        <x:v>надежная общая ключевая молекула не подтверждена</x:v>
      </x:c>
      <x:c r="P410" s="28" t="str">
        <x:v>сенсорная комплементарность</x:v>
      </x:c>
      <x:c r="Q41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10" s="28" t="str">
        <x:v>минимальный</x:v>
      </x:c>
      <x:c r="S410" s="28" t="str">
        <x:v>высокожировая и хрупкая; хорошо связывает карамель и шоколад</x:v>
      </x:c>
      <x:c r="T410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10" s="28" t="str">
        <x:v>Пекан имеет профиль «маслянистый, сладкий, карамельный и древесно-ореховый». Партнёр «кардамон» относится к группе «Специи» и даёт камфорный, цветочный,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10" s="28" t="str">
        <x:v>аллерген и высокая склонность к окислению</x:v>
      </x:c>
      <x:c r="W410" s="28" t="str">
        <x:v>ваниль, апельсин или мёд</x:v>
      </x:c>
      <x:c r="X410" s="28" t="str">
        <x:v>пралине, паста, выпечка, гарнир, соус, молочный или коктейльный компонент с кардамон</x:v>
      </x:c>
      <x:c r="Y410" s="28" t="str">
        <x:v>десерты</x:v>
      </x:c>
      <x:c r="Z410" s="28" t="str">
        <x:v>Гипотеза / практическая</x:v>
      </x:c>
      <x:c r="AA410" s="28" t="str">
        <x:v>Таблица сочетания(1).pdf</x:v>
      </x:c>
      <x:c r="AB410" s="28" t="str">
        <x:v>Таблица сочетания(1).pdf: 16</x:v>
      </x:c>
      <x:c r="AC410" s="28" t="str">
        <x:v>Пара встречается как table; научное объяснение сформировано по ароматическому профилю и пищевой матрице.</x:v>
      </x:c>
      <x:c r="AD410" s="28" t="n">
        <x:v>1</x:v>
      </x:c>
      <x:c r="AE410" s="28" t="n">
        <x:v>1</x:v>
      </x:c>
      <x:c r="AF410" s="28" t="n">
        <x:f>IF(Z410="Высокая",3,IF(Z410="Средняя",2,1))+AD410*2+MIN(AE410,3)</x:f>
        <x:v>4</x:v>
      </x:c>
    </x:row>
    <x:row r="411" ht="62" customHeight="1">
      <x:c r="A411" s="28" t="str">
        <x:v>NCT-0410</x:v>
      </x:c>
      <x:c r="B411" s="28" t="str">
        <x:v>пекан</x:v>
      </x:c>
      <x:c r="C411" s="28" t="str">
        <x:v>Десерты и выпечка</x:v>
      </x:c>
      <x:c r="D411" s="28" t="str">
        <x:v>пекан</x:v>
      </x:c>
      <x:c r="E411" s="28" t="str">
        <x:v>Пекан</x:v>
      </x:c>
      <x:c r="F411" s="28" t="str">
        <x:v>Орехи и семена</x:v>
      </x:c>
      <x:c r="G411" s="28" t="str">
        <x:v>кленовый сироп</x:v>
      </x:c>
      <x:c r="H411" s="28" t="str">
        <x:v>кленовый сироп</x:v>
      </x:c>
      <x:c r="I411" s="28" t="str">
        <x:v>Выпечка, сахара и десерты</x:v>
      </x:c>
      <x:c r="J411" s="28" t="str">
        <x:v>маслянистый, сладкий, карамельный и древесно-ореховый</x:v>
      </x:c>
      <x:c r="K411" s="28" t="str">
        <x:v>сладкий, карамельный и жареный</x:v>
      </x:c>
      <x:c r="L411" s="28" t="str">
        <x:v>пиразины, фураны, лактоны, гексаналь</x:v>
      </x:c>
      <x:c r="M411" s="28" t="str">
        <x:v>мальтол, пиразины, фураны</x:v>
      </x:c>
      <x:c r="N411" s="28" t="str">
        <x:v>карамельный</x:v>
      </x:c>
      <x:c r="O411" s="28" t="str">
        <x:v>пиразины, фураны</x:v>
      </x:c>
      <x:c r="P411" s="28" t="str">
        <x:v>общие ароматические соединения, пересечение ароматических семейств, жареная химия и реакции Майяра</x:v>
      </x:c>
      <x:c r="Q41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11" s="28" t="str">
        <x:v>минимальный</x:v>
      </x:c>
      <x:c r="S411" s="28" t="str">
        <x:v>высокожировая и хрупкая; хорошо связывает карамель и шоколад</x:v>
      </x:c>
      <x:c r="T411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11" s="28" t="str">
        <x:v>Пекан имеет профиль «маслянистый, сладкий, карамельный и древесно-ореховый».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карамельный; пиразины, фураны.</x:v>
      </x:c>
      <x:c r="V411" s="28" t="str">
        <x:v>аллерген и высокая склонность к окислению</x:v>
      </x:c>
      <x:c r="W411" s="28" t="str">
        <x:v>соль, ваниль или карамель</x:v>
      </x:c>
      <x:c r="X411" s="28" t="str">
        <x:v>пралине, паста, выпечка, гарнир, соус, молочный или коктейльный компонент с кленовый сироп</x:v>
      </x:c>
      <x:c r="Y411" s="28" t="str">
        <x:v>напитки, десерты</x:v>
      </x:c>
      <x:c r="Z411" s="28" t="str">
        <x:v>Гипотеза / практическая</x:v>
      </x:c>
      <x:c r="AA411" s="28" t="str">
        <x:v>Таблица сочетания(1).pdf</x:v>
      </x:c>
      <x:c r="AB411" s="28" t="str">
        <x:v>Таблица сочетания(1).pdf: 16</x:v>
      </x:c>
      <x:c r="AC411" s="28" t="str">
        <x:v>Пара встречается как table; научное объяснение сформировано по ароматическому профилю и пищевой матрице.</x:v>
      </x:c>
      <x:c r="AD411" s="28" t="n">
        <x:v>1</x:v>
      </x:c>
      <x:c r="AE411" s="28" t="n">
        <x:v>1</x:v>
      </x:c>
      <x:c r="AF411" s="28" t="n">
        <x:f>IF(Z411="Высокая",3,IF(Z411="Средняя",2,1))+AD411*2+MIN(AE411,3)</x:f>
        <x:v>4</x:v>
      </x:c>
    </x:row>
    <x:row r="412" ht="62" customHeight="1">
      <x:c r="A412" s="28" t="str">
        <x:v>NCT-0411</x:v>
      </x:c>
      <x:c r="B412" s="28" t="str">
        <x:v>пекан</x:v>
      </x:c>
      <x:c r="C412" s="28" t="str">
        <x:v>Десерты и выпечка</x:v>
      </x:c>
      <x:c r="D412" s="28" t="str">
        <x:v>пекан</x:v>
      </x:c>
      <x:c r="E412" s="28" t="str">
        <x:v>пекан</x:v>
      </x:c>
      <x:c r="F412" s="28" t="str">
        <x:v>Орехи и семена</x:v>
      </x:c>
      <x:c r="G412" s="28" t="str">
        <x:v>лимон</x:v>
      </x:c>
      <x:c r="H412" s="28" t="str">
        <x:v>Лимон</x:v>
      </x:c>
      <x:c r="I412" s="28" t="str">
        <x:v>Фрукты и ягоды</x:v>
      </x:c>
      <x:c r="J412" s="28" t="str">
        <x:v>маслянистый, сладкий, карамельный и древесно-ореховый</x:v>
      </x:c>
      <x:c r="K412" s="28" t="str">
        <x:v>кислый, цитрусовый</x:v>
      </x:c>
      <x:c r="L412" s="28" t="str">
        <x:v>пиразины, фураны, лактоны, гексаналь</x:v>
      </x:c>
      <x:c r="M412" s="28" t="str">
        <x:v>лимонен, цитраль</x:v>
      </x:c>
      <x:c r="N412" s="28" t="str">
        <x:v>прямое пересечение семейств не является единственным объяснением</x:v>
      </x:c>
      <x:c r="O412" s="28" t="str">
        <x:v>надежная общая ключевая молекула не подтверждена</x:v>
      </x:c>
      <x:c r="P412" s="28" t="str">
        <x:v>контраст кислоты и жирной/горькой матрицы</x:v>
      </x:c>
      <x:c r="Q41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12" s="28" t="str">
        <x:v>минимальный</x:v>
      </x:c>
      <x:c r="S412" s="28" t="str">
        <x:v>высокожировая и хрупкая; хорошо связывает карамель и шоколад Водная фруктовая фаза требует эмульсии или мелкого измельчения, если орех или шоколад вводится как паста.</x:v>
      </x:c>
      <x:c r="T412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12" s="28" t="str">
        <x:v>Пекан имеет профиль «маслянистый, сладкий, карамельный и древесно-ореховый».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12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W412" s="28" t="str">
        <x:v>ваниль, цитрус или молочный жир</x:v>
      </x:c>
      <x:c r="X412" s="28" t="str">
        <x:v>пралине, паста, выпечка, гарнир, соус, молочный или коктейльный компонент с лимон</x:v>
      </x:c>
      <x:c r="Y412" s="28" t="str">
        <x:v>десерты</x:v>
      </x:c>
      <x:c r="Z412" s="28" t="str">
        <x:v>Гипотеза / практическая</x:v>
      </x:c>
      <x:c r="AA412" s="28" t="str">
        <x:v>Таблица сочетания(1).pdf</x:v>
      </x:c>
      <x:c r="AB412" s="28" t="str">
        <x:v>Таблица сочетания(1).pdf: 11</x:v>
      </x:c>
      <x:c r="AC412" s="28" t="str">
        <x:v>Пара встречается как table; научное объяснение сформировано по ароматическому профилю и пищевой матрице.</x:v>
      </x:c>
      <x:c r="AD412" s="28" t="n">
        <x:v>1</x:v>
      </x:c>
      <x:c r="AE412" s="28" t="n">
        <x:v>1</x:v>
      </x:c>
      <x:c r="AF412" s="28" t="n">
        <x:f>IF(Z412="Высокая",3,IF(Z412="Средняя",2,1))+AD412*2+MIN(AE412,3)</x:f>
        <x:v>4</x:v>
      </x:c>
    </x:row>
    <x:row r="413" ht="62" customHeight="1">
      <x:c r="A413" s="28" t="str">
        <x:v>NCT-0412</x:v>
      </x:c>
      <x:c r="B413" s="28" t="str">
        <x:v>пекан</x:v>
      </x:c>
      <x:c r="C413" s="28" t="str">
        <x:v>Универсальные</x:v>
      </x:c>
      <x:c r="D413" s="28" t="str">
        <x:v>пекан</x:v>
      </x:c>
      <x:c r="E413" s="28" t="str">
        <x:v>пекан</x:v>
      </x:c>
      <x:c r="F413" s="28" t="str">
        <x:v>Орехи и семена</x:v>
      </x:c>
      <x:c r="G413" s="28" t="str">
        <x:v>нектарин</x:v>
      </x:c>
      <x:c r="H413" s="28" t="str">
        <x:v>Нектарин</x:v>
      </x:c>
      <x:c r="I413" s="28" t="str">
        <x:v>Прочее</x:v>
      </x:c>
      <x:c r="J413" s="28" t="str">
        <x:v>маслянистый, сладкий, карамельный и древесно-ореховый</x:v>
      </x:c>
      <x:c r="K413" s="28" t="str">
        <x:v>профиль зависит от конкретного продукта</x:v>
      </x:c>
      <x:c r="L413" s="28" t="str">
        <x:v>пиразины, фураны, лактоны, гексаналь</x:v>
      </x:c>
      <x:c r="M413" s="28" t="str">
        <x:v>характерный профиль зависит от конкретного продукта</x:v>
      </x:c>
      <x:c r="N413" s="28" t="str">
        <x:v>прямое пересечение семейств не является единственным объяснением</x:v>
      </x:c>
      <x:c r="O413" s="28" t="str">
        <x:v>надежная общая ключевая молекула не подтверждена</x:v>
      </x:c>
      <x:c r="P413" s="28" t="str">
        <x:v>сенсорная комплементарность</x:v>
      </x:c>
      <x:c r="Q41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13" s="28" t="str">
        <x:v>минимальный</x:v>
      </x:c>
      <x:c r="S413" s="28" t="str">
        <x:v>высокожировая и хрупкая; хорошо связывает карамель и шоколад</x:v>
      </x:c>
      <x:c r="T413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13" s="28" t="str">
        <x:v>Пекан имеет профиль «маслянистый, сладкий, карамельный и древесно-ореховый». Партнёр «нектарин»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13" s="28" t="str">
        <x:v>аллерген и высокая склонность к окислению</x:v>
      </x:c>
      <x:c r="W413" s="28" t="str">
        <x:v>соль, ваниль или карамель</x:v>
      </x:c>
      <x:c r="X413" s="28" t="str">
        <x:v>пралине, паста, выпечка, гарнир, соус, молочный или коктейльный компонент с нектарин</x:v>
      </x:c>
      <x:c r="Y413" s="28" t="str">
        <x:v>десерты</x:v>
      </x:c>
      <x:c r="Z413" s="28" t="str">
        <x:v>Гипотеза / практическая</x:v>
      </x:c>
      <x:c r="AA413" s="28" t="str">
        <x:v>Таблица сочетания(1).pdf</x:v>
      </x:c>
      <x:c r="AB413" s="28" t="str">
        <x:v>Таблица сочетания(1).pdf: 14</x:v>
      </x:c>
      <x:c r="AC413" s="28" t="str">
        <x:v>Пара встречается как table; научное объяснение сформировано по ароматическому профилю и пищевой матрице.</x:v>
      </x:c>
      <x:c r="AD413" s="28" t="n">
        <x:v>1</x:v>
      </x:c>
      <x:c r="AE413" s="28" t="n">
        <x:v>1</x:v>
      </x:c>
      <x:c r="AF413" s="28" t="n">
        <x:f>IF(Z413="Высокая",3,IF(Z413="Средняя",2,1))+AD413*2+MIN(AE413,3)</x:f>
        <x:v>4</x:v>
      </x:c>
    </x:row>
    <x:row r="414" ht="62" customHeight="1">
      <x:c r="A414" s="28" t="str">
        <x:v>NCT-0413</x:v>
      </x:c>
      <x:c r="B414" s="28" t="str">
        <x:v>пекан</x:v>
      </x:c>
      <x:c r="C414" s="28" t="str">
        <x:v>Десерты и выпечка</x:v>
      </x:c>
      <x:c r="D414" s="28" t="str">
        <x:v>пекан</x:v>
      </x:c>
      <x:c r="E414" s="28" t="str">
        <x:v>пекан</x:v>
      </x:c>
      <x:c r="F414" s="28" t="str">
        <x:v>Орехи и семена</x:v>
      </x:c>
      <x:c r="G414" s="28" t="str">
        <x:v>персик</x:v>
      </x:c>
      <x:c r="H414" s="28" t="str">
        <x:v>Персик</x:v>
      </x:c>
      <x:c r="I414" s="28" t="str">
        <x:v>Фрукты и ягоды</x:v>
      </x:c>
      <x:c r="J414" s="28" t="str">
        <x:v>маслянистый, сладкий, карамельный и древесно-ореховый</x:v>
      </x:c>
      <x:c r="K414" s="28" t="str">
        <x:v>лактонный, фруктовый, цветочный</x:v>
      </x:c>
      <x:c r="L414" s="28" t="str">
        <x:v>пиразины, фураны, лактоны, гексаналь</x:v>
      </x:c>
      <x:c r="M414" s="28" t="str">
        <x:v>лактоны, линалоол</x:v>
      </x:c>
      <x:c r="N414" s="28" t="str">
        <x:v>прямое пересечение семейств не является единственным объяснением</x:v>
      </x:c>
      <x:c r="O414" s="28" t="str">
        <x:v>лактоны</x:v>
      </x:c>
      <x:c r="P414" s="28" t="str">
        <x:v>общие ароматические соединения, контраст кислоты и жирной/горькой матрицы</x:v>
      </x:c>
      <x:c r="Q41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14" s="28" t="str">
        <x:v>минимальный</x:v>
      </x:c>
      <x:c r="S414" s="28" t="str">
        <x:v>высокожировая и хрупкая; хорошо связывает карамель и шоколад Водная фруктовая фаза требует эмульсии или мелкого измельчения, если орех или шоколад вводится как паста.</x:v>
      </x:c>
      <x:c r="T414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14" s="28" t="str">
        <x:v>Пекан имеет профиль «маслянистый, сладкий, карамельный и древесно-ореховый». Партнёр «персик» относится к группе «Фрукты и ягоды» и даёт лактонный, фруктовый, цветочный. Молекулярный мост создают лактоны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лактоны.</x:v>
      </x:c>
      <x:c r="V414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W414" s="28" t="str">
        <x:v>ваниль, цитрус или молочный жир</x:v>
      </x:c>
      <x:c r="X414" s="28" t="str">
        <x:v>пралине, паста, выпечка, гарнир, соус, молочный или коктейльный компонент с персик</x:v>
      </x:c>
      <x:c r="Y414" s="28" t="str">
        <x:v>десерты</x:v>
      </x:c>
      <x:c r="Z414" s="28" t="str">
        <x:v>Гипотеза / практическая</x:v>
      </x:c>
      <x:c r="AA414" s="28" t="str">
        <x:v>Таблица сочетания(1).pdf</x:v>
      </x:c>
      <x:c r="AB414" s="28" t="str">
        <x:v>Таблица сочетания(1).pdf: 15</x:v>
      </x:c>
      <x:c r="AC414" s="28" t="str">
        <x:v>Пара встречается как table; научное объяснение сформировано по ароматическому профилю и пищевой матрице.</x:v>
      </x:c>
      <x:c r="AD414" s="28" t="n">
        <x:v>1</x:v>
      </x:c>
      <x:c r="AE414" s="28" t="n">
        <x:v>1</x:v>
      </x:c>
      <x:c r="AF414" s="28" t="n">
        <x:f>IF(Z414="Высокая",3,IF(Z414="Средняя",2,1))+AD414*2+MIN(AE414,3)</x:f>
        <x:v>4</x:v>
      </x:c>
    </x:row>
    <x:row r="415" ht="62" customHeight="1">
      <x:c r="A415" s="28" t="str">
        <x:v>NCT-0414</x:v>
      </x:c>
      <x:c r="B415" s="28" t="str">
        <x:v>пекан</x:v>
      </x:c>
      <x:c r="C415" s="28" t="str">
        <x:v>Универсальные</x:v>
      </x:c>
      <x:c r="D415" s="28" t="str">
        <x:v>пекан</x:v>
      </x:c>
      <x:c r="E415" s="28" t="str">
        <x:v>Пекан</x:v>
      </x:c>
      <x:c r="F415" s="28" t="str">
        <x:v>Орехи и семена</x:v>
      </x:c>
      <x:c r="G415" s="28" t="str">
        <x:v>петрушка</x:v>
      </x:c>
      <x:c r="H415" s="28" t="str">
        <x:v>петрушка</x:v>
      </x:c>
      <x:c r="I415" s="28" t="str">
        <x:v>Травы, цветы и листья</x:v>
      </x:c>
      <x:c r="J415" s="28" t="str">
        <x:v>маслянистый, сладкий, карамельный и древесно-ореховый</x:v>
      </x:c>
      <x:c r="K415" s="28" t="str">
        <x:v>зелёный, цветочный и терпеновый</x:v>
      </x:c>
      <x:c r="L415" s="28" t="str">
        <x:v>пиразины, фураны, лактоны, гексаналь</x:v>
      </x:c>
      <x:c r="M415" s="28" t="str">
        <x:v>линалоол, терпены</x:v>
      </x:c>
      <x:c r="N415" s="28" t="str">
        <x:v>прямое пересечение семейств не является единственным объяснением</x:v>
      </x:c>
      <x:c r="O415" s="28" t="str">
        <x:v>надежная общая ключевая молекула не подтверждена</x:v>
      </x:c>
      <x:c r="P415" s="28" t="str">
        <x:v>сенсорная комплементарность</x:v>
      </x:c>
      <x:c r="Q41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15" s="28" t="str">
        <x:v>минимальный</x:v>
      </x:c>
      <x:c r="S415" s="28" t="str">
        <x:v>высокожировая и хрупкая; хорошо связывает карамель и шоколад</x:v>
      </x:c>
      <x:c r="T415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15" s="28" t="str">
        <x:v>Пекан имеет профиль «маслянистый, сладкий, карамельный и древесно-ореховый». Партнёр «петрушка»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15" s="28" t="str">
        <x:v>аллерген и высокая склонность к окислению</x:v>
      </x:c>
      <x:c r="W415" s="28" t="str">
        <x:v>цитрус, мёд или сливки</x:v>
      </x:c>
      <x:c r="X415" s="28" t="str">
        <x:v>пралине, паста, выпечка, гарнир, соус, молочный или коктейльный компонент с петрушка</x:v>
      </x:c>
      <x:c r="Y415" s="28" t="str">
        <x:v>десерты</x:v>
      </x:c>
      <x:c r="Z415" s="28" t="str">
        <x:v>Гипотеза / практическая</x:v>
      </x:c>
      <x:c r="AA415" s="28" t="str">
        <x:v>Таблица сочетания(1).pdf</x:v>
      </x:c>
      <x:c r="AB415" s="28" t="str">
        <x:v>Таблица сочетания(1).pdf: 16</x:v>
      </x:c>
      <x:c r="AC415" s="28" t="str">
        <x:v>Пара встречается как table; научное объяснение сформировано по ароматическому профилю и пищевой матрице.</x:v>
      </x:c>
      <x:c r="AD415" s="28" t="n">
        <x:v>1</x:v>
      </x:c>
      <x:c r="AE415" s="28" t="n">
        <x:v>1</x:v>
      </x:c>
      <x:c r="AF415" s="28" t="n">
        <x:f>IF(Z415="Высокая",3,IF(Z415="Средняя",2,1))+AD415*2+MIN(AE415,3)</x:f>
        <x:v>4</x:v>
      </x:c>
    </x:row>
    <x:row r="416" ht="62" customHeight="1">
      <x:c r="A416" s="28" t="str">
        <x:v>NCT-0415</x:v>
      </x:c>
      <x:c r="B416" s="28" t="str">
        <x:v>пекан</x:v>
      </x:c>
      <x:c r="C416" s="28" t="str">
        <x:v>Еда и соусы</x:v>
      </x:c>
      <x:c r="D416" s="28" t="str">
        <x:v>пекан</x:v>
      </x:c>
      <x:c r="E416" s="28" t="str">
        <x:v>pecan</x:v>
      </x:c>
      <x:c r="F416" s="28" t="str">
        <x:v>Орехи и семена</x:v>
      </x:c>
      <x:c r="G416" s="28" t="str">
        <x:v>свёкла</x:v>
      </x:c>
      <x:c r="H416" s="28" t="str">
        <x:v>beetroot</x:v>
      </x:c>
      <x:c r="I416" s="28" t="str">
        <x:v>Овощи, бобовые и грибы</x:v>
      </x:c>
      <x:c r="J416" s="28" t="str">
        <x:v>маслянистый, сладкий, карамельный и древесно-ореховый</x:v>
      </x:c>
      <x:c r="K416" s="28" t="str">
        <x:v>землистый, сладкий</x:v>
      </x:c>
      <x:c r="L416" s="28" t="str">
        <x:v>пиразины, фураны, лактоны, гексаналь</x:v>
      </x:c>
      <x:c r="M416" s="28" t="str">
        <x:v>геосмин</x:v>
      </x:c>
      <x:c r="N416" s="28" t="str">
        <x:v>прямое пересечение семейств не является единственным объяснением</x:v>
      </x:c>
      <x:c r="O416" s="28" t="str">
        <x:v>надежная общая ключевая молекула не подтверждена</x:v>
      </x:c>
      <x:c r="P416" s="28" t="str">
        <x:v>сенсорная комплементарность</x:v>
      </x:c>
      <x:c r="Q41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16" s="28" t="str">
        <x:v>минимальный</x:v>
      </x:c>
      <x:c r="S416" s="28" t="str">
        <x:v>высокожировая и хрупкая; хорошо связывает карамель и шоколад</x:v>
      </x:c>
      <x:c r="T416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16" s="28" t="str">
        <x:v>Пекан имеет профиль «маслянистый, сладкий, карамельный и древесно-ореховый». Партнёр «свёкла» относится к группе «Овощи, бобовые и грибы» и даёт землистый, сладкий.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16" s="28" t="str">
        <x:v>аллерген и высокая склонность к окислению</x:v>
      </x:c>
      <x:c r="W416" s="28" t="str">
        <x:v>соль, ваниль или карамель</x:v>
      </x:c>
      <x:c r="X416" s="28" t="str">
        <x:v>пралине, паста, выпечка, гарнир, соус, молочный или коктейльный компонент с свёкла</x:v>
      </x:c>
      <x:c r="Y416" s="28" t="str">
        <x:v>еда, десерты, соусы/маринады</x:v>
      </x:c>
      <x:c r="Z416" s="28" t="str">
        <x:v>Средняя</x:v>
      </x:c>
      <x:c r="AA416" s="28" t="str">
        <x:v>The Art &amp; Science of Foodpairing.pdf</x:v>
      </x:c>
      <x:c r="AB416" s="28" t="str">
        <x:v>The Art &amp; Science of Foodpairing.pdf: 224</x:v>
      </x:c>
      <x:c r="AC416" s="28" t="str">
        <x:v>Пара встречается как grid; научное объяснение сформировано по ароматическому профилю и пищевой матрице.</x:v>
      </x:c>
      <x:c r="AD416" s="28" t="n">
        <x:v>1</x:v>
      </x:c>
      <x:c r="AE416" s="28" t="n">
        <x:v>1</x:v>
      </x:c>
      <x:c r="AF416" s="28" t="n">
        <x:f>IF(Z416="Высокая",3,IF(Z416="Средняя",2,1))+AD416*2+MIN(AE416,3)</x:f>
        <x:v>5</x:v>
      </x:c>
    </x:row>
    <x:row r="417" ht="62" customHeight="1">
      <x:c r="A417" s="28" t="str">
        <x:v>NCT-0416</x:v>
      </x:c>
      <x:c r="B417" s="28" t="str">
        <x:v>пекан</x:v>
      </x:c>
      <x:c r="C417" s="28" t="str">
        <x:v>Универсальные</x:v>
      </x:c>
      <x:c r="D417" s="28" t="str">
        <x:v>пекан</x:v>
      </x:c>
      <x:c r="E417" s="28" t="str">
        <x:v>пекан</x:v>
      </x:c>
      <x:c r="F417" s="28" t="str">
        <x:v>Орехи и семена</x:v>
      </x:c>
      <x:c r="G417" s="28" t="str">
        <x:v>финик</x:v>
      </x:c>
      <x:c r="H417" s="28" t="str">
        <x:v>Финик</x:v>
      </x:c>
      <x:c r="I417" s="28" t="str">
        <x:v>Прочее</x:v>
      </x:c>
      <x:c r="J417" s="28" t="str">
        <x:v>маслянистый, сладкий, карамельный и древесно-ореховый</x:v>
      </x:c>
      <x:c r="K417" s="28" t="str">
        <x:v>профиль зависит от конкретного продукта</x:v>
      </x:c>
      <x:c r="L417" s="28" t="str">
        <x:v>пиразины, фураны, лактоны, гексаналь</x:v>
      </x:c>
      <x:c r="M417" s="28" t="str">
        <x:v>характерный профиль зависит от конкретного продукта</x:v>
      </x:c>
      <x:c r="N417" s="28" t="str">
        <x:v>прямое пересечение семейств не является единственным объяснением</x:v>
      </x:c>
      <x:c r="O417" s="28" t="str">
        <x:v>надежная общая ключевая молекула не подтверждена</x:v>
      </x:c>
      <x:c r="P417" s="28" t="str">
        <x:v>сенсорная комплементарность</x:v>
      </x:c>
      <x:c r="Q41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17" s="28" t="str">
        <x:v>минимальный</x:v>
      </x:c>
      <x:c r="S417" s="28" t="str">
        <x:v>высокожировая и хрупкая; хорошо связывает карамель и шоколад</x:v>
      </x:c>
      <x:c r="T417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17" s="28" t="str">
        <x:v>Пекан имеет профиль «маслянистый, сладкий, карамельный и древесно-ореховый». Партнёр «финик»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17" s="28" t="str">
        <x:v>аллерген и высокая склонность к окислению</x:v>
      </x:c>
      <x:c r="W417" s="28" t="str">
        <x:v>соль, ваниль или карамель</x:v>
      </x:c>
      <x:c r="X417" s="28" t="str">
        <x:v>пралине, паста, выпечка, гарнир, соус, молочный или коктейльный компонент с финик</x:v>
      </x:c>
      <x:c r="Y417" s="28" t="str">
        <x:v>десерты</x:v>
      </x:c>
      <x:c r="Z417" s="28" t="str">
        <x:v>Гипотеза / практическая</x:v>
      </x:c>
      <x:c r="AA417" s="28" t="str">
        <x:v>Таблица сочетания(1).pdf</x:v>
      </x:c>
      <x:c r="AB417" s="28" t="str">
        <x:v>Таблица сочетания(1).pdf: 7</x:v>
      </x:c>
      <x:c r="AC417" s="28" t="str">
        <x:v>Пара встречается как table; научное объяснение сформировано по ароматическому профилю и пищевой матрице.</x:v>
      </x:c>
      <x:c r="AD417" s="28" t="n">
        <x:v>1</x:v>
      </x:c>
      <x:c r="AE417" s="28" t="n">
        <x:v>1</x:v>
      </x:c>
      <x:c r="AF417" s="28" t="n">
        <x:f>IF(Z417="Высокая",3,IF(Z417="Средняя",2,1))+AD417*2+MIN(AE417,3)</x:f>
        <x:v>4</x:v>
      </x:c>
    </x:row>
    <x:row r="418" ht="62" customHeight="1">
      <x:c r="A418" s="28" t="str">
        <x:v>NCT-0417</x:v>
      </x:c>
      <x:c r="B418" s="28" t="str">
        <x:v>пекан</x:v>
      </x:c>
      <x:c r="C418" s="28" t="str">
        <x:v>Десерты и выпечка</x:v>
      </x:c>
      <x:c r="D418" s="28" t="str">
        <x:v>пекан</x:v>
      </x:c>
      <x:c r="E418" s="28" t="str">
        <x:v>пекан</x:v>
      </x:c>
      <x:c r="F418" s="28" t="str">
        <x:v>Орехи и семена</x:v>
      </x:c>
      <x:c r="G418" s="28" t="str">
        <x:v>чернослив</x:v>
      </x:c>
      <x:c r="H418" s="28" t="str">
        <x:v>Чернослив</x:v>
      </x:c>
      <x:c r="I418" s="28" t="str">
        <x:v>Фрукты и ягоды</x:v>
      </x:c>
      <x:c r="J418" s="28" t="str">
        <x:v>маслянистый, сладкий, карамельный и древесно-ореховый</x:v>
      </x:c>
      <x:c r="K418" s="28" t="str">
        <x:v>фруктовый, цветочный и свежий</x:v>
      </x:c>
      <x:c r="L418" s="28" t="str">
        <x:v>пиразины, фураны, лактоны, гексаналь</x:v>
      </x:c>
      <x:c r="M418" s="28" t="str">
        <x:v>альдегиды, эфиры</x:v>
      </x:c>
      <x:c r="N418" s="28" t="str">
        <x:v>прямое пересечение семейств не является единственным объяснением</x:v>
      </x:c>
      <x:c r="O418" s="28" t="str">
        <x:v>надежная общая ключевая молекула не подтверждена</x:v>
      </x:c>
      <x:c r="P418" s="28" t="str">
        <x:v>контраст кислоты и жирной/горькой матрицы</x:v>
      </x:c>
      <x:c r="Q41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18" s="28" t="str">
        <x:v>минимальный</x:v>
      </x:c>
      <x:c r="S418" s="28" t="str">
        <x:v>высокожировая и хрупкая; хорошо связывает карамель и шоколад Водная фруктовая фаза требует эмульсии или мелкого измельчения, если орех или шоколад вводится как паста.</x:v>
      </x:c>
      <x:c r="T418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18" s="28" t="str">
        <x:v>Пекан имеет профиль «маслянистый, сладкий, карамельный и древесно-ореховый». Партнёр «чернослив»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18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W418" s="28" t="str">
        <x:v>ваниль, цитрус или молочный жир</x:v>
      </x:c>
      <x:c r="X418" s="28" t="str">
        <x:v>пралине, паста, выпечка, гарнир, соус, молочный или коктейльный компонент с чернослив</x:v>
      </x:c>
      <x:c r="Y418" s="28" t="str">
        <x:v>десерты</x:v>
      </x:c>
      <x:c r="Z418" s="28" t="str">
        <x:v>Гипотеза / практическая</x:v>
      </x:c>
      <x:c r="AA418" s="28" t="str">
        <x:v>Таблица сочетания(1).pdf</x:v>
      </x:c>
      <x:c r="AB418" s="28" t="str">
        <x:v>Таблица сочетания(1).pdf: 18</x:v>
      </x:c>
      <x:c r="AC418" s="28" t="str">
        <x:v>Пара встречается как table; научное объяснение сформировано по ароматическому профилю и пищевой матрице.</x:v>
      </x:c>
      <x:c r="AD418" s="28" t="n">
        <x:v>1</x:v>
      </x:c>
      <x:c r="AE418" s="28" t="n">
        <x:v>1</x:v>
      </x:c>
      <x:c r="AF418" s="28" t="n">
        <x:f>IF(Z418="Высокая",3,IF(Z418="Средняя",2,1))+AD418*2+MIN(AE418,3)</x:f>
        <x:v>4</x:v>
      </x:c>
    </x:row>
    <x:row r="419" ht="62" customHeight="1">
      <x:c r="A419" s="28" t="str">
        <x:v>NCT-0418</x:v>
      </x:c>
      <x:c r="B419" s="28" t="str">
        <x:v>пекан</x:v>
      </x:c>
      <x:c r="C419" s="28" t="str">
        <x:v>Десерты и выпечка</x:v>
      </x:c>
      <x:c r="D419" s="28" t="str">
        <x:v>пекан</x:v>
      </x:c>
      <x:c r="E419" s="28" t="str">
        <x:v>Пекан</x:v>
      </x:c>
      <x:c r="F419" s="28" t="str">
        <x:v>Орехи и семена</x:v>
      </x:c>
      <x:c r="G419" s="28" t="str">
        <x:v>шоколад</x:v>
      </x:c>
      <x:c r="H419" s="28" t="str">
        <x:v>шоколад</x:v>
      </x:c>
      <x:c r="I419" s="28" t="str">
        <x:v>Какао и шоколад</x:v>
      </x:c>
      <x:c r="J419" s="28" t="str">
        <x:v>маслянистый, сладкий, карамельный и древесно-ореховый</x:v>
      </x:c>
      <x:c r="K419" s="28" t="str">
        <x:v>жареный, какаовый, фруктовый, цветочный, древесный и пряный; профиль зависит от происхождения и обжарки</x:v>
      </x:c>
      <x:c r="L419" s="28" t="str">
        <x:v>пиразины, фураны, лактоны, гексаналь</x:v>
      </x:c>
      <x:c r="M419" s="28" t="str">
        <x:v>альдегиды, пиразины, теобромин, фураны, эфиры</x:v>
      </x:c>
      <x:c r="N419" s="28" t="str">
        <x:v>прямое пересечение семейств не является единственным объяснением</x:v>
      </x:c>
      <x:c r="O419" s="28" t="str">
        <x:v>пиразины, фураны</x:v>
      </x:c>
      <x:c r="P419" s="28" t="str">
        <x:v>общие ароматические соединения, жареная химия и реакции Майяра</x:v>
      </x:c>
      <x:c r="Q41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19" s="28" t="str">
        <x:v>минимальный</x:v>
      </x:c>
      <x:c r="S419" s="28" t="str">
        <x:v>высокожировая и хрупкая; хорошо связывает карамель и шоколад</x:v>
      </x:c>
      <x:c r="T419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19" s="28" t="str">
        <x:v>Пекан имеет профиль «маслянистый, сладкий, карамельный и древесно-ореховый».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пиразины, фураны.</x:v>
      </x:c>
      <x:c r="V419" s="28" t="str">
        <x:v>аллерген и высокая склонность к окислению</x:v>
      </x:c>
      <x:c r="W419" s="28" t="str">
        <x:v>соль, ваниль или карамель</x:v>
      </x:c>
      <x:c r="X419" s="28" t="str">
        <x:v>пралине, паста, выпечка, гарнир, соус, молочный или коктейльный компонент с шоколад</x:v>
      </x:c>
      <x:c r="Y419" s="28" t="str">
        <x:v>десерты</x:v>
      </x:c>
      <x:c r="Z419" s="28" t="str">
        <x:v>Гипотеза / практическая</x:v>
      </x:c>
      <x:c r="AA419" s="28" t="str">
        <x:v>Таблица сочетания(1).pdf</x:v>
      </x:c>
      <x:c r="AB419" s="28" t="str">
        <x:v>Таблица сочетания(1).pdf: 16</x:v>
      </x:c>
      <x:c r="AC419" s="28" t="str">
        <x:v>Пара встречается как table; научное объяснение сформировано по ароматическому профилю и пищевой матрице.</x:v>
      </x:c>
      <x:c r="AD419" s="28" t="n">
        <x:v>1</x:v>
      </x:c>
      <x:c r="AE419" s="28" t="n">
        <x:v>1</x:v>
      </x:c>
      <x:c r="AF419" s="28" t="n">
        <x:f>IF(Z419="Высокая",3,IF(Z419="Средняя",2,1))+AD419*2+MIN(AE419,3)</x:f>
        <x:v>4</x:v>
      </x:c>
    </x:row>
    <x:row r="420" ht="62" customHeight="1">
      <x:c r="A420" s="28" t="str">
        <x:v>NCT-0419</x:v>
      </x:c>
      <x:c r="B420" s="28" t="str">
        <x:v>пекан</x:v>
      </x:c>
      <x:c r="C420" s="28" t="str">
        <x:v>Десерты и выпечка</x:v>
      </x:c>
      <x:c r="D420" s="28" t="str">
        <x:v>пекан</x:v>
      </x:c>
      <x:c r="E420" s="28" t="str">
        <x:v>пекан</x:v>
      </x:c>
      <x:c r="F420" s="28" t="str">
        <x:v>Орехи и семена</x:v>
      </x:c>
      <x:c r="G420" s="28" t="str">
        <x:v>яблоко</x:v>
      </x:c>
      <x:c r="H420" s="28" t="str">
        <x:v>Яблоко</x:v>
      </x:c>
      <x:c r="I420" s="28" t="str">
        <x:v>Фрукты и ягоды</x:v>
      </x:c>
      <x:c r="J420" s="28" t="str">
        <x:v>маслянистый, сладкий, карамельный и древесно-ореховый</x:v>
      </x:c>
      <x:c r="K420" s="28" t="str">
        <x:v>фруктовый, цветочный и свежий</x:v>
      </x:c>
      <x:c r="L420" s="28" t="str">
        <x:v>пиразины, фураны, лактоны, гексаналь</x:v>
      </x:c>
      <x:c r="M420" s="28" t="str">
        <x:v>альдегиды, эфиры</x:v>
      </x:c>
      <x:c r="N420" s="28" t="str">
        <x:v>прямое пересечение семейств не является единственным объяснением</x:v>
      </x:c>
      <x:c r="O420" s="28" t="str">
        <x:v>надежная общая ключевая молекула не подтверждена</x:v>
      </x:c>
      <x:c r="P420" s="28" t="str">
        <x:v>контраст кислоты и жирной/горькой матрицы</x:v>
      </x:c>
      <x:c r="Q42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20" s="28" t="str">
        <x:v>минимальный</x:v>
      </x:c>
      <x:c r="S420" s="28" t="str">
        <x:v>высокожировая и хрупкая; хорошо связывает карамель и шоколад Водная фруктовая фаза требует эмульсии или мелкого измельчения, если орех или шоколад вводится как паста.</x:v>
      </x:c>
      <x:c r="T420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U420" s="28" t="str">
        <x:v>Пекан имеет профиль «маслянистый, сладкий, карамельный и древесно-ореховый». Партнёр «яблоко»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20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W420" s="28" t="str">
        <x:v>ваниль, цитрус или молочный жир</x:v>
      </x:c>
      <x:c r="X420" s="28" t="str">
        <x:v>пралине, паста, выпечка, гарнир, соус, молочный или коктейльный компонент с яблоко</x:v>
      </x:c>
      <x:c r="Y420" s="28" t="str">
        <x:v>десерты</x:v>
      </x:c>
      <x:c r="Z420" s="28" t="str">
        <x:v>Гипотеза / практическая</x:v>
      </x:c>
      <x:c r="AA420" s="28" t="str">
        <x:v>Таблица сочетания(1).pdf</x:v>
      </x:c>
      <x:c r="AB420" s="28" t="str">
        <x:v>Таблица сочетания(1).pdf: 1</x:v>
      </x:c>
      <x:c r="AC420" s="28" t="str">
        <x:v>Пара встречается как table; научное объяснение сформировано по ароматическому профилю и пищевой матрице.</x:v>
      </x:c>
      <x:c r="AD420" s="28" t="n">
        <x:v>1</x:v>
      </x:c>
      <x:c r="AE420" s="28" t="n">
        <x:v>2</x:v>
      </x:c>
      <x:c r="AF420" s="28" t="n">
        <x:f>IF(Z420="Высокая",3,IF(Z420="Средняя",2,1))+AD420*2+MIN(AE420,3)</x:f>
        <x:v>5</x:v>
      </x:c>
    </x:row>
    <x:row r="421" ht="62" customHeight="1">
      <x:c r="A421" s="28" t="str">
        <x:v>NCT-0420</x:v>
      </x:c>
      <x:c r="B421" s="28" t="str">
        <x:v>ройбуш</x:v>
      </x:c>
      <x:c r="C421" s="28" t="str">
        <x:v>Десерты и выпечка</x:v>
      </x:c>
      <x:c r="D421" s="28" t="str">
        <x:v>ройбуш</x:v>
      </x:c>
      <x:c r="E421" s="28" t="str">
        <x:v>rooibos tea</x:v>
      </x:c>
      <x:c r="F421" s="28" t="str">
        <x:v>Чай</x:v>
      </x:c>
      <x:c r="G421" s="28" t="str">
        <x:v>банан</x:v>
      </x:c>
      <x:c r="H421" s="28" t="str">
        <x:v>banana</x:v>
      </x:c>
      <x:c r="I421" s="28" t="str">
        <x:v>Фрукты и ягоды</x:v>
      </x:c>
      <x:c r="J421" s="28" t="str">
        <x:v>медовый, древесный, ванильный и слегка ореховый</x:v>
      </x:c>
      <x:c r="K421" s="28" t="str">
        <x:v>сливочный, фруктовый</x:v>
      </x:c>
      <x:c r="L421" s="28" t="str">
        <x:v>ванилин, гваякол, фураны, фенольные соединения</x:v>
      </x:c>
      <x:c r="M421" s="28" t="str">
        <x:v>изоамилацетат</x:v>
      </x:c>
      <x:c r="N421" s="28" t="str">
        <x:v>прямое пересечение семейств не является единственным объяснением</x:v>
      </x:c>
      <x:c r="O421" s="28" t="str">
        <x:v>надежная общая ключевая молекула не подтверждена</x:v>
      </x:c>
      <x:c r="P421" s="28" t="str">
        <x:v>контраст кислоты и жирной/горькой матрицы</x:v>
      </x:c>
      <x:c r="Q421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421" s="28" t="str">
        <x:v>минимальный</x:v>
      </x:c>
      <x:c r="S421" s="28" t="str">
        <x:v>водный настой с низкой танинностью Водная фруктовая фаза требует эмульсии или мелкого измельчения, если орех или шоколад вводится как паста.</x:v>
      </x:c>
      <x:c r="T421" s="28" t="str">
        <x:v>длительное заваривание переносит лучше чая, но может усилить древесность.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421" s="28" t="str">
        <x:v>Ройбуш имеет профиль «медовый, древесный, ванильный и слегка ореховый».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421" s="28" t="str">
        <x:v>слабая структура требует кислоты или специи; легко потерять тонкий аромат;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W421" s="28" t="str">
        <x:v>ваниль, цитрус или молочный жир</x:v>
      </x:c>
      <x:c r="X421" s="28" t="str">
        <x:v>чайный настой, холодный чай, кордиал, молочный пунш, десерт или соус с банан</x:v>
      </x:c>
      <x:c r="Y421" s="28" t="str">
        <x:v>напитки, десерты</x:v>
      </x:c>
      <x:c r="Z421" s="28" t="str">
        <x:v>Средняя</x:v>
      </x:c>
      <x:c r="AA421" s="28" t="str">
        <x:v>The Art &amp; Science of Foodpairing.pdf</x:v>
      </x:c>
      <x:c r="AB421" s="28" t="str">
        <x:v>The Art &amp; Science of Foodpairing.pdf: 342</x:v>
      </x:c>
      <x:c r="AC421" s="28" t="str">
        <x:v>Пара встречается как grid; научное объяснение сформировано по ароматическому профилю и пищевой матрице.</x:v>
      </x:c>
      <x:c r="AD421" s="28" t="n">
        <x:v>1</x:v>
      </x:c>
      <x:c r="AE421" s="28" t="n">
        <x:v>1</x:v>
      </x:c>
      <x:c r="AF421" s="28" t="n">
        <x:f>IF(Z421="Высокая",3,IF(Z421="Средняя",2,1))+AD421*2+MIN(AE421,3)</x:f>
        <x:v>5</x:v>
      </x:c>
    </x:row>
    <x:row r="422" ht="62" customHeight="1">
      <x:c r="A422" s="28" t="str">
        <x:v>NCT-0421</x:v>
      </x:c>
      <x:c r="B422" s="28" t="str">
        <x:v>ройбуш</x:v>
      </x:c>
      <x:c r="C422" s="28" t="str">
        <x:v>Еда и соусы</x:v>
      </x:c>
      <x:c r="D422" s="28" t="str">
        <x:v>ройбуш</x:v>
      </x:c>
      <x:c r="E422" s="28" t="str">
        <x:v>rooibos tea</x:v>
      </x:c>
      <x:c r="F422" s="28" t="str">
        <x:v>Чай</x:v>
      </x:c>
      <x:c r="G422" s="28" t="str">
        <x:v>свёкла</x:v>
      </x:c>
      <x:c r="H422" s="28" t="str">
        <x:v>beetroot</x:v>
      </x:c>
      <x:c r="I422" s="28" t="str">
        <x:v>Овощи, бобовые и грибы</x:v>
      </x:c>
      <x:c r="J422" s="28" t="str">
        <x:v>медовый, древесный, ванильный и слегка ореховый</x:v>
      </x:c>
      <x:c r="K422" s="28" t="str">
        <x:v>землистый, сладкий</x:v>
      </x:c>
      <x:c r="L422" s="28" t="str">
        <x:v>ванилин, гваякол, фураны, фенольные соединения</x:v>
      </x:c>
      <x:c r="M422" s="28" t="str">
        <x:v>геосмин</x:v>
      </x:c>
      <x:c r="N422" s="28" t="str">
        <x:v>прямое пересечение семейств не является единственным объяснением</x:v>
      </x:c>
      <x:c r="O422" s="28" t="str">
        <x:v>надежная общая ключевая молекула не подтверждена</x:v>
      </x:c>
      <x:c r="P422" s="28" t="str">
        <x:v>сенсорная комплементарность</x:v>
      </x:c>
      <x:c r="Q422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422" s="28" t="str">
        <x:v>минимальный</x:v>
      </x:c>
      <x:c r="S422" s="28" t="str">
        <x:v>водный настой с низкой танинностью</x:v>
      </x:c>
      <x:c r="T422" s="28" t="str">
        <x:v>длительное заваривание переносит лучше чая, но может усилить древесность.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422" s="28" t="str">
        <x:v>Ройбуш имеет профиль «медовый, древесный, ванильный и слегка ореховый». Партнёр «свёкла» относится к группе «Овощи, бобовые и грибы» и даёт землистый, сладкий.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422" s="28" t="str">
        <x:v>слабая структура требует кислоты или специи; легко потерять тонкий аромат; слишком горячая вода и долгое заваривание усиливают терпкость</x:v>
      </x:c>
      <x:c r="W422" s="28" t="str">
        <x:v>соль, ваниль или карамель</x:v>
      </x:c>
      <x:c r="X422" s="28" t="str">
        <x:v>чайный настой, холодный чай, кордиал, молочный пунш, десерт или соус с свёкла</x:v>
      </x:c>
      <x:c r="Y422" s="28" t="str">
        <x:v>напитки, еда, соусы/маринады</x:v>
      </x:c>
      <x:c r="Z422" s="28" t="str">
        <x:v>Средняя</x:v>
      </x:c>
      <x:c r="AA422" s="28" t="str">
        <x:v>The Art &amp; Science of Foodpairing.pdf</x:v>
      </x:c>
      <x:c r="AB422" s="28" t="str">
        <x:v>The Art &amp; Science of Foodpairing.pdf: 224</x:v>
      </x:c>
      <x:c r="AC422" s="28" t="str">
        <x:v>Пара встречается как grid; научное объяснение сформировано по ароматическому профилю и пищевой матрице.</x:v>
      </x:c>
      <x:c r="AD422" s="28" t="n">
        <x:v>1</x:v>
      </x:c>
      <x:c r="AE422" s="28" t="n">
        <x:v>1</x:v>
      </x:c>
      <x:c r="AF422" s="28" t="n">
        <x:f>IF(Z422="Высокая",3,IF(Z422="Средняя",2,1))+AD422*2+MIN(AE422,3)</x:f>
        <x:v>5</x:v>
      </x:c>
    </x:row>
    <x:row r="423" ht="62" customHeight="1">
      <x:c r="A423" s="28" t="str">
        <x:v>NCT-0422</x:v>
      </x:c>
      <x:c r="B423" s="28" t="str">
        <x:v>улун</x:v>
      </x:c>
      <x:c r="C423" s="28" t="str">
        <x:v>Десерты и выпечка</x:v>
      </x:c>
      <x:c r="D423" s="28" t="str">
        <x:v>улун</x:v>
      </x:c>
      <x:c r="E423" s="28" t="str">
        <x:v>oolong tea</x:v>
      </x:c>
      <x:c r="F423" s="28" t="str">
        <x:v>Чай</x:v>
      </x:c>
      <x:c r="G423" s="28" t="str">
        <x:v>sea fig</x:v>
      </x:c>
      <x:c r="H423" s="28" t="str">
        <x:v>sea fig</x:v>
      </x:c>
      <x:c r="I423" s="28" t="str">
        <x:v>Фрукты и ягоды</x:v>
      </x:c>
      <x:c r="J423" s="28" t="str">
        <x:v>цветочный, фруктовый, сливочный и слегка жареный</x:v>
      </x:c>
      <x:c r="K423" s="28" t="str">
        <x:v>фруктовый, цветочный и свежий</x:v>
      </x:c>
      <x:c r="L423" s="28" t="str">
        <x:v>линалол, гераниол, жасмонаты, норизопреноиды</x:v>
      </x:c>
      <x:c r="M423" s="28" t="str">
        <x:v>альдегиды, эфиры</x:v>
      </x:c>
      <x:c r="N423" s="28" t="str">
        <x:v>фруктовый, цветочный</x:v>
      </x:c>
      <x:c r="O423" s="28" t="str">
        <x:v>надежная общая ключевая молекула не подтверждена</x:v>
      </x:c>
      <x:c r="P423" s="28" t="str">
        <x:v>пересечение ароматических семейств, контраст кислоты и жирной/горькой матрицы</x:v>
      </x:c>
      <x:c r="Q423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423" s="28" t="str">
        <x:v>лёгкая сухость</x:v>
      </x:c>
      <x:c r="S423" s="28" t="str">
        <x:v>водный настой частично окисленного листа Водная фруктовая фаза требует эмульсии или мелкого измельчения, если орех или шоколад вводится как паста.</x:v>
      </x:c>
      <x:c r="T423" s="28" t="str">
        <x:v>многократные короткие проливы раскрывают слои; перегрев стирает цветочность.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423" s="28" t="str">
        <x:v>Улун имеет профиль «цветочный, фруктовый, сливочный и слегка жареный». Партнёр «sea fig» относится к группе «Фрукты и ягоды» и даёт фруктовый, цветочный и свежий. Профили пересекаются в семействах: фруктовый,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фруктовый, цветочный; механизм не следует сводить к одной общей молекуле.</x:v>
      </x:c>
      <x:c r="V423" s="28" t="str">
        <x:v>переэкстракция и хранение рядом с сильными запахами;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W423" s="28" t="str">
        <x:v>ваниль, цитрус или молочный жир</x:v>
      </x:c>
      <x:c r="X423" s="28" t="str">
        <x:v>чайный настой, холодный чай, кордиал, молочный пунш, десерт или соус с sea fig</x:v>
      </x:c>
      <x:c r="Y423" s="28" t="str">
        <x:v>напитки, десерты</x:v>
      </x:c>
      <x:c r="Z423" s="28" t="str">
        <x:v>Высокая</x:v>
      </x:c>
      <x:c r="AA423" s="28" t="str">
        <x:v>The Art &amp; Science of Foodpairing.pdf</x:v>
      </x:c>
      <x:c r="AB423" s="28" t="str">
        <x:v>The Art &amp; Science of Foodpairing.pdf: 363</x:v>
      </x:c>
      <x:c r="AC423" s="28" t="str">
        <x:v>Пара встречается как potential; научное объяснение сформировано по ароматическому профилю и пищевой матрице.</x:v>
      </x:c>
      <x:c r="AD423" s="28" t="n">
        <x:v>1</x:v>
      </x:c>
      <x:c r="AE423" s="28" t="n">
        <x:v>1</x:v>
      </x:c>
      <x:c r="AF423" s="28" t="n">
        <x:f>IF(Z423="Высокая",3,IF(Z423="Средняя",2,1))+AD423*2+MIN(AE423,3)</x:f>
        <x:v>6</x:v>
      </x:c>
    </x:row>
    <x:row r="424" ht="62" customHeight="1">
      <x:c r="A424" s="28" t="str">
        <x:v>NCT-0423</x:v>
      </x:c>
      <x:c r="B424" s="28" t="str">
        <x:v>фисташка</x:v>
      </x:c>
      <x:c r="C424" s="28" t="str">
        <x:v>Десерты и выпечка</x:v>
      </x:c>
      <x:c r="D424" s="28" t="str">
        <x:v>фисташка</x:v>
      </x:c>
      <x:c r="E424" s="28" t="str">
        <x:v>pistachio nut</x:v>
      </x:c>
      <x:c r="F424" s="28" t="str">
        <x:v>Орехи и семена</x:v>
      </x:c>
      <x:c r="G424" s="28" t="str">
        <x:v>apple and apple sauce</x:v>
      </x:c>
      <x:c r="H424" s="28" t="str">
        <x:v>apple and apple sauce</x:v>
      </x:c>
      <x:c r="I424" s="28" t="str">
        <x:v>Фрукты и ягоды</x:v>
      </x:c>
      <x:c r="J424" s="28" t="str">
        <x:v>зелёный, ореховый, смолистый, сладкий и слегка цветочный</x:v>
      </x:c>
      <x:c r="K424" s="28" t="str">
        <x:v>фруктовый, цветочный и свежий</x:v>
      </x:c>
      <x:c r="L424" s="28" t="str">
        <x:v>пиразины, терпены, гексаналь, фураны</x:v>
      </x:c>
      <x:c r="M424" s="28" t="str">
        <x:v>альдегиды, эфиры</x:v>
      </x:c>
      <x:c r="N424" s="28" t="str">
        <x:v>прямое пересечение семейств не является единственным объяснением</x:v>
      </x:c>
      <x:c r="O424" s="28" t="str">
        <x:v>надежная общая ключевая молекула не подтверждена</x:v>
      </x:c>
      <x:c r="P424" s="28" t="str">
        <x:v>контраст кислоты и жирной/горькой матрицы</x:v>
      </x:c>
      <x:c r="Q42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24" s="28" t="str">
        <x:v>минимальный</x:v>
      </x:c>
      <x:c r="S424" s="28" t="str">
        <x:v>жирная белково-клетчаточная матрица; зелёные пигменты чувствительны к перегреву Водная фруктовая фаза требует эмульсии или мелкого измельчения, если орех или шоколад вводится как паста.</x:v>
      </x:c>
      <x:c r="T424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24" s="28" t="str">
        <x:v>Фисташка имеет профиль «зелёный, ореховый, смолистый, сладкий и слегка цветочный». Партнёр «apple and apple sauce»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24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W424" s="28" t="str">
        <x:v>ваниль, цитрус или молочный жир</x:v>
      </x:c>
      <x:c r="X424" s="28" t="str">
        <x:v>пралине, паста, выпечка, гарнир, соус, молочный или коктейльный компонент с apple and apple sauce</x:v>
      </x:c>
      <x:c r="Y424" s="28" t="str">
        <x:v>десерты</x:v>
      </x:c>
      <x:c r="Z424" s="28" t="str">
        <x:v>Средняя</x:v>
      </x:c>
      <x:c r="AA424" s="28" t="str">
        <x:v>The Art &amp; Science of Foodpairing.pdf</x:v>
      </x:c>
      <x:c r="AB424" s="28" t="str">
        <x:v>The Art &amp; Science of Foodpairing.pdf: 48</x:v>
      </x:c>
      <x:c r="AC424" s="28" t="str">
        <x:v>Пара встречается как grid; научное объяснение сформировано по ароматическому профилю и пищевой матрице.</x:v>
      </x:c>
      <x:c r="AD424" s="28" t="n">
        <x:v>1</x:v>
      </x:c>
      <x:c r="AE424" s="28" t="n">
        <x:v>1</x:v>
      </x:c>
      <x:c r="AF424" s="28" t="n">
        <x:f>IF(Z424="Высокая",3,IF(Z424="Средняя",2,1))+AD424*2+MIN(AE424,3)</x:f>
        <x:v>5</x:v>
      </x:c>
    </x:row>
    <x:row r="425" ht="62" customHeight="1">
      <x:c r="A425" s="28" t="str">
        <x:v>NCT-0424</x:v>
      </x:c>
      <x:c r="B425" s="28" t="str">
        <x:v>фисташка</x:v>
      </x:c>
      <x:c r="C425" s="28" t="str">
        <x:v>Универсальные</x:v>
      </x:c>
      <x:c r="D425" s="28" t="str">
        <x:v>фисташка</x:v>
      </x:c>
      <x:c r="E425" s="28" t="str">
        <x:v>pistachio nut</x:v>
      </x:c>
      <x:c r="F425" s="28" t="str">
        <x:v>Орехи и семена</x:v>
      </x:c>
      <x:c r="G425" s="28" t="str">
        <x:v>goats' cheese and milk</x:v>
      </x:c>
      <x:c r="H425" s="28" t="str">
        <x:v>goats' cheese and milk</x:v>
      </x:c>
      <x:c r="I425" s="28" t="str">
        <x:v>Молочные продукты и сыры</x:v>
      </x:c>
      <x:c r="J425" s="28" t="str">
        <x:v>зелёный, ореховый, смолистый, сладкий и слегка цветочный</x:v>
      </x:c>
      <x:c r="K425" s="28" t="str">
        <x:v>молочный, сливочный и ферментированный</x:v>
      </x:c>
      <x:c r="L425" s="28" t="str">
        <x:v>пиразины, терпены, гексаналь, фураны</x:v>
      </x:c>
      <x:c r="M425" s="28" t="str">
        <x:v>диацетил, жирные кислоты, лактоны</x:v>
      </x:c>
      <x:c r="N425" s="28" t="str">
        <x:v>прямое пересечение семейств не является единственным объяснением</x:v>
      </x:c>
      <x:c r="O425" s="28" t="str">
        <x:v>надежная общая ключевая молекула не подтверждена</x:v>
      </x:c>
      <x:c r="P425" s="28" t="str">
        <x:v>жировая экстракция и связывание полифенолов белком</x:v>
      </x:c>
      <x:c r="Q42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25" s="28" t="str">
        <x:v>минимальный</x:v>
      </x:c>
      <x:c r="S425" s="28" t="str">
        <x:v>жирная белково-клетчаточная матрица; зелёные пигменты чувствительны к перегреву Совпадающие жирные фазы облегчают перенос аромата, но могут сделать продукт тяжёлым.</x:v>
      </x:c>
      <x:c r="T425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25" s="28" t="str">
        <x:v>Фисташка имеет профиль «зелёный, ореховый, смолистый, сладкий и слегка цветочный». Партнёр «goats' cheese and milk»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25" s="28" t="str">
        <x:v>аллерген; солёные фисташки меняют баланс рецепта; прогоркание; жир способен приглушить тонкую ароматику; белок связывает полифенолы</x:v>
      </x:c>
      <x:c r="W425" s="28" t="str">
        <x:v>мёд, карамель или фруктовая кислота</x:v>
      </x:c>
      <x:c r="X425" s="28" t="str">
        <x:v>пралине, паста, выпечка, гарнир, соус, молочный или коктейльный компонент с goats' cheese and milk</x:v>
      </x:c>
      <x:c r="Y425" s="28" t="str">
        <x:v>десерты</x:v>
      </x:c>
      <x:c r="Z425" s="28" t="str">
        <x:v>Средняя</x:v>
      </x:c>
      <x:c r="AA425" s="28" t="str">
        <x:v>The Art &amp; Science of Foodpairing.pdf</x:v>
      </x:c>
      <x:c r="AB425" s="28" t="str">
        <x:v>The Art &amp; Science of Foodpairing.pdf: 200</x:v>
      </x:c>
      <x:c r="AC425" s="28" t="str">
        <x:v>Пара встречается как grid; научное объяснение сформировано по ароматическому профилю и пищевой матрице.</x:v>
      </x:c>
      <x:c r="AD425" s="28" t="n">
        <x:v>1</x:v>
      </x:c>
      <x:c r="AE425" s="28" t="n">
        <x:v>1</x:v>
      </x:c>
      <x:c r="AF425" s="28" t="n">
        <x:f>IF(Z425="Высокая",3,IF(Z425="Средняя",2,1))+AD425*2+MIN(AE425,3)</x:f>
        <x:v>5</x:v>
      </x:c>
    </x:row>
    <x:row r="426" ht="62" customHeight="1">
      <x:c r="A426" s="28" t="str">
        <x:v>NCT-0425</x:v>
      </x:c>
      <x:c r="B426" s="28" t="str">
        <x:v>фисташка</x:v>
      </x:c>
      <x:c r="C426" s="28" t="str">
        <x:v>Десерты и выпечка</x:v>
      </x:c>
      <x:c r="D426" s="28" t="str">
        <x:v>фисташка</x:v>
      </x:c>
      <x:c r="E426" s="28" t="str">
        <x:v>Фисташка | фисташка</x:v>
      </x:c>
      <x:c r="F426" s="28" t="str">
        <x:v>Орехи и семена</x:v>
      </x:c>
      <x:c r="G426" s="28" t="str">
        <x:v>абрикос</x:v>
      </x:c>
      <x:c r="H426" s="28" t="str">
        <x:v>Абрикос | абрикос</x:v>
      </x:c>
      <x:c r="I426" s="28" t="str">
        <x:v>Фрукты и ягоды</x:v>
      </x:c>
      <x:c r="J426" s="28" t="str">
        <x:v>зелёный, ореховый, смолистый, сладкий и слегка цветочный</x:v>
      </x:c>
      <x:c r="K426" s="28" t="str">
        <x:v>лактонный, миндальный, фруктовый</x:v>
      </x:c>
      <x:c r="L426" s="28" t="str">
        <x:v>пиразины, терпены, гексаналь, фураны</x:v>
      </x:c>
      <x:c r="M426" s="28" t="str">
        <x:v>бензальдегид, лактоны</x:v>
      </x:c>
      <x:c r="N426" s="28" t="str">
        <x:v>прямое пересечение семейств не является единственным объяснением</x:v>
      </x:c>
      <x:c r="O426" s="28" t="str">
        <x:v>надежная общая ключевая молекула не подтверждена</x:v>
      </x:c>
      <x:c r="P426" s="28" t="str">
        <x:v>контраст кислоты и жирной/горькой матрицы</x:v>
      </x:c>
      <x:c r="Q42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26" s="28" t="str">
        <x:v>минимальный</x:v>
      </x:c>
      <x:c r="S426" s="28" t="str">
        <x:v>жирная белково-клетчаточная матрица; зелёные пигменты чувствительны к перегреву Водная фруктовая фаза требует эмульсии или мелкого измельчения, если орех или шоколад вводится как паста.</x:v>
      </x:c>
      <x:c r="T426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26" s="28" t="str">
        <x:v>Фисташка имеет профиль «зелёный, ореховый, смолистый, сладкий и слегка цветочный». Партнёр «абрикос» относится к группе «Фрукты и ягоды» и даёт лактонный, миндальный,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26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W426" s="28" t="str">
        <x:v>ваниль, цитрус или молочный жир</x:v>
      </x:c>
      <x:c r="X426" s="28" t="str">
        <x:v>пралине, паста, выпечка, гарнир, соус, молочный или коктейльный компонент с абрикос</x:v>
      </x:c>
      <x:c r="Y426" s="28" t="str">
        <x:v>десерты</x:v>
      </x:c>
      <x:c r="Z426" s="28" t="str">
        <x:v>Гипотеза / практическая</x:v>
      </x:c>
      <x:c r="AA426" s="28" t="str">
        <x:v>Таблица сочетания(1).pdf</x:v>
      </x:c>
      <x:c r="AB426" s="28" t="str">
        <x:v>Таблица сочетания(1).pdf: 2, 17</x:v>
      </x:c>
      <x:c r="AC426" s="28" t="str">
        <x:v>Пара встречается как table; научное объяснение сформировано по ароматическому профилю и пищевой матрице.</x:v>
      </x:c>
      <x:c r="AD426" s="28" t="n">
        <x:v>1</x:v>
      </x:c>
      <x:c r="AE426" s="28" t="n">
        <x:v>2</x:v>
      </x:c>
      <x:c r="AF426" s="28" t="n">
        <x:f>IF(Z426="Высокая",3,IF(Z426="Средняя",2,1))+AD426*2+MIN(AE426,3)</x:f>
        <x:v>5</x:v>
      </x:c>
    </x:row>
    <x:row r="427" ht="62" customHeight="1">
      <x:c r="A427" s="28" t="str">
        <x:v>NCT-0426</x:v>
      </x:c>
      <x:c r="B427" s="28" t="str">
        <x:v>фисташка</x:v>
      </x:c>
      <x:c r="C427" s="28" t="str">
        <x:v>Универсальные</x:v>
      </x:c>
      <x:c r="D427" s="28" t="str">
        <x:v>фисташка</x:v>
      </x:c>
      <x:c r="E427" s="28" t="str">
        <x:v>Фисташка</x:v>
      </x:c>
      <x:c r="F427" s="28" t="str">
        <x:v>Орехи и семена</x:v>
      </x:c>
      <x:c r="G427" s="28" t="str">
        <x:v>ананас</x:v>
      </x:c>
      <x:c r="H427" s="28" t="str">
        <x:v>ананас</x:v>
      </x:c>
      <x:c r="I427" s="28" t="str">
        <x:v>Прочее</x:v>
      </x:c>
      <x:c r="J427" s="28" t="str">
        <x:v>зелёный, ореховый, смолистый, сладкий и слегка цветочный</x:v>
      </x:c>
      <x:c r="K427" s="28" t="str">
        <x:v>профиль зависит от конкретного продукта</x:v>
      </x:c>
      <x:c r="L427" s="28" t="str">
        <x:v>пиразины, терпены, гексаналь, фураны</x:v>
      </x:c>
      <x:c r="M427" s="28" t="str">
        <x:v>характерный профиль зависит от конкретного продукта</x:v>
      </x:c>
      <x:c r="N427" s="28" t="str">
        <x:v>прямое пересечение семейств не является единственным объяснением</x:v>
      </x:c>
      <x:c r="O427" s="28" t="str">
        <x:v>надежная общая ключевая молекула не подтверждена</x:v>
      </x:c>
      <x:c r="P427" s="28" t="str">
        <x:v>сенсорная комплементарность</x:v>
      </x:c>
      <x:c r="Q42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27" s="28" t="str">
        <x:v>минимальный</x:v>
      </x:c>
      <x:c r="S427" s="28" t="str">
        <x:v>жирная белково-клетчаточная матрица; зелёные пигменты чувствительны к перегреву</x:v>
      </x:c>
      <x:c r="T427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27" s="28" t="str">
        <x:v>Фисташка имеет профиль «зелёный, ореховый, смолистый, сладкий и слегка цветочный». Партнёр «ананас»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27" s="28" t="str">
        <x:v>аллерген; солёные фисташки меняют баланс рецепта; прогоркание</x:v>
      </x:c>
      <x:c r="W427" s="28" t="str">
        <x:v>соль, ваниль или карамель</x:v>
      </x:c>
      <x:c r="X427" s="28" t="str">
        <x:v>пралине, паста, выпечка, гарнир, соус, молочный или коктейльный компонент с ананас</x:v>
      </x:c>
      <x:c r="Y427" s="28" t="str">
        <x:v>десерты</x:v>
      </x:c>
      <x:c r="Z427" s="28" t="str">
        <x:v>Гипотеза / практическая</x:v>
      </x:c>
      <x:c r="AA427" s="28" t="str">
        <x:v>Таблица сочетания(1).pdf</x:v>
      </x:c>
      <x:c r="AB427" s="28" t="str">
        <x:v>Таблица сочетания(1).pdf: 17</x:v>
      </x:c>
      <x:c r="AC427" s="28" t="str">
        <x:v>Пара встречается как table; научное объяснение сформировано по ароматическому профилю и пищевой матрице.</x:v>
      </x:c>
      <x:c r="AD427" s="28" t="n">
        <x:v>1</x:v>
      </x:c>
      <x:c r="AE427" s="28" t="n">
        <x:v>1</x:v>
      </x:c>
      <x:c r="AF427" s="28" t="n">
        <x:f>IF(Z427="Высокая",3,IF(Z427="Средняя",2,1))+AD427*2+MIN(AE427,3)</x:f>
        <x:v>4</x:v>
      </x:c>
    </x:row>
    <x:row r="428" ht="62" customHeight="1">
      <x:c r="A428" s="28" t="str">
        <x:v>NCT-0427</x:v>
      </x:c>
      <x:c r="B428" s="28" t="str">
        <x:v>фисташка</x:v>
      </x:c>
      <x:c r="C428" s="28" t="str">
        <x:v>Универсальные</x:v>
      </x:c>
      <x:c r="D428" s="28" t="str">
        <x:v>фисташка</x:v>
      </x:c>
      <x:c r="E428" s="28" t="str">
        <x:v>pistachio nut | Фисташка</x:v>
      </x:c>
      <x:c r="F428" s="28" t="str">
        <x:v>Орехи и семена</x:v>
      </x:c>
      <x:c r="G428" s="28" t="str">
        <x:v>базилик</x:v>
      </x:c>
      <x:c r="H428" s="28" t="str">
        <x:v>basil | базилик</x:v>
      </x:c>
      <x:c r="I428" s="28" t="str">
        <x:v>Травы, цветы и листья</x:v>
      </x:c>
      <x:c r="J428" s="28" t="str">
        <x:v>зелёный, ореховый, смолистый, сладкий и слегка цветочный</x:v>
      </x:c>
      <x:c r="K428" s="28" t="str">
        <x:v>зелёный, цветочный и терпеновый</x:v>
      </x:c>
      <x:c r="L428" s="28" t="str">
        <x:v>пиразины, терпены, гексаналь, фураны</x:v>
      </x:c>
      <x:c r="M428" s="28" t="str">
        <x:v>линалоол, терпены</x:v>
      </x:c>
      <x:c r="N428" s="28" t="str">
        <x:v>зелёный</x:v>
      </x:c>
      <x:c r="O428" s="28" t="str">
        <x:v>терпены</x:v>
      </x:c>
      <x:c r="P428" s="28" t="str">
        <x:v>общие ароматические соединения, пересечение ароматических семейств</x:v>
      </x:c>
      <x:c r="Q42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28" s="28" t="str">
        <x:v>минимальный</x:v>
      </x:c>
      <x:c r="S428" s="28" t="str">
        <x:v>жирная белково-клетчаточная матрица; зелёные пигменты чувствительны к перегреву</x:v>
      </x:c>
      <x:c r="T428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28" s="28" t="str">
        <x:v>Фисташка имеет профиль «зелёный, ореховый, смолистый, сладкий и слегка цветочный». Партнёр «базилик» относится к группе «Травы, цветы и листья» и даёт зелёный, цветочный и терпеновый. Молекулярный мост создают терпены Ореховый жир служит носителем ароматов и создаёт текстурный контраст, но окисление быстро превращает профиль в прогорклый. Итог: зелёный; терпены.</x:v>
      </x:c>
      <x:c r="V428" s="28" t="str">
        <x:v>аллерген; солёные фисташки меняют баланс рецепта; прогоркание</x:v>
      </x:c>
      <x:c r="W428" s="28" t="str">
        <x:v>цитрус, мёд или сливки</x:v>
      </x:c>
      <x:c r="X428" s="28" t="str">
        <x:v>пралине, паста, выпечка, гарнир, соус, молочный или коктейльный компонент с базилик</x:v>
      </x:c>
      <x:c r="Y428" s="28" t="str">
        <x:v>десерты</x:v>
      </x:c>
      <x:c r="Z428" s="28" t="str">
        <x:v>Высокая</x:v>
      </x:c>
      <x:c r="AA428" s="28" t="str">
        <x:v>The Art &amp; Science of Foodpairing.pdf | Таблица сочетания(1).pdf</x:v>
      </x:c>
      <x:c r="AB428" s="28" t="str">
        <x:v>The Art &amp; Science of Foodpairing.pdf: 74; Таблица сочетания(1).pdf: 17</x:v>
      </x:c>
      <x:c r="AC428" s="28" t="str">
        <x:v>Пара встречается как grid, table; научное объяснение сформировано по ароматическому профилю и пищевой матрице.</x:v>
      </x:c>
      <x:c r="AD428" s="28" t="n">
        <x:v>2</x:v>
      </x:c>
      <x:c r="AE428" s="28" t="n">
        <x:v>2</x:v>
      </x:c>
      <x:c r="AF428" s="28" t="n">
        <x:f>IF(Z428="Высокая",3,IF(Z428="Средняя",2,1))+AD428*2+MIN(AE428,3)</x:f>
        <x:v>9</x:v>
      </x:c>
    </x:row>
    <x:row r="429" ht="62" customHeight="1">
      <x:c r="A429" s="28" t="str">
        <x:v>NCT-0428</x:v>
      </x:c>
      <x:c r="B429" s="28" t="str">
        <x:v>фисташка</x:v>
      </x:c>
      <x:c r="C429" s="28" t="str">
        <x:v>Универсальные</x:v>
      </x:c>
      <x:c r="D429" s="28" t="str">
        <x:v>фисташка</x:v>
      </x:c>
      <x:c r="E429" s="28" t="str">
        <x:v>Фисташка</x:v>
      </x:c>
      <x:c r="F429" s="28" t="str">
        <x:v>Орехи и семена</x:v>
      </x:c>
      <x:c r="G429" s="28" t="str">
        <x:v>ваниль</x:v>
      </x:c>
      <x:c r="H429" s="28" t="str">
        <x:v>ваниль</x:v>
      </x:c>
      <x:c r="I429" s="28" t="str">
        <x:v>Специи</x:v>
      </x:c>
      <x:c r="J429" s="28" t="str">
        <x:v>зелёный, ореховый, смолистый, сладкий и слегка цветочный</x:v>
      </x:c>
      <x:c r="K429" s="28" t="str">
        <x:v>ванильный, цветочный</x:v>
      </x:c>
      <x:c r="L429" s="28" t="str">
        <x:v>пиразины, терпены, гексаналь, фураны</x:v>
      </x:c>
      <x:c r="M429" s="28" t="str">
        <x:v>ванилин</x:v>
      </x:c>
      <x:c r="N429" s="28" t="str">
        <x:v>прямое пересечение семейств не является единственным объяснением</x:v>
      </x:c>
      <x:c r="O429" s="28" t="str">
        <x:v>надежная общая ключевая молекула не подтверждена</x:v>
      </x:c>
      <x:c r="P429" s="28" t="str">
        <x:v>сенсорная комплементарность</x:v>
      </x:c>
      <x:c r="Q42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29" s="28" t="str">
        <x:v>минимальный</x:v>
      </x:c>
      <x:c r="S429" s="28" t="str">
        <x:v>жирная белково-клетчаточная матрица; зелёные пигменты чувствительны к перегреву</x:v>
      </x:c>
      <x:c r="T429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29" s="28" t="str">
        <x:v>Фисташка имеет профиль «зелёный, ореховый, смолистый, сладкий и слегка цветочный».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29" s="28" t="str">
        <x:v>аллерген; солёные фисташки меняют баланс рецепта; прогоркание</x:v>
      </x:c>
      <x:c r="W429" s="28" t="str">
        <x:v>ваниль, апельсин или мёд</x:v>
      </x:c>
      <x:c r="X429" s="28" t="str">
        <x:v>пралине, паста, выпечка, гарнир, соус, молочный или коктейльный компонент с ваниль</x:v>
      </x:c>
      <x:c r="Y429" s="28" t="str">
        <x:v>десерты</x:v>
      </x:c>
      <x:c r="Z429" s="28" t="str">
        <x:v>Гипотеза / практическая</x:v>
      </x:c>
      <x:c r="AA429" s="28" t="str">
        <x:v>Таблица сочетания(1).pdf</x:v>
      </x:c>
      <x:c r="AB429" s="28" t="str">
        <x:v>Таблица сочетания(1).pdf: 17</x:v>
      </x:c>
      <x:c r="AC429" s="28" t="str">
        <x:v>Пара встречается как table; научное объяснение сформировано по ароматическому профилю и пищевой матрице.</x:v>
      </x:c>
      <x:c r="AD429" s="28" t="n">
        <x:v>1</x:v>
      </x:c>
      <x:c r="AE429" s="28" t="n">
        <x:v>1</x:v>
      </x:c>
      <x:c r="AF429" s="28" t="n">
        <x:f>IF(Z429="Высокая",3,IF(Z429="Средняя",2,1))+AD429*2+MIN(AE429,3)</x:f>
        <x:v>4</x:v>
      </x:c>
    </x:row>
    <x:row r="430" ht="62" customHeight="1">
      <x:c r="A430" s="28" t="str">
        <x:v>NCT-0429</x:v>
      </x:c>
      <x:c r="B430" s="28" t="str">
        <x:v>фисташка</x:v>
      </x:c>
      <x:c r="C430" s="28" t="str">
        <x:v>Десерты и выпечка</x:v>
      </x:c>
      <x:c r="D430" s="28" t="str">
        <x:v>фисташка</x:v>
      </x:c>
      <x:c r="E430" s="28" t="str">
        <x:v>фисташка</x:v>
      </x:c>
      <x:c r="F430" s="28" t="str">
        <x:v>Орехи и семена</x:v>
      </x:c>
      <x:c r="G430" s="28" t="str">
        <x:v>груша</x:v>
      </x:c>
      <x:c r="H430" s="28" t="str">
        <x:v>Груша</x:v>
      </x:c>
      <x:c r="I430" s="28" t="str">
        <x:v>Фрукты и ягоды</x:v>
      </x:c>
      <x:c r="J430" s="28" t="str">
        <x:v>зелёный, ореховый, смолистый, сладкий и слегка цветочный</x:v>
      </x:c>
      <x:c r="K430" s="28" t="str">
        <x:v>фруктовый, цветочный и свежий</x:v>
      </x:c>
      <x:c r="L430" s="28" t="str">
        <x:v>пиразины, терпены, гексаналь, фураны</x:v>
      </x:c>
      <x:c r="M430" s="28" t="str">
        <x:v>альдегиды, эфиры</x:v>
      </x:c>
      <x:c r="N430" s="28" t="str">
        <x:v>прямое пересечение семейств не является единственным объяснением</x:v>
      </x:c>
      <x:c r="O430" s="28" t="str">
        <x:v>надежная общая ключевая молекула не подтверждена</x:v>
      </x:c>
      <x:c r="P430" s="28" t="str">
        <x:v>контраст кислоты и жирной/горькой матрицы</x:v>
      </x:c>
      <x:c r="Q43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30" s="28" t="str">
        <x:v>минимальный</x:v>
      </x:c>
      <x:c r="S430" s="28" t="str">
        <x:v>жирная белково-клетчаточная матрица; зелёные пигменты чувствительны к перегреву Водная фруктовая фаза требует эмульсии или мелкого измельчения, если орех или шоколад вводится как паста.</x:v>
      </x:c>
      <x:c r="T430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30" s="28" t="str">
        <x:v>Фисташка имеет профиль «зелёный, ореховый, смолистый, сладкий и слегка цветочный». Партнёр «груша»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30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W430" s="28" t="str">
        <x:v>ваниль, цитрус или молочный жир</x:v>
      </x:c>
      <x:c r="X430" s="28" t="str">
        <x:v>пралине, паста, выпечка, гарнир, соус, молочный или коктейльный компонент с груша</x:v>
      </x:c>
      <x:c r="Y430" s="28" t="str">
        <x:v>десерты</x:v>
      </x:c>
      <x:c r="Z430" s="28" t="str">
        <x:v>Гипотеза / практическая</x:v>
      </x:c>
      <x:c r="AA430" s="28" t="str">
        <x:v>Таблица сочетания(1).pdf</x:v>
      </x:c>
      <x:c r="AB430" s="28" t="str">
        <x:v>Таблица сочетания(1).pdf: 16</x:v>
      </x:c>
      <x:c r="AC430" s="28" t="str">
        <x:v>Пара встречается как table; научное объяснение сформировано по ароматическому профилю и пищевой матрице.</x:v>
      </x:c>
      <x:c r="AD430" s="28" t="n">
        <x:v>1</x:v>
      </x:c>
      <x:c r="AE430" s="28" t="n">
        <x:v>1</x:v>
      </x:c>
      <x:c r="AF430" s="28" t="n">
        <x:f>IF(Z430="Высокая",3,IF(Z430="Средняя",2,1))+AD430*2+MIN(AE430,3)</x:f>
        <x:v>4</x:v>
      </x:c>
    </x:row>
    <x:row r="431" ht="62" customHeight="1">
      <x:c r="A431" s="28" t="str">
        <x:v>NCT-0430</x:v>
      </x:c>
      <x:c r="B431" s="28" t="str">
        <x:v>фисташка</x:v>
      </x:c>
      <x:c r="C431" s="28" t="str">
        <x:v>Универсальные</x:v>
      </x:c>
      <x:c r="D431" s="28" t="str">
        <x:v>фисташка</x:v>
      </x:c>
      <x:c r="E431" s="28" t="str">
        <x:v>Фисташка</x:v>
      </x:c>
      <x:c r="F431" s="28" t="str">
        <x:v>Орехи и семена</x:v>
      </x:c>
      <x:c r="G431" s="28" t="str">
        <x:v>кардамон</x:v>
      </x:c>
      <x:c r="H431" s="28" t="str">
        <x:v>кардамон</x:v>
      </x:c>
      <x:c r="I431" s="28" t="str">
        <x:v>Специи</x:v>
      </x:c>
      <x:c r="J431" s="28" t="str">
        <x:v>зелёный, ореховый, смолистый, сладкий и слегка цветочный</x:v>
      </x:c>
      <x:c r="K431" s="28" t="str">
        <x:v>камфорный, цветочный, цитрусовый</x:v>
      </x:c>
      <x:c r="L431" s="28" t="str">
        <x:v>пиразины, терпены, гексаналь, фураны</x:v>
      </x:c>
      <x:c r="M431" s="28" t="str">
        <x:v>1,8-цинеол, линалоол</x:v>
      </x:c>
      <x:c r="N431" s="28" t="str">
        <x:v>прямое пересечение семейств не является единственным объяснением</x:v>
      </x:c>
      <x:c r="O431" s="28" t="str">
        <x:v>надежная общая ключевая молекула не подтверждена</x:v>
      </x:c>
      <x:c r="P431" s="28" t="str">
        <x:v>сенсорная комплементарность</x:v>
      </x:c>
      <x:c r="Q43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31" s="28" t="str">
        <x:v>минимальный</x:v>
      </x:c>
      <x:c r="S431" s="28" t="str">
        <x:v>жирная белково-клетчаточная матрица; зелёные пигменты чувствительны к перегреву</x:v>
      </x:c>
      <x:c r="T431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31" s="28" t="str">
        <x:v>Фисташка имеет профиль «зелёный, ореховый, смолистый, сладкий и слегка цветочный». Партнёр «кардамон» относится к группе «Специи» и даёт камфорный, цветочный,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31" s="28" t="str">
        <x:v>аллерген; солёные фисташки меняют баланс рецепта; прогоркание</x:v>
      </x:c>
      <x:c r="W431" s="28" t="str">
        <x:v>ваниль, апельсин или мёд</x:v>
      </x:c>
      <x:c r="X431" s="28" t="str">
        <x:v>пралине, паста, выпечка, гарнир, соус, молочный или коктейльный компонент с кардамон</x:v>
      </x:c>
      <x:c r="Y431" s="28" t="str">
        <x:v>десерты</x:v>
      </x:c>
      <x:c r="Z431" s="28" t="str">
        <x:v>Гипотеза / практическая</x:v>
      </x:c>
      <x:c r="AA431" s="28" t="str">
        <x:v>Таблица сочетания(1).pdf</x:v>
      </x:c>
      <x:c r="AB431" s="28" t="str">
        <x:v>Таблица сочетания(1).pdf: 17</x:v>
      </x:c>
      <x:c r="AC431" s="28" t="str">
        <x:v>Пара встречается как table; научное объяснение сформировано по ароматическому профилю и пищевой матрице.</x:v>
      </x:c>
      <x:c r="AD431" s="28" t="n">
        <x:v>1</x:v>
      </x:c>
      <x:c r="AE431" s="28" t="n">
        <x:v>1</x:v>
      </x:c>
      <x:c r="AF431" s="28" t="n">
        <x:f>IF(Z431="Высокая",3,IF(Z431="Средняя",2,1))+AD431*2+MIN(AE431,3)</x:f>
        <x:v>4</x:v>
      </x:c>
    </x:row>
    <x:row r="432" ht="62" customHeight="1">
      <x:c r="A432" s="28" t="str">
        <x:v>NCT-0431</x:v>
      </x:c>
      <x:c r="B432" s="28" t="str">
        <x:v>фисташка</x:v>
      </x:c>
      <x:c r="C432" s="28" t="str">
        <x:v>Универсальные</x:v>
      </x:c>
      <x:c r="D432" s="28" t="str">
        <x:v>фисташка</x:v>
      </x:c>
      <x:c r="E432" s="28" t="str">
        <x:v>Фисташка | фисташка</x:v>
      </x:c>
      <x:c r="F432" s="28" t="str">
        <x:v>Орехи и семена</x:v>
      </x:c>
      <x:c r="G432" s="28" t="str">
        <x:v>клюква</x:v>
      </x:c>
      <x:c r="H432" s="28" t="str">
        <x:v>Клюква | клюква</x:v>
      </x:c>
      <x:c r="I432" s="28" t="str">
        <x:v>Прочее</x:v>
      </x:c>
      <x:c r="J432" s="28" t="str">
        <x:v>зелёный, ореховый, смолистый, сладкий и слегка цветочный</x:v>
      </x:c>
      <x:c r="K432" s="28" t="str">
        <x:v>профиль зависит от конкретного продукта</x:v>
      </x:c>
      <x:c r="L432" s="28" t="str">
        <x:v>пиразины, терпены, гексаналь, фураны</x:v>
      </x:c>
      <x:c r="M432" s="28" t="str">
        <x:v>характерный профиль зависит от конкретного продукта</x:v>
      </x:c>
      <x:c r="N432" s="28" t="str">
        <x:v>прямое пересечение семейств не является единственным объяснением</x:v>
      </x:c>
      <x:c r="O432" s="28" t="str">
        <x:v>надежная общая ключевая молекула не подтверждена</x:v>
      </x:c>
      <x:c r="P432" s="28" t="str">
        <x:v>сенсорная комплементарность</x:v>
      </x:c>
      <x:c r="Q43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32" s="28" t="str">
        <x:v>минимальный</x:v>
      </x:c>
      <x:c r="S432" s="28" t="str">
        <x:v>жирная белково-клетчаточная матрица; зелёные пигменты чувствительны к перегреву</x:v>
      </x:c>
      <x:c r="T432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32" s="28" t="str">
        <x:v>Фисташка имеет профиль «зелёный, ореховый, смолистый, сладкий и слегка цветочный». Партнёр «клюква»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32" s="28" t="str">
        <x:v>аллерген; солёные фисташки меняют баланс рецепта; прогоркание</x:v>
      </x:c>
      <x:c r="W432" s="28" t="str">
        <x:v>соль, ваниль или карамель</x:v>
      </x:c>
      <x:c r="X432" s="28" t="str">
        <x:v>пралине, паста, выпечка, гарнир, соус, молочный или коктейльный компонент с клюква</x:v>
      </x:c>
      <x:c r="Y432" s="28" t="str">
        <x:v>десерты</x:v>
      </x:c>
      <x:c r="Z432" s="28" t="str">
        <x:v>Гипотеза / практическая</x:v>
      </x:c>
      <x:c r="AA432" s="28" t="str">
        <x:v>Таблица сочетания(1).pdf</x:v>
      </x:c>
      <x:c r="AB432" s="28" t="str">
        <x:v>Таблица сочетания(1).pdf: 6, 17</x:v>
      </x:c>
      <x:c r="AC432" s="28" t="str">
        <x:v>Пара встречается как table; научное объяснение сформировано по ароматическому профилю и пищевой матрице.</x:v>
      </x:c>
      <x:c r="AD432" s="28" t="n">
        <x:v>1</x:v>
      </x:c>
      <x:c r="AE432" s="28" t="n">
        <x:v>2</x:v>
      </x:c>
      <x:c r="AF432" s="28" t="n">
        <x:f>IF(Z432="Высокая",3,IF(Z432="Средняя",2,1))+AD432*2+MIN(AE432,3)</x:f>
        <x:v>5</x:v>
      </x:c>
    </x:row>
    <x:row r="433" ht="62" customHeight="1">
      <x:c r="A433" s="28" t="str">
        <x:v>NCT-0432</x:v>
      </x:c>
      <x:c r="B433" s="28" t="str">
        <x:v>фисташка</x:v>
      </x:c>
      <x:c r="C433" s="28" t="str">
        <x:v>Универсальные</x:v>
      </x:c>
      <x:c r="D433" s="28" t="str">
        <x:v>фисташка</x:v>
      </x:c>
      <x:c r="E433" s="28" t="str">
        <x:v>Фисташка</x:v>
      </x:c>
      <x:c r="F433" s="28" t="str">
        <x:v>Орехи и семена</x:v>
      </x:c>
      <x:c r="G433" s="28" t="str">
        <x:v>кокос</x:v>
      </x:c>
      <x:c r="H433" s="28" t="str">
        <x:v>кокос</x:v>
      </x:c>
      <x:c r="I433" s="28" t="str">
        <x:v>Прочее</x:v>
      </x:c>
      <x:c r="J433" s="28" t="str">
        <x:v>зелёный, ореховый, смолистый, сладкий и слегка цветочный</x:v>
      </x:c>
      <x:c r="K433" s="28" t="str">
        <x:v>лактонный, сливочный</x:v>
      </x:c>
      <x:c r="L433" s="28" t="str">
        <x:v>пиразины, терпены, гексаналь, фураны</x:v>
      </x:c>
      <x:c r="M433" s="28" t="str">
        <x:v>лактоны</x:v>
      </x:c>
      <x:c r="N433" s="28" t="str">
        <x:v>прямое пересечение семейств не является единственным объяснением</x:v>
      </x:c>
      <x:c r="O433" s="28" t="str">
        <x:v>надежная общая ключевая молекула не подтверждена</x:v>
      </x:c>
      <x:c r="P433" s="28" t="str">
        <x:v>сенсорная комплементарность</x:v>
      </x:c>
      <x:c r="Q43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33" s="28" t="str">
        <x:v>минимальный</x:v>
      </x:c>
      <x:c r="S433" s="28" t="str">
        <x:v>жирная белково-клетчаточная матрица; зелёные пигменты чувствительны к перегреву</x:v>
      </x:c>
      <x:c r="T433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33" s="28" t="str">
        <x:v>Фисташка имеет профиль «зелёный, ореховый, смолистый, сладкий и слегка цветочный». Партнёр «кокос» относится к группе «Прочее» и даёт лактонный, сливочный.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33" s="28" t="str">
        <x:v>аллерген; солёные фисташки меняют баланс рецепта; прогоркание</x:v>
      </x:c>
      <x:c r="W433" s="28" t="str">
        <x:v>соль, ваниль или карамель</x:v>
      </x:c>
      <x:c r="X433" s="28" t="str">
        <x:v>пралине, паста, выпечка, гарнир, соус, молочный или коктейльный компонент с кокос</x:v>
      </x:c>
      <x:c r="Y433" s="28" t="str">
        <x:v>десерты</x:v>
      </x:c>
      <x:c r="Z433" s="28" t="str">
        <x:v>Гипотеза / практическая</x:v>
      </x:c>
      <x:c r="AA433" s="28" t="str">
        <x:v>Таблица сочетания(1).pdf</x:v>
      </x:c>
      <x:c r="AB433" s="28" t="str">
        <x:v>Таблица сочетания(1).pdf: 17</x:v>
      </x:c>
      <x:c r="AC433" s="28" t="str">
        <x:v>Пара встречается как table; научное объяснение сформировано по ароматическому профилю и пищевой матрице.</x:v>
      </x:c>
      <x:c r="AD433" s="28" t="n">
        <x:v>1</x:v>
      </x:c>
      <x:c r="AE433" s="28" t="n">
        <x:v>1</x:v>
      </x:c>
      <x:c r="AF433" s="28" t="n">
        <x:f>IF(Z433="Высокая",3,IF(Z433="Средняя",2,1))+AD433*2+MIN(AE433,3)</x:f>
        <x:v>4</x:v>
      </x:c>
    </x:row>
    <x:row r="434" ht="62" customHeight="1">
      <x:c r="A434" s="28" t="str">
        <x:v>NCT-0433</x:v>
      </x:c>
      <x:c r="B434" s="28" t="str">
        <x:v>фисташка</x:v>
      </x:c>
      <x:c r="C434" s="28" t="str">
        <x:v>Десерты и выпечка</x:v>
      </x:c>
      <x:c r="D434" s="28" t="str">
        <x:v>фисташка</x:v>
      </x:c>
      <x:c r="E434" s="28" t="str">
        <x:v>фисташка</x:v>
      </x:c>
      <x:c r="F434" s="28" t="str">
        <x:v>Орехи и семена</x:v>
      </x:c>
      <x:c r="G434" s="28" t="str">
        <x:v>лимон</x:v>
      </x:c>
      <x:c r="H434" s="28" t="str">
        <x:v>Лимон</x:v>
      </x:c>
      <x:c r="I434" s="28" t="str">
        <x:v>Фрукты и ягоды</x:v>
      </x:c>
      <x:c r="J434" s="28" t="str">
        <x:v>зелёный, ореховый, смолистый, сладкий и слегка цветочный</x:v>
      </x:c>
      <x:c r="K434" s="28" t="str">
        <x:v>кислый, цитрусовый</x:v>
      </x:c>
      <x:c r="L434" s="28" t="str">
        <x:v>пиразины, терпены, гексаналь, фураны</x:v>
      </x:c>
      <x:c r="M434" s="28" t="str">
        <x:v>лимонен, цитраль</x:v>
      </x:c>
      <x:c r="N434" s="28" t="str">
        <x:v>прямое пересечение семейств не является единственным объяснением</x:v>
      </x:c>
      <x:c r="O434" s="28" t="str">
        <x:v>надежная общая ключевая молекула не подтверждена</x:v>
      </x:c>
      <x:c r="P434" s="28" t="str">
        <x:v>контраст кислоты и жирной/горькой матрицы</x:v>
      </x:c>
      <x:c r="Q43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34" s="28" t="str">
        <x:v>минимальный</x:v>
      </x:c>
      <x:c r="S434" s="28" t="str">
        <x:v>жирная белково-клетчаточная матрица; зелёные пигменты чувствительны к перегреву Водная фруктовая фаза требует эмульсии или мелкого измельчения, если орех или шоколад вводится как паста.</x:v>
      </x:c>
      <x:c r="T434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34" s="28" t="str">
        <x:v>Фисташка имеет профиль «зелёный, ореховый, смолистый, сладкий и слегка цветочный».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34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W434" s="28" t="str">
        <x:v>ваниль, цитрус или молочный жир</x:v>
      </x:c>
      <x:c r="X434" s="28" t="str">
        <x:v>пралине, паста, выпечка, гарнир, соус, молочный или коктейльный компонент с лимон</x:v>
      </x:c>
      <x:c r="Y434" s="28" t="str">
        <x:v>десерты</x:v>
      </x:c>
      <x:c r="Z434" s="28" t="str">
        <x:v>Гипотеза / практическая</x:v>
      </x:c>
      <x:c r="AA434" s="28" t="str">
        <x:v>Таблица сочетания(1).pdf</x:v>
      </x:c>
      <x:c r="AB434" s="28" t="str">
        <x:v>Таблица сочетания(1).pdf: 11</x:v>
      </x:c>
      <x:c r="AC434" s="28" t="str">
        <x:v>Пара встречается как table; научное объяснение сформировано по ароматическому профилю и пищевой матрице.</x:v>
      </x:c>
      <x:c r="AD434" s="28" t="n">
        <x:v>1</x:v>
      </x:c>
      <x:c r="AE434" s="28" t="n">
        <x:v>1</x:v>
      </x:c>
      <x:c r="AF434" s="28" t="n">
        <x:f>IF(Z434="Высокая",3,IF(Z434="Средняя",2,1))+AD434*2+MIN(AE434,3)</x:f>
        <x:v>4</x:v>
      </x:c>
    </x:row>
    <x:row r="435" ht="62" customHeight="1">
      <x:c r="A435" s="28" t="str">
        <x:v>NCT-0434</x:v>
      </x:c>
      <x:c r="B435" s="28" t="str">
        <x:v>фисташка</x:v>
      </x:c>
      <x:c r="C435" s="28" t="str">
        <x:v>Универсальные</x:v>
      </x:c>
      <x:c r="D435" s="28" t="str">
        <x:v>фисташка</x:v>
      </x:c>
      <x:c r="E435" s="28" t="str">
        <x:v>фисташка</x:v>
      </x:c>
      <x:c r="F435" s="28" t="str">
        <x:v>Орехи и семена</x:v>
      </x:c>
      <x:c r="G435" s="28" t="str">
        <x:v>морошка</x:v>
      </x:c>
      <x:c r="H435" s="28" t="str">
        <x:v>Морошка</x:v>
      </x:c>
      <x:c r="I435" s="28" t="str">
        <x:v>Прочее</x:v>
      </x:c>
      <x:c r="J435" s="28" t="str">
        <x:v>зелёный, ореховый, смолистый, сладкий и слегка цветочный</x:v>
      </x:c>
      <x:c r="K435" s="28" t="str">
        <x:v>профиль зависит от конкретного продукта</x:v>
      </x:c>
      <x:c r="L435" s="28" t="str">
        <x:v>пиразины, терпены, гексаналь, фураны</x:v>
      </x:c>
      <x:c r="M435" s="28" t="str">
        <x:v>характерный профиль зависит от конкретного продукта</x:v>
      </x:c>
      <x:c r="N435" s="28" t="str">
        <x:v>прямое пересечение семейств не является единственным объяснением</x:v>
      </x:c>
      <x:c r="O435" s="28" t="str">
        <x:v>надежная общая ключевая молекула не подтверждена</x:v>
      </x:c>
      <x:c r="P435" s="28" t="str">
        <x:v>сенсорная комплементарность</x:v>
      </x:c>
      <x:c r="Q43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35" s="28" t="str">
        <x:v>минимальный</x:v>
      </x:c>
      <x:c r="S435" s="28" t="str">
        <x:v>жирная белково-клетчаточная матрица; зелёные пигменты чувствительны к перегреву</x:v>
      </x:c>
      <x:c r="T435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35" s="28" t="str">
        <x:v>Фисташка имеет профиль «зелёный, ореховый, смолистый, сладкий и слегка цветочный». Партнёр «морошка»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35" s="28" t="str">
        <x:v>аллерген; солёные фисташки меняют баланс рецепта; прогоркание</x:v>
      </x:c>
      <x:c r="W435" s="28" t="str">
        <x:v>соль, ваниль или карамель</x:v>
      </x:c>
      <x:c r="X435" s="28" t="str">
        <x:v>пралине, паста, выпечка, гарнир, соус, молочный или коктейльный компонент с морошка</x:v>
      </x:c>
      <x:c r="Y435" s="28" t="str">
        <x:v>десерты</x:v>
      </x:c>
      <x:c r="Z435" s="28" t="str">
        <x:v>Гипотеза / практическая</x:v>
      </x:c>
      <x:c r="AA435" s="28" t="str">
        <x:v>Таблица сочетания(1).pdf</x:v>
      </x:c>
      <x:c r="AB435" s="28" t="str">
        <x:v>Таблица сочетания(1).pdf: 5</x:v>
      </x:c>
      <x:c r="AC435" s="28" t="str">
        <x:v>Пара встречается как table; научное объяснение сформировано по ароматическому профилю и пищевой матрице.</x:v>
      </x:c>
      <x:c r="AD435" s="28" t="n">
        <x:v>1</x:v>
      </x:c>
      <x:c r="AE435" s="28" t="n">
        <x:v>1</x:v>
      </x:c>
      <x:c r="AF435" s="28" t="n">
        <x:f>IF(Z435="Высокая",3,IF(Z435="Средняя",2,1))+AD435*2+MIN(AE435,3)</x:f>
        <x:v>4</x:v>
      </x:c>
    </x:row>
    <x:row r="436" ht="62" customHeight="1">
      <x:c r="A436" s="28" t="str">
        <x:v>NCT-0435</x:v>
      </x:c>
      <x:c r="B436" s="28" t="str">
        <x:v>фисташка</x:v>
      </x:c>
      <x:c r="C436" s="28" t="str">
        <x:v>Десерты и выпечка</x:v>
      </x:c>
      <x:c r="D436" s="28" t="str">
        <x:v>фисташка</x:v>
      </x:c>
      <x:c r="E436" s="28" t="str">
        <x:v>Фисташка</x:v>
      </x:c>
      <x:c r="F436" s="28" t="str">
        <x:v>Орехи и семена</x:v>
      </x:c>
      <x:c r="G436" s="28" t="str">
        <x:v>мускатный орех</x:v>
      </x:c>
      <x:c r="H436" s="28" t="str">
        <x:v>мускатный орех</x:v>
      </x:c>
      <x:c r="I436" s="28" t="str">
        <x:v>Орехи и семена</x:v>
      </x:c>
      <x:c r="J436" s="28" t="str">
        <x:v>зелёный, ореховый, смолистый, сладкий и слегка цветочный</x:v>
      </x:c>
      <x:c r="K436" s="28" t="str">
        <x:v>камфорный, ореховый, пряный</x:v>
      </x:c>
      <x:c r="L436" s="28" t="str">
        <x:v>пиразины, терпены, гексаналь, фураны</x:v>
      </x:c>
      <x:c r="M436" s="28" t="str">
        <x:v>пинены, сабинен</x:v>
      </x:c>
      <x:c r="N436" s="28" t="str">
        <x:v>ореховый</x:v>
      </x:c>
      <x:c r="O436" s="28" t="str">
        <x:v>надежная общая ключевая молекула не подтверждена</x:v>
      </x:c>
      <x:c r="P436" s="28" t="str">
        <x:v>пересечение ароматических семейств, жареная химия и реакции Майяра</x:v>
      </x:c>
      <x:c r="Q43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36" s="28" t="str">
        <x:v>минимальный</x:v>
      </x:c>
      <x:c r="S436" s="28" t="str">
        <x:v>жирная белково-клетчаточная матрица; зелёные пигменты чувствительны к перегреву</x:v>
      </x:c>
      <x:c r="T436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36" s="28" t="str">
        <x:v>Фисташка имеет профиль «зелёный, ореховый, смолистый, сладкий и слегка цветочный».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механизм не следует сводить к одной общей молекуле.</x:v>
      </x:c>
      <x:c r="V436" s="28" t="str">
        <x:v>аллерген; солёные фисташки меняют баланс рецепта; прогоркание</x:v>
      </x:c>
      <x:c r="W436" s="28" t="str">
        <x:v>соль, ваниль или карамель</x:v>
      </x:c>
      <x:c r="X436" s="28" t="str">
        <x:v>пралине, паста, выпечка, гарнир, соус, молочный или коктейльный компонент с мускатный орех</x:v>
      </x:c>
      <x:c r="Y436" s="28" t="str">
        <x:v>десерты</x:v>
      </x:c>
      <x:c r="Z436" s="28" t="str">
        <x:v>Гипотеза / практическая</x:v>
      </x:c>
      <x:c r="AA436" s="28" t="str">
        <x:v>Таблица сочетания(1).pdf</x:v>
      </x:c>
      <x:c r="AB436" s="28" t="str">
        <x:v>Таблица сочетания(1).pdf: 17</x:v>
      </x:c>
      <x:c r="AC436" s="28" t="str">
        <x:v>Пара встречается как table; научное объяснение сформировано по ароматическому профилю и пищевой матрице.</x:v>
      </x:c>
      <x:c r="AD436" s="28" t="n">
        <x:v>1</x:v>
      </x:c>
      <x:c r="AE436" s="28" t="n">
        <x:v>1</x:v>
      </x:c>
      <x:c r="AF436" s="28" t="n">
        <x:f>IF(Z436="Высокая",3,IF(Z436="Средняя",2,1))+AD436*2+MIN(AE436,3)</x:f>
        <x:v>4</x:v>
      </x:c>
    </x:row>
    <x:row r="437" ht="62" customHeight="1">
      <x:c r="A437" s="28" t="str">
        <x:v>NCT-0436</x:v>
      </x:c>
      <x:c r="B437" s="28" t="str">
        <x:v>фисташка</x:v>
      </x:c>
      <x:c r="C437" s="28" t="str">
        <x:v>Универсальные</x:v>
      </x:c>
      <x:c r="D437" s="28" t="str">
        <x:v>фисташка</x:v>
      </x:c>
      <x:c r="E437" s="28" t="str">
        <x:v>фисташка</x:v>
      </x:c>
      <x:c r="F437" s="28" t="str">
        <x:v>Орехи и семена</x:v>
      </x:c>
      <x:c r="G437" s="28" t="str">
        <x:v>нектарин</x:v>
      </x:c>
      <x:c r="H437" s="28" t="str">
        <x:v>Нектарин</x:v>
      </x:c>
      <x:c r="I437" s="28" t="str">
        <x:v>Прочее</x:v>
      </x:c>
      <x:c r="J437" s="28" t="str">
        <x:v>зелёный, ореховый, смолистый, сладкий и слегка цветочный</x:v>
      </x:c>
      <x:c r="K437" s="28" t="str">
        <x:v>профиль зависит от конкретного продукта</x:v>
      </x:c>
      <x:c r="L437" s="28" t="str">
        <x:v>пиразины, терпены, гексаналь, фураны</x:v>
      </x:c>
      <x:c r="M437" s="28" t="str">
        <x:v>характерный профиль зависит от конкретного продукта</x:v>
      </x:c>
      <x:c r="N437" s="28" t="str">
        <x:v>прямое пересечение семейств не является единственным объяснением</x:v>
      </x:c>
      <x:c r="O437" s="28" t="str">
        <x:v>надежная общая ключевая молекула не подтверждена</x:v>
      </x:c>
      <x:c r="P437" s="28" t="str">
        <x:v>сенсорная комплементарность</x:v>
      </x:c>
      <x:c r="Q43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37" s="28" t="str">
        <x:v>минимальный</x:v>
      </x:c>
      <x:c r="S437" s="28" t="str">
        <x:v>жирная белково-клетчаточная матрица; зелёные пигменты чувствительны к перегреву</x:v>
      </x:c>
      <x:c r="T437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37" s="28" t="str">
        <x:v>Фисташка имеет профиль «зелёный, ореховый, смолистый, сладкий и слегка цветочный». Партнёр «нектарин»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37" s="28" t="str">
        <x:v>аллерген; солёные фисташки меняют баланс рецепта; прогоркание</x:v>
      </x:c>
      <x:c r="W437" s="28" t="str">
        <x:v>соль, ваниль или карамель</x:v>
      </x:c>
      <x:c r="X437" s="28" t="str">
        <x:v>пралине, паста, выпечка, гарнир, соус, молочный или коктейльный компонент с нектарин</x:v>
      </x:c>
      <x:c r="Y437" s="28" t="str">
        <x:v>десерты</x:v>
      </x:c>
      <x:c r="Z437" s="28" t="str">
        <x:v>Гипотеза / практическая</x:v>
      </x:c>
      <x:c r="AA437" s="28" t="str">
        <x:v>Таблица сочетания(1).pdf</x:v>
      </x:c>
      <x:c r="AB437" s="28" t="str">
        <x:v>Таблица сочетания(1).pdf: 14</x:v>
      </x:c>
      <x:c r="AC437" s="28" t="str">
        <x:v>Пара встречается как table; научное объяснение сформировано по ароматическому профилю и пищевой матрице.</x:v>
      </x:c>
      <x:c r="AD437" s="28" t="n">
        <x:v>1</x:v>
      </x:c>
      <x:c r="AE437" s="28" t="n">
        <x:v>1</x:v>
      </x:c>
      <x:c r="AF437" s="28" t="n">
        <x:f>IF(Z437="Высокая",3,IF(Z437="Средняя",2,1))+AD437*2+MIN(AE437,3)</x:f>
        <x:v>4</x:v>
      </x:c>
    </x:row>
    <x:row r="438" ht="62" customHeight="1">
      <x:c r="A438" s="28" t="str">
        <x:v>NCT-0437</x:v>
      </x:c>
      <x:c r="B438" s="28" t="str">
        <x:v>фисташка</x:v>
      </x:c>
      <x:c r="C438" s="28" t="str">
        <x:v>Универсальные</x:v>
      </x:c>
      <x:c r="D438" s="28" t="str">
        <x:v>фисташка</x:v>
      </x:c>
      <x:c r="E438" s="28" t="str">
        <x:v>pistachio nut</x:v>
      </x:c>
      <x:c r="F438" s="28" t="str">
        <x:v>Орехи и семена</x:v>
      </x:c>
      <x:c r="G438" s="28" t="str">
        <x:v>оливковое масло</x:v>
      </x:c>
      <x:c r="H438" s="28" t="str">
        <x:v>olive oil</x:v>
      </x:c>
      <x:c r="I438" s="28" t="str">
        <x:v>Масла и жиры</x:v>
      </x:c>
      <x:c r="J438" s="28" t="str">
        <x:v>зелёный, ореховый, смолистый, сладкий и слегка цветочный</x:v>
      </x:c>
      <x:c r="K438" s="28" t="str">
        <x:v>жирный и мягкий</x:v>
      </x:c>
      <x:c r="L438" s="28" t="str">
        <x:v>пиразины, терпены, гексаналь, фураны</x:v>
      </x:c>
      <x:c r="M438" s="28" t="str">
        <x:v>альдегиды, лактоны</x:v>
      </x:c>
      <x:c r="N438" s="28" t="str">
        <x:v>прямое пересечение семейств не является единственным объяснением</x:v>
      </x:c>
      <x:c r="O438" s="28" t="str">
        <x:v>надежная общая ключевая молекула не подтверждена</x:v>
      </x:c>
      <x:c r="P438" s="28" t="str">
        <x:v>сенсорная комплементарность</x:v>
      </x:c>
      <x:c r="Q43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38" s="28" t="str">
        <x:v>минимальный</x:v>
      </x:c>
      <x:c r="S438" s="28" t="str">
        <x:v>жирная белково-клетчаточная матрица; зелёные пигменты чувствительны к перегреву</x:v>
      </x:c>
      <x:c r="T438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38" s="28" t="str">
        <x:v>Фисташка имеет профиль «зелёный, ореховый, смолистый, сладкий и слегка цветочный». Партнёр «оливковое масло» относится к группе «Масла и жиры» и даёт жирный и мягкий.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38" s="28" t="str">
        <x:v>аллерген; солёные фисташки меняют баланс рецепта; прогоркание</x:v>
      </x:c>
      <x:c r="W438" s="28" t="str">
        <x:v>соль, ваниль или карамель</x:v>
      </x:c>
      <x:c r="X438" s="28" t="str">
        <x:v>пралине, паста, выпечка, гарнир, соус, молочный или коктейльный компонент с оливковое масло</x:v>
      </x:c>
      <x:c r="Y438" s="28" t="str">
        <x:v>десерты</x:v>
      </x:c>
      <x:c r="Z438" s="28" t="str">
        <x:v>Средняя</x:v>
      </x:c>
      <x:c r="AA438" s="28" t="str">
        <x:v>The Art &amp; Science of Foodpairing.pdf</x:v>
      </x:c>
      <x:c r="AB438" s="28" t="str">
        <x:v>The Art &amp; Science of Foodpairing.pdf: 172</x:v>
      </x:c>
      <x:c r="AC438" s="28" t="str">
        <x:v>Пара встречается как grid; научное объяснение сформировано по ароматическому профилю и пищевой матрице.</x:v>
      </x:c>
      <x:c r="AD438" s="28" t="n">
        <x:v>1</x:v>
      </x:c>
      <x:c r="AE438" s="28" t="n">
        <x:v>1</x:v>
      </x:c>
      <x:c r="AF438" s="28" t="n">
        <x:f>IF(Z438="Высокая",3,IF(Z438="Средняя",2,1))+AD438*2+MIN(AE438,3)</x:f>
        <x:v>5</x:v>
      </x:c>
    </x:row>
    <x:row r="439" ht="62" customHeight="1">
      <x:c r="A439" s="28" t="str">
        <x:v>NCT-0438</x:v>
      </x:c>
      <x:c r="B439" s="28" t="str">
        <x:v>фисташка</x:v>
      </x:c>
      <x:c r="C439" s="28" t="str">
        <x:v>Десерты и выпечка</x:v>
      </x:c>
      <x:c r="D439" s="28" t="str">
        <x:v>фисташка</x:v>
      </x:c>
      <x:c r="E439" s="28" t="str">
        <x:v>фисташка</x:v>
      </x:c>
      <x:c r="F439" s="28" t="str">
        <x:v>Орехи и семена</x:v>
      </x:c>
      <x:c r="G439" s="28" t="str">
        <x:v>персик</x:v>
      </x:c>
      <x:c r="H439" s="28" t="str">
        <x:v>Персик</x:v>
      </x:c>
      <x:c r="I439" s="28" t="str">
        <x:v>Фрукты и ягоды</x:v>
      </x:c>
      <x:c r="J439" s="28" t="str">
        <x:v>зелёный, ореховый, смолистый, сладкий и слегка цветочный</x:v>
      </x:c>
      <x:c r="K439" s="28" t="str">
        <x:v>лактонный, фруктовый, цветочный</x:v>
      </x:c>
      <x:c r="L439" s="28" t="str">
        <x:v>пиразины, терпены, гексаналь, фураны</x:v>
      </x:c>
      <x:c r="M439" s="28" t="str">
        <x:v>лактоны, линалоол</x:v>
      </x:c>
      <x:c r="N439" s="28" t="str">
        <x:v>прямое пересечение семейств не является единственным объяснением</x:v>
      </x:c>
      <x:c r="O439" s="28" t="str">
        <x:v>надежная общая ключевая молекула не подтверждена</x:v>
      </x:c>
      <x:c r="P439" s="28" t="str">
        <x:v>контраст кислоты и жирной/горькой матрицы</x:v>
      </x:c>
      <x:c r="Q43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39" s="28" t="str">
        <x:v>минимальный</x:v>
      </x:c>
      <x:c r="S439" s="28" t="str">
        <x:v>жирная белково-клетчаточная матрица; зелёные пигменты чувствительны к перегреву Водная фруктовая фаза требует эмульсии или мелкого измельчения, если орех или шоколад вводится как паста.</x:v>
      </x:c>
      <x:c r="T439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39" s="28" t="str">
        <x:v>Фисташка имеет профиль «зелёный, ореховый, смолистый, сладкий и слегка цветочный». Партнёр «персик» относится к группе «Фрукты и ягоды» и даёт лактонный, фруктовый, цветочный.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39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W439" s="28" t="str">
        <x:v>ваниль, цитрус или молочный жир</x:v>
      </x:c>
      <x:c r="X439" s="28" t="str">
        <x:v>пралине, паста, выпечка, гарнир, соус, молочный или коктейльный компонент с персик</x:v>
      </x:c>
      <x:c r="Y439" s="28" t="str">
        <x:v>десерты</x:v>
      </x:c>
      <x:c r="Z439" s="28" t="str">
        <x:v>Гипотеза / практическая</x:v>
      </x:c>
      <x:c r="AA439" s="28" t="str">
        <x:v>Таблица сочетания(1).pdf</x:v>
      </x:c>
      <x:c r="AB439" s="28" t="str">
        <x:v>Таблица сочетания(1).pdf: 15</x:v>
      </x:c>
      <x:c r="AC439" s="28" t="str">
        <x:v>Пара встречается как table; научное объяснение сформировано по ароматическому профилю и пищевой матрице.</x:v>
      </x:c>
      <x:c r="AD439" s="28" t="n">
        <x:v>1</x:v>
      </x:c>
      <x:c r="AE439" s="28" t="n">
        <x:v>1</x:v>
      </x:c>
      <x:c r="AF439" s="28" t="n">
        <x:f>IF(Z439="Высокая",3,IF(Z439="Средняя",2,1))+AD439*2+MIN(AE439,3)</x:f>
        <x:v>4</x:v>
      </x:c>
    </x:row>
    <x:row r="440" ht="62" customHeight="1">
      <x:c r="A440" s="28" t="str">
        <x:v>NCT-0439</x:v>
      </x:c>
      <x:c r="B440" s="28" t="str">
        <x:v>фисташка</x:v>
      </x:c>
      <x:c r="C440" s="28" t="str">
        <x:v>Десерты и выпечка</x:v>
      </x:c>
      <x:c r="D440" s="28" t="str">
        <x:v>фисташка</x:v>
      </x:c>
      <x:c r="E440" s="28" t="str">
        <x:v>Фисташка</x:v>
      </x:c>
      <x:c r="F440" s="28" t="str">
        <x:v>Орехи и семена</x:v>
      </x:c>
      <x:c r="G440" s="28" t="str">
        <x:v>персики</x:v>
      </x:c>
      <x:c r="H440" s="28" t="str">
        <x:v>персики</x:v>
      </x:c>
      <x:c r="I440" s="28" t="str">
        <x:v>Фрукты и ягоды</x:v>
      </x:c>
      <x:c r="J440" s="28" t="str">
        <x:v>зелёный, ореховый, смолистый, сладкий и слегка цветочный</x:v>
      </x:c>
      <x:c r="K440" s="28" t="str">
        <x:v>лактонный, фруктовый, цветочный</x:v>
      </x:c>
      <x:c r="L440" s="28" t="str">
        <x:v>пиразины, терпены, гексаналь, фураны</x:v>
      </x:c>
      <x:c r="M440" s="28" t="str">
        <x:v>лактоны, линалоол</x:v>
      </x:c>
      <x:c r="N440" s="28" t="str">
        <x:v>прямое пересечение семейств не является единственным объяснением</x:v>
      </x:c>
      <x:c r="O440" s="28" t="str">
        <x:v>надежная общая ключевая молекула не подтверждена</x:v>
      </x:c>
      <x:c r="P440" s="28" t="str">
        <x:v>контраст кислоты и жирной/горькой матрицы</x:v>
      </x:c>
      <x:c r="Q44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40" s="28" t="str">
        <x:v>минимальный</x:v>
      </x:c>
      <x:c r="S440" s="28" t="str">
        <x:v>жирная белково-клетчаточная матрица; зелёные пигменты чувствительны к перегреву Водная фруктовая фаза требует эмульсии или мелкого измельчения, если орех или шоколад вводится как паста.</x:v>
      </x:c>
      <x:c r="T440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40" s="28" t="str">
        <x:v>Фисташка имеет профиль «зелёный, ореховый, смолистый, сладкий и слегка цветочный». Партнёр «персики» относится к группе «Фрукты и ягоды» и даёт лактонный, фруктовый, цветочный.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40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W440" s="28" t="str">
        <x:v>ваниль, цитрус или молочный жир</x:v>
      </x:c>
      <x:c r="X440" s="28" t="str">
        <x:v>пралине, паста, выпечка, гарнир, соус, молочный или коктейльный компонент с персики</x:v>
      </x:c>
      <x:c r="Y440" s="28" t="str">
        <x:v>десерты</x:v>
      </x:c>
      <x:c r="Z440" s="28" t="str">
        <x:v>Гипотеза / практическая</x:v>
      </x:c>
      <x:c r="AA440" s="28" t="str">
        <x:v>Таблица сочетания(1).pdf</x:v>
      </x:c>
      <x:c r="AB440" s="28" t="str">
        <x:v>Таблица сочетания(1).pdf: 17</x:v>
      </x:c>
      <x:c r="AC440" s="28" t="str">
        <x:v>Пара встречается как table; научное объяснение сформировано по ароматическому профилю и пищевой матрице.</x:v>
      </x:c>
      <x:c r="AD440" s="28" t="n">
        <x:v>1</x:v>
      </x:c>
      <x:c r="AE440" s="28" t="n">
        <x:v>1</x:v>
      </x:c>
      <x:c r="AF440" s="28" t="n">
        <x:f>IF(Z440="Высокая",3,IF(Z440="Средняя",2,1))+AD440*2+MIN(AE440,3)</x:f>
        <x:v>4</x:v>
      </x:c>
    </x:row>
    <x:row r="441" ht="62" customHeight="1">
      <x:c r="A441" s="28" t="str">
        <x:v>NCT-0440</x:v>
      </x:c>
      <x:c r="B441" s="28" t="str">
        <x:v>фисташка</x:v>
      </x:c>
      <x:c r="C441" s="28" t="str">
        <x:v>Универсальные</x:v>
      </x:c>
      <x:c r="D441" s="28" t="str">
        <x:v>фисташка</x:v>
      </x:c>
      <x:c r="E441" s="28" t="str">
        <x:v>Фисташка</x:v>
      </x:c>
      <x:c r="F441" s="28" t="str">
        <x:v>Орехи и семена</x:v>
      </x:c>
      <x:c r="G441" s="28" t="str">
        <x:v>петрушка</x:v>
      </x:c>
      <x:c r="H441" s="28" t="str">
        <x:v>петрушка</x:v>
      </x:c>
      <x:c r="I441" s="28" t="str">
        <x:v>Травы, цветы и листья</x:v>
      </x:c>
      <x:c r="J441" s="28" t="str">
        <x:v>зелёный, ореховый, смолистый, сладкий и слегка цветочный</x:v>
      </x:c>
      <x:c r="K441" s="28" t="str">
        <x:v>зелёный, цветочный и терпеновый</x:v>
      </x:c>
      <x:c r="L441" s="28" t="str">
        <x:v>пиразины, терпены, гексаналь, фураны</x:v>
      </x:c>
      <x:c r="M441" s="28" t="str">
        <x:v>линалоол, терпены</x:v>
      </x:c>
      <x:c r="N441" s="28" t="str">
        <x:v>зелёный</x:v>
      </x:c>
      <x:c r="O441" s="28" t="str">
        <x:v>терпены</x:v>
      </x:c>
      <x:c r="P441" s="28" t="str">
        <x:v>общие ароматические соединения, пересечение ароматических семейств</x:v>
      </x:c>
      <x:c r="Q44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41" s="28" t="str">
        <x:v>минимальный</x:v>
      </x:c>
      <x:c r="S441" s="28" t="str">
        <x:v>жирная белково-клетчаточная матрица; зелёные пигменты чувствительны к перегреву</x:v>
      </x:c>
      <x:c r="T441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41" s="28" t="str">
        <x:v>Фисташка имеет профиль «зелёный, ореховый, смолистый, сладкий и слегка цветочный». Партнёр «петрушка» относится к группе «Травы, цветы и листья» и даёт зелёный, цветочный и терпеновый. Молекулярный мост создают терпены Ореховый жир служит носителем ароматов и создаёт текстурный контраст, но окисление быстро превращает профиль в прогорклый. Итог: зелёный; терпены.</x:v>
      </x:c>
      <x:c r="V441" s="28" t="str">
        <x:v>аллерген; солёные фисташки меняют баланс рецепта; прогоркание</x:v>
      </x:c>
      <x:c r="W441" s="28" t="str">
        <x:v>цитрус, мёд или сливки</x:v>
      </x:c>
      <x:c r="X441" s="28" t="str">
        <x:v>пралине, паста, выпечка, гарнир, соус, молочный или коктейльный компонент с петрушка</x:v>
      </x:c>
      <x:c r="Y441" s="28" t="str">
        <x:v>десерты</x:v>
      </x:c>
      <x:c r="Z441" s="28" t="str">
        <x:v>Гипотеза / практическая</x:v>
      </x:c>
      <x:c r="AA441" s="28" t="str">
        <x:v>Таблица сочетания(1).pdf</x:v>
      </x:c>
      <x:c r="AB441" s="28" t="str">
        <x:v>Таблица сочетания(1).pdf: 17</x:v>
      </x:c>
      <x:c r="AC441" s="28" t="str">
        <x:v>Пара встречается как table; научное объяснение сформировано по ароматическому профилю и пищевой матрице.</x:v>
      </x:c>
      <x:c r="AD441" s="28" t="n">
        <x:v>1</x:v>
      </x:c>
      <x:c r="AE441" s="28" t="n">
        <x:v>1</x:v>
      </x:c>
      <x:c r="AF441" s="28" t="n">
        <x:f>IF(Z441="Высокая",3,IF(Z441="Средняя",2,1))+AD441*2+MIN(AE441,3)</x:f>
        <x:v>4</x:v>
      </x:c>
    </x:row>
    <x:row r="442" ht="62" customHeight="1">
      <x:c r="A442" s="28" t="str">
        <x:v>NCT-0441</x:v>
      </x:c>
      <x:c r="B442" s="28" t="str">
        <x:v>фисташка</x:v>
      </x:c>
      <x:c r="C442" s="28" t="str">
        <x:v>Универсальные</x:v>
      </x:c>
      <x:c r="D442" s="28" t="str">
        <x:v>фисташка</x:v>
      </x:c>
      <x:c r="E442" s="28" t="str">
        <x:v>Фисташка</x:v>
      </x:c>
      <x:c r="F442" s="28" t="str">
        <x:v>Орехи и семена</x:v>
      </x:c>
      <x:c r="G442" s="28" t="str">
        <x:v>розмарин</x:v>
      </x:c>
      <x:c r="H442" s="28" t="str">
        <x:v>розмарин</x:v>
      </x:c>
      <x:c r="I442" s="28" t="str">
        <x:v>Травы, цветы и листья</x:v>
      </x:c>
      <x:c r="J442" s="28" t="str">
        <x:v>зелёный, ореховый, смолистый, сладкий и слегка цветочный</x:v>
      </x:c>
      <x:c r="K442" s="28" t="str">
        <x:v>зелёный, цветочный и терпеновый</x:v>
      </x:c>
      <x:c r="L442" s="28" t="str">
        <x:v>пиразины, терпены, гексаналь, фураны</x:v>
      </x:c>
      <x:c r="M442" s="28" t="str">
        <x:v>линалоол, терпены</x:v>
      </x:c>
      <x:c r="N442" s="28" t="str">
        <x:v>зелёный</x:v>
      </x:c>
      <x:c r="O442" s="28" t="str">
        <x:v>терпены</x:v>
      </x:c>
      <x:c r="P442" s="28" t="str">
        <x:v>общие ароматические соединения, пересечение ароматических семейств</x:v>
      </x:c>
      <x:c r="Q44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42" s="28" t="str">
        <x:v>минимальный</x:v>
      </x:c>
      <x:c r="S442" s="28" t="str">
        <x:v>жирная белково-клетчаточная матрица; зелёные пигменты чувствительны к перегреву</x:v>
      </x:c>
      <x:c r="T442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42" s="28" t="str">
        <x:v>Фисташка имеет профиль «зелёный, ореховый, смолистый, сладкий и слегка цветочный». Партнёр «розмарин» относится к группе «Травы, цветы и листья» и даёт зелёный, цветочный и терпеновый. Молекулярный мост создают терпены Ореховый жир служит носителем ароматов и создаёт текстурный контраст, но окисление быстро превращает профиль в прогорклый. Итог: зелёный; терпены.</x:v>
      </x:c>
      <x:c r="V442" s="28" t="str">
        <x:v>аллерген; солёные фисташки меняют баланс рецепта; прогоркание</x:v>
      </x:c>
      <x:c r="W442" s="28" t="str">
        <x:v>цитрус, мёд или сливки</x:v>
      </x:c>
      <x:c r="X442" s="28" t="str">
        <x:v>пралине, паста, выпечка, гарнир, соус, молочный или коктейльный компонент с розмарин</x:v>
      </x:c>
      <x:c r="Y442" s="28" t="str">
        <x:v>десерты</x:v>
      </x:c>
      <x:c r="Z442" s="28" t="str">
        <x:v>Гипотеза / практическая</x:v>
      </x:c>
      <x:c r="AA442" s="28" t="str">
        <x:v>Таблица сочетания(1).pdf</x:v>
      </x:c>
      <x:c r="AB442" s="28" t="str">
        <x:v>Таблица сочетания(1).pdf: 17</x:v>
      </x:c>
      <x:c r="AC442" s="28" t="str">
        <x:v>Пара встречается как table; научное объяснение сформировано по ароматическому профилю и пищевой матрице.</x:v>
      </x:c>
      <x:c r="AD442" s="28" t="n">
        <x:v>1</x:v>
      </x:c>
      <x:c r="AE442" s="28" t="n">
        <x:v>1</x:v>
      </x:c>
      <x:c r="AF442" s="28" t="n">
        <x:f>IF(Z442="Высокая",3,IF(Z442="Средняя",2,1))+AD442*2+MIN(AE442,3)</x:f>
        <x:v>4</x:v>
      </x:c>
    </x:row>
    <x:row r="443" ht="62" customHeight="1">
      <x:c r="A443" s="28" t="str">
        <x:v>NCT-0442</x:v>
      </x:c>
      <x:c r="B443" s="28" t="str">
        <x:v>фисташка</x:v>
      </x:c>
      <x:c r="C443" s="28" t="str">
        <x:v>Универсальные</x:v>
      </x:c>
      <x:c r="D443" s="28" t="str">
        <x:v>фисташка</x:v>
      </x:c>
      <x:c r="E443" s="28" t="str">
        <x:v>Фисташка</x:v>
      </x:c>
      <x:c r="F443" s="28" t="str">
        <x:v>Орехи и семена</x:v>
      </x:c>
      <x:c r="G443" s="28" t="str">
        <x:v>семена фенхеля</x:v>
      </x:c>
      <x:c r="H443" s="28" t="str">
        <x:v>семена фенхеля</x:v>
      </x:c>
      <x:c r="I443" s="28" t="str">
        <x:v>Прочее</x:v>
      </x:c>
      <x:c r="J443" s="28" t="str">
        <x:v>зелёный, ореховый, смолистый, сладкий и слегка цветочный</x:v>
      </x:c>
      <x:c r="K443" s="28" t="str">
        <x:v>профиль зависит от конкретного продукта</x:v>
      </x:c>
      <x:c r="L443" s="28" t="str">
        <x:v>пиразины, терпены, гексаналь, фураны</x:v>
      </x:c>
      <x:c r="M443" s="28" t="str">
        <x:v>характерный профиль зависит от конкретного продукта</x:v>
      </x:c>
      <x:c r="N443" s="28" t="str">
        <x:v>прямое пересечение семейств не является единственным объяснением</x:v>
      </x:c>
      <x:c r="O443" s="28" t="str">
        <x:v>надежная общая ключевая молекула не подтверждена</x:v>
      </x:c>
      <x:c r="P443" s="28" t="str">
        <x:v>сенсорная комплементарность</x:v>
      </x:c>
      <x:c r="Q44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43" s="28" t="str">
        <x:v>минимальный</x:v>
      </x:c>
      <x:c r="S443" s="28" t="str">
        <x:v>жирная белково-клетчаточная матрица; зелёные пигменты чувствительны к перегреву</x:v>
      </x:c>
      <x:c r="T443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43" s="28" t="str">
        <x:v>Фисташка имеет профиль «зелёный, ореховый, смолистый, сладкий и слегка цветочный». Партнёр «семена фенхеля»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43" s="28" t="str">
        <x:v>аллерген; солёные фисташки меняют баланс рецепта; прогоркание</x:v>
      </x:c>
      <x:c r="W443" s="28" t="str">
        <x:v>соль, ваниль или карамель</x:v>
      </x:c>
      <x:c r="X443" s="28" t="str">
        <x:v>пралине, паста, выпечка, гарнир, соус, молочный или коктейльный компонент с семена фенхеля</x:v>
      </x:c>
      <x:c r="Y443" s="28" t="str">
        <x:v>десерты</x:v>
      </x:c>
      <x:c r="Z443" s="28" t="str">
        <x:v>Гипотеза / практическая</x:v>
      </x:c>
      <x:c r="AA443" s="28" t="str">
        <x:v>Таблица сочетания(1).pdf</x:v>
      </x:c>
      <x:c r="AB443" s="28" t="str">
        <x:v>Таблица сочетания(1).pdf: 17</x:v>
      </x:c>
      <x:c r="AC443" s="28" t="str">
        <x:v>Пара встречается как table; научное объяснение сформировано по ароматическому профилю и пищевой матрице.</x:v>
      </x:c>
      <x:c r="AD443" s="28" t="n">
        <x:v>1</x:v>
      </x:c>
      <x:c r="AE443" s="28" t="n">
        <x:v>1</x:v>
      </x:c>
      <x:c r="AF443" s="28" t="n">
        <x:f>IF(Z443="Высокая",3,IF(Z443="Средняя",2,1))+AD443*2+MIN(AE443,3)</x:f>
        <x:v>4</x:v>
      </x:c>
    </x:row>
    <x:row r="444" ht="62" customHeight="1">
      <x:c r="A444" s="28" t="str">
        <x:v>NCT-0443</x:v>
      </x:c>
      <x:c r="B444" s="28" t="str">
        <x:v>фисташка</x:v>
      </x:c>
      <x:c r="C444" s="28" t="str">
        <x:v>Десерты и выпечка</x:v>
      </x:c>
      <x:c r="D444" s="28" t="str">
        <x:v>фисташка</x:v>
      </x:c>
      <x:c r="E444" s="28" t="str">
        <x:v>Фисташка</x:v>
      </x:c>
      <x:c r="F444" s="28" t="str">
        <x:v>Орехи и семена</x:v>
      </x:c>
      <x:c r="G444" s="28" t="str">
        <x:v>слива</x:v>
      </x:c>
      <x:c r="H444" s="28" t="str">
        <x:v>слива</x:v>
      </x:c>
      <x:c r="I444" s="28" t="str">
        <x:v>Фрукты и ягоды</x:v>
      </x:c>
      <x:c r="J444" s="28" t="str">
        <x:v>зелёный, ореховый, смолистый, сладкий и слегка цветочный</x:v>
      </x:c>
      <x:c r="K444" s="28" t="str">
        <x:v>фруктовый, цветочный и свежий</x:v>
      </x:c>
      <x:c r="L444" s="28" t="str">
        <x:v>пиразины, терпены, гексаналь, фураны</x:v>
      </x:c>
      <x:c r="M444" s="28" t="str">
        <x:v>альдегиды, эфиры</x:v>
      </x:c>
      <x:c r="N444" s="28" t="str">
        <x:v>прямое пересечение семейств не является единственным объяснением</x:v>
      </x:c>
      <x:c r="O444" s="28" t="str">
        <x:v>надежная общая ключевая молекула не подтверждена</x:v>
      </x:c>
      <x:c r="P444" s="28" t="str">
        <x:v>контраст кислоты и жирной/горькой матрицы</x:v>
      </x:c>
      <x:c r="Q44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44" s="28" t="str">
        <x:v>минимальный</x:v>
      </x:c>
      <x:c r="S444" s="28" t="str">
        <x:v>жирная белково-клетчаточная матрица; зелёные пигменты чувствительны к перегреву Водная фруктовая фаза требует эмульсии или мелкого измельчения, если орех или шоколад вводится как паста.</x:v>
      </x:c>
      <x:c r="T444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44" s="28" t="str">
        <x:v>Фисташка имеет профиль «зелёный, ореховый, смолистый, сладкий и слегка цветочный». Партнёр «слива»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44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W444" s="28" t="str">
        <x:v>ваниль, цитрус или молочный жир</x:v>
      </x:c>
      <x:c r="X444" s="28" t="str">
        <x:v>пралине, паста, выпечка, гарнир, соус, молочный или коктейльный компонент с слива</x:v>
      </x:c>
      <x:c r="Y444" s="28" t="str">
        <x:v>десерты</x:v>
      </x:c>
      <x:c r="Z444" s="28" t="str">
        <x:v>Гипотеза / практическая</x:v>
      </x:c>
      <x:c r="AA444" s="28" t="str">
        <x:v>Таблица сочетания(1).pdf</x:v>
      </x:c>
      <x:c r="AB444" s="28" t="str">
        <x:v>Таблица сочетания(1).pdf: 17</x:v>
      </x:c>
      <x:c r="AC444" s="28" t="str">
        <x:v>Пара встречается как table; научное объяснение сформировано по ароматическому профилю и пищевой матрице.</x:v>
      </x:c>
      <x:c r="AD444" s="28" t="n">
        <x:v>1</x:v>
      </x:c>
      <x:c r="AE444" s="28" t="n">
        <x:v>1</x:v>
      </x:c>
      <x:c r="AF444" s="28" t="n">
        <x:f>IF(Z444="Высокая",3,IF(Z444="Средняя",2,1))+AD444*2+MIN(AE444,3)</x:f>
        <x:v>4</x:v>
      </x:c>
    </x:row>
    <x:row r="445" ht="62" customHeight="1">
      <x:c r="A445" s="28" t="str">
        <x:v>NCT-0444</x:v>
      </x:c>
      <x:c r="B445" s="28" t="str">
        <x:v>фисташка</x:v>
      </x:c>
      <x:c r="C445" s="28" t="str">
        <x:v>Универсальные</x:v>
      </x:c>
      <x:c r="D445" s="28" t="str">
        <x:v>фисташка</x:v>
      </x:c>
      <x:c r="E445" s="28" t="str">
        <x:v>фисташка</x:v>
      </x:c>
      <x:c r="F445" s="28" t="str">
        <x:v>Орехи и семена</x:v>
      </x:c>
      <x:c r="G445" s="28" t="str">
        <x:v>финик</x:v>
      </x:c>
      <x:c r="H445" s="28" t="str">
        <x:v>Финик</x:v>
      </x:c>
      <x:c r="I445" s="28" t="str">
        <x:v>Прочее</x:v>
      </x:c>
      <x:c r="J445" s="28" t="str">
        <x:v>зелёный, ореховый, смолистый, сладкий и слегка цветочный</x:v>
      </x:c>
      <x:c r="K445" s="28" t="str">
        <x:v>профиль зависит от конкретного продукта</x:v>
      </x:c>
      <x:c r="L445" s="28" t="str">
        <x:v>пиразины, терпены, гексаналь, фураны</x:v>
      </x:c>
      <x:c r="M445" s="28" t="str">
        <x:v>характерный профиль зависит от конкретного продукта</x:v>
      </x:c>
      <x:c r="N445" s="28" t="str">
        <x:v>прямое пересечение семейств не является единственным объяснением</x:v>
      </x:c>
      <x:c r="O445" s="28" t="str">
        <x:v>надежная общая ключевая молекула не подтверждена</x:v>
      </x:c>
      <x:c r="P445" s="28" t="str">
        <x:v>сенсорная комплементарность</x:v>
      </x:c>
      <x:c r="Q44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45" s="28" t="str">
        <x:v>минимальный</x:v>
      </x:c>
      <x:c r="S445" s="28" t="str">
        <x:v>жирная белково-клетчаточная матрица; зелёные пигменты чувствительны к перегреву</x:v>
      </x:c>
      <x:c r="T445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45" s="28" t="str">
        <x:v>Фисташка имеет профиль «зелёный, ореховый, смолистый, сладкий и слегка цветочный». Партнёр «финик»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45" s="28" t="str">
        <x:v>аллерген; солёные фисташки меняют баланс рецепта; прогоркание</x:v>
      </x:c>
      <x:c r="W445" s="28" t="str">
        <x:v>соль, ваниль или карамель</x:v>
      </x:c>
      <x:c r="X445" s="28" t="str">
        <x:v>пралине, паста, выпечка, гарнир, соус, молочный или коктейльный компонент с финик</x:v>
      </x:c>
      <x:c r="Y445" s="28" t="str">
        <x:v>десерты</x:v>
      </x:c>
      <x:c r="Z445" s="28" t="str">
        <x:v>Гипотеза / практическая</x:v>
      </x:c>
      <x:c r="AA445" s="28" t="str">
        <x:v>Таблица сочетания(1).pdf</x:v>
      </x:c>
      <x:c r="AB445" s="28" t="str">
        <x:v>Таблица сочетания(1).pdf: 7</x:v>
      </x:c>
      <x:c r="AC445" s="28" t="str">
        <x:v>Пара встречается как table; научное объяснение сформировано по ароматическому профилю и пищевой матрице.</x:v>
      </x:c>
      <x:c r="AD445" s="28" t="n">
        <x:v>1</x:v>
      </x:c>
      <x:c r="AE445" s="28" t="n">
        <x:v>1</x:v>
      </x:c>
      <x:c r="AF445" s="28" t="n">
        <x:f>IF(Z445="Высокая",3,IF(Z445="Средняя",2,1))+AD445*2+MIN(AE445,3)</x:f>
        <x:v>4</x:v>
      </x:c>
    </x:row>
    <x:row r="446" ht="62" customHeight="1">
      <x:c r="A446" s="28" t="str">
        <x:v>NCT-0445</x:v>
      </x:c>
      <x:c r="B446" s="28" t="str">
        <x:v>фисташка</x:v>
      </x:c>
      <x:c r="C446" s="28" t="str">
        <x:v>Десерты и выпечка</x:v>
      </x:c>
      <x:c r="D446" s="28" t="str">
        <x:v>фисташка</x:v>
      </x:c>
      <x:c r="E446" s="28" t="str">
        <x:v>фисташка</x:v>
      </x:c>
      <x:c r="F446" s="28" t="str">
        <x:v>Орехи и семена</x:v>
      </x:c>
      <x:c r="G446" s="28" t="str">
        <x:v>чернослив</x:v>
      </x:c>
      <x:c r="H446" s="28" t="str">
        <x:v>Чернослив</x:v>
      </x:c>
      <x:c r="I446" s="28" t="str">
        <x:v>Фрукты и ягоды</x:v>
      </x:c>
      <x:c r="J446" s="28" t="str">
        <x:v>зелёный, ореховый, смолистый, сладкий и слегка цветочный</x:v>
      </x:c>
      <x:c r="K446" s="28" t="str">
        <x:v>фруктовый, цветочный и свежий</x:v>
      </x:c>
      <x:c r="L446" s="28" t="str">
        <x:v>пиразины, терпены, гексаналь, фураны</x:v>
      </x:c>
      <x:c r="M446" s="28" t="str">
        <x:v>альдегиды, эфиры</x:v>
      </x:c>
      <x:c r="N446" s="28" t="str">
        <x:v>прямое пересечение семейств не является единственным объяснением</x:v>
      </x:c>
      <x:c r="O446" s="28" t="str">
        <x:v>надежная общая ключевая молекула не подтверждена</x:v>
      </x:c>
      <x:c r="P446" s="28" t="str">
        <x:v>контраст кислоты и жирной/горькой матрицы</x:v>
      </x:c>
      <x:c r="Q44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46" s="28" t="str">
        <x:v>минимальный</x:v>
      </x:c>
      <x:c r="S446" s="28" t="str">
        <x:v>жирная белково-клетчаточная матрица; зелёные пигменты чувствительны к перегреву Водная фруктовая фаза требует эмульсии или мелкого измельчения, если орех или шоколад вводится как паста.</x:v>
      </x:c>
      <x:c r="T446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46" s="28" t="str">
        <x:v>Фисташка имеет профиль «зелёный, ореховый, смолистый, сладкий и слегка цветочный». Партнёр «чернослив»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46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W446" s="28" t="str">
        <x:v>ваниль, цитрус или молочный жир</x:v>
      </x:c>
      <x:c r="X446" s="28" t="str">
        <x:v>пралине, паста, выпечка, гарнир, соус, молочный или коктейльный компонент с чернослив</x:v>
      </x:c>
      <x:c r="Y446" s="28" t="str">
        <x:v>десерты</x:v>
      </x:c>
      <x:c r="Z446" s="28" t="str">
        <x:v>Гипотеза / практическая</x:v>
      </x:c>
      <x:c r="AA446" s="28" t="str">
        <x:v>Таблица сочетания(1).pdf</x:v>
      </x:c>
      <x:c r="AB446" s="28" t="str">
        <x:v>Таблица сочетания(1).pdf: 18</x:v>
      </x:c>
      <x:c r="AC446" s="28" t="str">
        <x:v>Пара встречается как table; научное объяснение сформировано по ароматическому профилю и пищевой матрице.</x:v>
      </x:c>
      <x:c r="AD446" s="28" t="n">
        <x:v>1</x:v>
      </x:c>
      <x:c r="AE446" s="28" t="n">
        <x:v>1</x:v>
      </x:c>
      <x:c r="AF446" s="28" t="n">
        <x:f>IF(Z446="Высокая",3,IF(Z446="Средняя",2,1))+AD446*2+MIN(AE446,3)</x:f>
        <x:v>4</x:v>
      </x:c>
    </x:row>
    <x:row r="447" ht="62" customHeight="1">
      <x:c r="A447" s="28" t="str">
        <x:v>NCT-0446</x:v>
      </x:c>
      <x:c r="B447" s="28" t="str">
        <x:v>фисташка</x:v>
      </x:c>
      <x:c r="C447" s="28" t="str">
        <x:v>Десерты и выпечка</x:v>
      </x:c>
      <x:c r="D447" s="28" t="str">
        <x:v>фисташка</x:v>
      </x:c>
      <x:c r="E447" s="28" t="str">
        <x:v>Фисташка</x:v>
      </x:c>
      <x:c r="F447" s="28" t="str">
        <x:v>Орехи и семена</x:v>
      </x:c>
      <x:c r="G447" s="28" t="str">
        <x:v>шоколад</x:v>
      </x:c>
      <x:c r="H447" s="28" t="str">
        <x:v>шоколад (тёмный и белый)</x:v>
      </x:c>
      <x:c r="I447" s="28" t="str">
        <x:v>Какао и шоколад</x:v>
      </x:c>
      <x:c r="J447" s="28" t="str">
        <x:v>зелёный, ореховый, смолистый, сладкий и слегка цветочный</x:v>
      </x:c>
      <x:c r="K447" s="28" t="str">
        <x:v>жареный, какаовый, фруктовый, цветочный, древесный и пряный; профиль зависит от происхождения и обжарки</x:v>
      </x:c>
      <x:c r="L447" s="28" t="str">
        <x:v>пиразины, терпены, гексаналь, фураны</x:v>
      </x:c>
      <x:c r="M447" s="28" t="str">
        <x:v>альдегиды, пиразины, теобромин, фураны, эфиры</x:v>
      </x:c>
      <x:c r="N447" s="28" t="str">
        <x:v>прямое пересечение семейств не является единственным объяснением</x:v>
      </x:c>
      <x:c r="O447" s="28" t="str">
        <x:v>пиразины, фураны</x:v>
      </x:c>
      <x:c r="P447" s="28" t="str">
        <x:v>общие ароматические соединения, жареная химия и реакции Майяра</x:v>
      </x:c>
      <x:c r="Q44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47" s="28" t="str">
        <x:v>минимальный</x:v>
      </x:c>
      <x:c r="S447" s="28" t="str">
        <x:v>жирная белково-клетчаточная матрица; зелёные пигменты чувствительны к перегреву</x:v>
      </x:c>
      <x:c r="T447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U447" s="28" t="str">
        <x:v>Фисташка имеет профиль «зелёный, ореховый, смолистый, сладкий и слегка цветочный».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пиразины, фураны.</x:v>
      </x:c>
      <x:c r="V447" s="28" t="str">
        <x:v>аллерген; солёные фисташки меняют баланс рецепта; прогоркание</x:v>
      </x:c>
      <x:c r="W447" s="28" t="str">
        <x:v>соль, ваниль или карамель</x:v>
      </x:c>
      <x:c r="X447" s="28" t="str">
        <x:v>пралине, паста, выпечка, гарнир, соус, молочный или коктейльный компонент с шоколад</x:v>
      </x:c>
      <x:c r="Y447" s="28" t="str">
        <x:v>десерты</x:v>
      </x:c>
      <x:c r="Z447" s="28" t="str">
        <x:v>Гипотеза / практическая</x:v>
      </x:c>
      <x:c r="AA447" s="28" t="str">
        <x:v>Таблица сочетания(1).pdf</x:v>
      </x:c>
      <x:c r="AB447" s="28" t="str">
        <x:v>Таблица сочетания(1).pdf: 17</x:v>
      </x:c>
      <x:c r="AC447" s="28" t="str">
        <x:v>Пара встречается как table; научное объяснение сформировано по ароматическому профилю и пищевой матрице.</x:v>
      </x:c>
      <x:c r="AD447" s="28" t="n">
        <x:v>1</x:v>
      </x:c>
      <x:c r="AE447" s="28" t="n">
        <x:v>1</x:v>
      </x:c>
      <x:c r="AF447" s="28" t="n">
        <x:f>IF(Z447="Высокая",3,IF(Z447="Средняя",2,1))+AD447*2+MIN(AE447,3)</x:f>
        <x:v>4</x:v>
      </x:c>
    </x:row>
    <x:row r="448" ht="62" customHeight="1">
      <x:c r="A448" s="28" t="str">
        <x:v>NCT-0447</x:v>
      </x:c>
      <x:c r="B448" s="28" t="str">
        <x:v>фундук</x:v>
      </x:c>
      <x:c r="C448" s="28" t="str">
        <x:v>Универсальные</x:v>
      </x:c>
      <x:c r="D448" s="28" t="str">
        <x:v>фундук</x:v>
      </x:c>
      <x:c r="E448" s="28" t="str">
        <x:v>hazelnut</x:v>
      </x:c>
      <x:c r="F448" s="28" t="str">
        <x:v>Орехи и семена</x:v>
      </x:c>
      <x:c r="G448" s="28" t="str">
        <x:v>allspice</x:v>
      </x:c>
      <x:c r="H448" s="28" t="str">
        <x:v>allspice</x:v>
      </x:c>
      <x:c r="I448" s="28" t="str">
        <x:v>Специи</x:v>
      </x:c>
      <x:c r="J448" s="28" t="str">
        <x:v>ореховый, жареный, сладкий, землистый и какаоподобный</x:v>
      </x:c>
      <x:c r="K448" s="28" t="str">
        <x:v>пряный и древесный</x:v>
      </x:c>
      <x:c r="L448" s="28" t="str">
        <x:v>фильбертон, пиразины, фураны, альдегиды</x:v>
      </x:c>
      <x:c r="M448" s="28" t="str">
        <x:v>терпены, фенилпропаноиды</x:v>
      </x:c>
      <x:c r="N448" s="28" t="str">
        <x:v>прямое пересечение семейств не является единственным объяснением</x:v>
      </x:c>
      <x:c r="O448" s="28" t="str">
        <x:v>надежная общая ключевая молекула не подтверждена</x:v>
      </x:c>
      <x:c r="P448" s="28" t="str">
        <x:v>сенсорная комплементарность</x:v>
      </x:c>
      <x:c r="Q44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48" s="28" t="str">
        <x:v>минимальный</x:v>
      </x:c>
      <x:c r="S448" s="28" t="str">
        <x:v>высокожировая матрица с белком; эффективно переносит аромат в пралине и пастах</x:v>
      </x:c>
      <x:c r="T44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48" s="28" t="str">
        <x:v>Фундук имеет профиль «ореховый, жареный, сладкий, землистый и какаоподобный». Партнёр «allspice»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48" s="28" t="str">
        <x:v>аллерген и чувствительность к прогорканию; пережаривание даёт дымную горечь</x:v>
      </x:c>
      <x:c r="W448" s="28" t="str">
        <x:v>ваниль, апельсин или мёд</x:v>
      </x:c>
      <x:c r="X448" s="28" t="str">
        <x:v>пралине, паста, выпечка, гарнир, соус, молочный или коктейльный компонент с allspice</x:v>
      </x:c>
      <x:c r="Y448" s="28" t="str">
        <x:v>десерты</x:v>
      </x:c>
      <x:c r="Z448" s="28" t="str">
        <x:v>Средняя</x:v>
      </x:c>
      <x:c r="AA448" s="28" t="str">
        <x:v>The Art &amp; Science of Foodpairing.pdf</x:v>
      </x:c>
      <x:c r="AB448" s="28" t="str">
        <x:v>The Art &amp; Science of Foodpairing.pdf: 332</x:v>
      </x:c>
      <x:c r="AC448" s="28" t="str">
        <x:v>Пара встречается как grid; научное объяснение сформировано по ароматическому профилю и пищевой матрице.</x:v>
      </x:c>
      <x:c r="AD448" s="28" t="n">
        <x:v>1</x:v>
      </x:c>
      <x:c r="AE448" s="28" t="n">
        <x:v>1</x:v>
      </x:c>
      <x:c r="AF448" s="28" t="n">
        <x:f>IF(Z448="Высокая",3,IF(Z448="Средняя",2,1))+AD448*2+MIN(AE448,3)</x:f>
        <x:v>5</x:v>
      </x:c>
    </x:row>
    <x:row r="449" ht="62" customHeight="1">
      <x:c r="A449" s="28" t="str">
        <x:v>NCT-0448</x:v>
      </x:c>
      <x:c r="B449" s="28" t="str">
        <x:v>фундук</x:v>
      </x:c>
      <x:c r="C449" s="28" t="str">
        <x:v>Десерты и выпечка</x:v>
      </x:c>
      <x:c r="D449" s="28" t="str">
        <x:v>фундук</x:v>
      </x:c>
      <x:c r="E449" s="28" t="str">
        <x:v>hazelnut</x:v>
      </x:c>
      <x:c r="F449" s="28" t="str">
        <x:v>Орехи и семена</x:v>
      </x:c>
      <x:c r="G449" s="28" t="str">
        <x:v>alphonso mango</x:v>
      </x:c>
      <x:c r="H449" s="28" t="str">
        <x:v>Alphonso mango</x:v>
      </x:c>
      <x:c r="I449" s="28" t="str">
        <x:v>Фрукты и ягоды</x:v>
      </x:c>
      <x:c r="J449" s="28" t="str">
        <x:v>ореховый, жареный, сладкий, землистый и какаоподобный</x:v>
      </x:c>
      <x:c r="K449" s="28" t="str">
        <x:v>фруктовый, цветочный и свежий</x:v>
      </x:c>
      <x:c r="L449" s="28" t="str">
        <x:v>фильбертон, пиразины, фураны, альдегиды</x:v>
      </x:c>
      <x:c r="M449" s="28" t="str">
        <x:v>альдегиды, эфиры</x:v>
      </x:c>
      <x:c r="N449" s="28" t="str">
        <x:v>прямое пересечение семейств не является единственным объяснением</x:v>
      </x:c>
      <x:c r="O449" s="28" t="str">
        <x:v>альдегиды</x:v>
      </x:c>
      <x:c r="P449" s="28" t="str">
        <x:v>общие ароматические соединения, контраст кислоты и жирной/горькой матрицы</x:v>
      </x:c>
      <x:c r="Q44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49" s="28" t="str">
        <x:v>минимальный</x:v>
      </x:c>
      <x:c r="S449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44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49" s="28" t="str">
        <x:v>Фундук имеет профиль «ореховый, жареный, сладкий, землистый и какаоподобный». Партнёр «alphonso mango»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49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449" s="28" t="str">
        <x:v>ваниль, цитрус или молочный жир</x:v>
      </x:c>
      <x:c r="X449" s="28" t="str">
        <x:v>пралине, паста, выпечка, гарнир, соус, молочный или коктейльный компонент с alphonso mango</x:v>
      </x:c>
      <x:c r="Y449" s="28" t="str">
        <x:v>десерты</x:v>
      </x:c>
      <x:c r="Z449" s="28" t="str">
        <x:v>Средняя</x:v>
      </x:c>
      <x:c r="AA449" s="28" t="str">
        <x:v>The Art &amp; Science of Foodpairing.pdf</x:v>
      </x:c>
      <x:c r="AB449" s="28" t="str">
        <x:v>The Art &amp; Science of Foodpairing.pdf: 332</x:v>
      </x:c>
      <x:c r="AC449" s="28" t="str">
        <x:v>Пара встречается как grid; научное объяснение сформировано по ароматическому профилю и пищевой матрице.</x:v>
      </x:c>
      <x:c r="AD449" s="28" t="n">
        <x:v>1</x:v>
      </x:c>
      <x:c r="AE449" s="28" t="n">
        <x:v>1</x:v>
      </x:c>
      <x:c r="AF449" s="28" t="n">
        <x:f>IF(Z449="Высокая",3,IF(Z449="Средняя",2,1))+AD449*2+MIN(AE449,3)</x:f>
        <x:v>5</x:v>
      </x:c>
    </x:row>
    <x:row r="450" ht="62" customHeight="1">
      <x:c r="A450" s="28" t="str">
        <x:v>NCT-0449</x:v>
      </x:c>
      <x:c r="B450" s="28" t="str">
        <x:v>фундук</x:v>
      </x:c>
      <x:c r="C450" s="28" t="str">
        <x:v>Десерты и выпечка</x:v>
      </x:c>
      <x:c r="D450" s="28" t="str">
        <x:v>фундук</x:v>
      </x:c>
      <x:c r="E450" s="28" t="str">
        <x:v>roasted hazelnut puree</x:v>
      </x:c>
      <x:c r="F450" s="28" t="str">
        <x:v>Орехи и семена</x:v>
      </x:c>
      <x:c r="G450" s="28" t="str">
        <x:v>apple and apple sauce</x:v>
      </x:c>
      <x:c r="H450" s="28" t="str">
        <x:v>apple and apple sauce</x:v>
      </x:c>
      <x:c r="I450" s="28" t="str">
        <x:v>Фрукты и ягоды</x:v>
      </x:c>
      <x:c r="J450" s="28" t="str">
        <x:v>ореховый, жареный, сладкий, землистый и какаоподобный</x:v>
      </x:c>
      <x:c r="K450" s="28" t="str">
        <x:v>фруктовый, цветочный и свежий</x:v>
      </x:c>
      <x:c r="L450" s="28" t="str">
        <x:v>фильбертон, пиразины, фураны, альдегиды</x:v>
      </x:c>
      <x:c r="M450" s="28" t="str">
        <x:v>альдегиды, эфиры</x:v>
      </x:c>
      <x:c r="N450" s="28" t="str">
        <x:v>прямое пересечение семейств не является единственным объяснением</x:v>
      </x:c>
      <x:c r="O450" s="28" t="str">
        <x:v>альдегиды</x:v>
      </x:c>
      <x:c r="P450" s="28" t="str">
        <x:v>общие ароматические соединения, контраст кислоты и жирной/горькой матрицы</x:v>
      </x:c>
      <x:c r="Q45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50" s="28" t="str">
        <x:v>минимальный</x:v>
      </x:c>
      <x:c r="S450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45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50" s="28" t="str">
        <x:v>Фундук имеет профиль «ореховый, жареный, сладкий, землистый и какаоподобный». Партнёр «apple and apple sauce»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50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450" s="28" t="str">
        <x:v>ваниль, цитрус или молочный жир</x:v>
      </x:c>
      <x:c r="X450" s="28" t="str">
        <x:v>пралине, паста, выпечка, гарнир, соус, молочный или коктейльный компонент с apple and apple sauce</x:v>
      </x:c>
      <x:c r="Y450" s="28" t="str">
        <x:v>десерты</x:v>
      </x:c>
      <x:c r="Z450" s="28" t="str">
        <x:v>Средняя</x:v>
      </x:c>
      <x:c r="AA450" s="28" t="str">
        <x:v>The Art &amp; Science of Foodpairing.pdf</x:v>
      </x:c>
      <x:c r="AB450" s="28" t="str">
        <x:v>The Art &amp; Science of Foodpairing.pdf: 47</x:v>
      </x:c>
      <x:c r="AC450" s="28" t="str">
        <x:v>Пара встречается как grid; научное объяснение сформировано по ароматическому профилю и пищевой матрице.</x:v>
      </x:c>
      <x:c r="AD450" s="28" t="n">
        <x:v>1</x:v>
      </x:c>
      <x:c r="AE450" s="28" t="n">
        <x:v>1</x:v>
      </x:c>
      <x:c r="AF450" s="28" t="n">
        <x:f>IF(Z450="Высокая",3,IF(Z450="Средняя",2,1))+AD450*2+MIN(AE450,3)</x:f>
        <x:v>5</x:v>
      </x:c>
    </x:row>
    <x:row r="451" ht="62" customHeight="1">
      <x:c r="A451" s="28" t="str">
        <x:v>NCT-0450</x:v>
      </x:c>
      <x:c r="B451" s="28" t="str">
        <x:v>фундук</x:v>
      </x:c>
      <x:c r="C451" s="28" t="str">
        <x:v>Еда и соусы</x:v>
      </x:c>
      <x:c r="D451" s="28" t="str">
        <x:v>фундук</x:v>
      </x:c>
      <x:c r="E451" s="28" t="str">
        <x:v>hazelnut</x:v>
      </x:c>
      <x:c r="F451" s="28" t="str">
        <x:v>Орехи и семена</x:v>
      </x:c>
      <x:c r="G451" s="28" t="str">
        <x:v>artichoke, ray wing</x:v>
      </x:c>
      <x:c r="H451" s="28" t="str">
        <x:v>artichoke, ray wing</x:v>
      </x:c>
      <x:c r="I451" s="28" t="str">
        <x:v>Овощи, бобовые и грибы</x:v>
      </x:c>
      <x:c r="J451" s="28" t="str">
        <x:v>ореховый, жареный, сладкий, землистый и какаоподобный</x:v>
      </x:c>
      <x:c r="K451" s="28" t="str">
        <x:v>зелёный, землистый или умами</x:v>
      </x:c>
      <x:c r="L451" s="28" t="str">
        <x:v>фильбертон, пиразины, фураны, альдегиды</x:v>
      </x:c>
      <x:c r="M451" s="28" t="str">
        <x:v>альдегиды, сернистые соединения</x:v>
      </x:c>
      <x:c r="N451" s="28" t="str">
        <x:v>прямое пересечение семейств не является единственным объяснением</x:v>
      </x:c>
      <x:c r="O451" s="28" t="str">
        <x:v>альдегиды</x:v>
      </x:c>
      <x:c r="P451" s="28" t="str">
        <x:v>общие ароматические соединения</x:v>
      </x:c>
      <x:c r="Q45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51" s="28" t="str">
        <x:v>минимальный</x:v>
      </x:c>
      <x:c r="S451" s="28" t="str">
        <x:v>высокожировая матрица с белком; эффективно переносит аромат в пралине и пастах</x:v>
      </x:c>
      <x:c r="T45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51" s="28" t="str">
        <x:v>Фундук имеет профиль «ореховый, жареный, сладкий, землистый и какаоподобный». Партнёр «artichoke, ray wing»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51" s="28" t="str">
        <x:v>аллерген и чувствительность к прогорканию; пережаривание даёт дымную горечь</x:v>
      </x:c>
      <x:c r="W451" s="28" t="str">
        <x:v>соль, ваниль или карамель</x:v>
      </x:c>
      <x:c r="X451" s="28" t="str">
        <x:v>пралине, паста, выпечка, гарнир, соус, молочный или коктейльный компонент с artichoke, ray wing</x:v>
      </x:c>
      <x:c r="Y451" s="28" t="str">
        <x:v>еда, десерты, соусы/маринады</x:v>
      </x:c>
      <x:c r="Z451" s="28" t="str">
        <x:v>Высокая</x:v>
      </x:c>
      <x:c r="AA451" s="28" t="str">
        <x:v>The Art &amp; Science of Foodpairing.pdf</x:v>
      </x:c>
      <x:c r="AB451" s="28" t="str">
        <x:v>The Art &amp; Science of Foodpairing.pdf: 329</x:v>
      </x:c>
      <x:c r="AC451" s="28" t="str">
        <x:v>Пара встречается как potential; научное объяснение сформировано по ароматическому профилю и пищевой матрице.</x:v>
      </x:c>
      <x:c r="AD451" s="28" t="n">
        <x:v>1</x:v>
      </x:c>
      <x:c r="AE451" s="28" t="n">
        <x:v>1</x:v>
      </x:c>
      <x:c r="AF451" s="28" t="n">
        <x:f>IF(Z451="Высокая",3,IF(Z451="Средняя",2,1))+AD451*2+MIN(AE451,3)</x:f>
        <x:v>6</x:v>
      </x:c>
    </x:row>
    <x:row r="452" ht="62" customHeight="1">
      <x:c r="A452" s="28" t="str">
        <x:v>NCT-0451</x:v>
      </x:c>
      <x:c r="B452" s="28" t="str">
        <x:v>фундук</x:v>
      </x:c>
      <x:c r="C452" s="28" t="str">
        <x:v>Еда и соусы</x:v>
      </x:c>
      <x:c r="D452" s="28" t="str">
        <x:v>фундук</x:v>
      </x:c>
      <x:c r="E452" s="28" t="str">
        <x:v>hazelnut</x:v>
      </x:c>
      <x:c r="F452" s="28" t="str">
        <x:v>Орехи и семена</x:v>
      </x:c>
      <x:c r="G452" s="28" t="str">
        <x:v>atlantic salmon fillet</x:v>
      </x:c>
      <x:c r="H452" s="28" t="str">
        <x:v>Atlantic salmon fillet</x:v>
      </x:c>
      <x:c r="I452" s="28" t="str">
        <x:v>Рыба и морепродукты</x:v>
      </x:c>
      <x:c r="J452" s="28" t="str">
        <x:v>ореховый, жареный, сладкий, землистый и какаоподобный</x:v>
      </x:c>
      <x:c r="K452" s="28" t="str">
        <x:v>морской, солоноватый и умами</x:v>
      </x:c>
      <x:c r="L452" s="28" t="str">
        <x:v>фильбертон, пиразины, фураны, альдегиды</x:v>
      </x:c>
      <x:c r="M452" s="28" t="str">
        <x:v>альдегиды, амины</x:v>
      </x:c>
      <x:c r="N452" s="28" t="str">
        <x:v>прямое пересечение семейств не является единственным объяснением</x:v>
      </x:c>
      <x:c r="O452" s="28" t="str">
        <x:v>альдегиды</x:v>
      </x:c>
      <x:c r="P452" s="28" t="str">
        <x:v>общие ароматические соединения, солёно-умами контраст</x:v>
      </x:c>
      <x:c r="Q45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52" s="28" t="str">
        <x:v>минимальный</x:v>
      </x:c>
      <x:c r="S452" s="28" t="str">
        <x:v>высокожировая матрица с белком; эффективно переносит аромат в пралине и пастах</x:v>
      </x:c>
      <x:c r="T45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52" s="28" t="str">
        <x:v>Фундук имеет профиль «ореховый, жареный, сладкий, землистый и какаоподобный». Партнёр «atlantic salmon fillet»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52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W452" s="28" t="str">
        <x:v>соль, соевый соус, коричневое масло или специя</x:v>
      </x:c>
      <x:c r="X452" s="28" t="str">
        <x:v>пралине, паста, выпечка, гарнир, соус, молочный или коктейльный компонент с atlantic salmon fillet</x:v>
      </x:c>
      <x:c r="Y452" s="28" t="str">
        <x:v>еда, десерты, соусы/маринады</x:v>
      </x:c>
      <x:c r="Z452" s="28" t="str">
        <x:v>Средняя</x:v>
      </x:c>
      <x:c r="AA452" s="28" t="str">
        <x:v>The Art &amp; Science of Foodpairing.pdf</x:v>
      </x:c>
      <x:c r="AB452" s="28" t="str">
        <x:v>The Art &amp; Science of Foodpairing.pdf: 332</x:v>
      </x:c>
      <x:c r="AC452" s="28" t="str">
        <x:v>Пара встречается как grid; научное объяснение сформировано по ароматическому профилю и пищевой матрице.</x:v>
      </x:c>
      <x:c r="AD452" s="28" t="n">
        <x:v>1</x:v>
      </x:c>
      <x:c r="AE452" s="28" t="n">
        <x:v>1</x:v>
      </x:c>
      <x:c r="AF452" s="28" t="n">
        <x:f>IF(Z452="Высокая",3,IF(Z452="Средняя",2,1))+AD452*2+MIN(AE452,3)</x:f>
        <x:v>5</x:v>
      </x:c>
    </x:row>
    <x:row r="453" ht="62" customHeight="1">
      <x:c r="A453" s="28" t="str">
        <x:v>NCT-0452</x:v>
      </x:c>
      <x:c r="B453" s="28" t="str">
        <x:v>фундук</x:v>
      </x:c>
      <x:c r="C453" s="28" t="str">
        <x:v>Еда и соусы</x:v>
      </x:c>
      <x:c r="D453" s="28" t="str">
        <x:v>фундук</x:v>
      </x:c>
      <x:c r="E453" s="28" t="str">
        <x:v>hazelnut</x:v>
      </x:c>
      <x:c r="F453" s="28" t="str">
        <x:v>Орехи и семена</x:v>
      </x:c>
      <x:c r="G453" s="28" t="str">
        <x:v>bayonne ham</x:v>
      </x:c>
      <x:c r="H453" s="28" t="str">
        <x:v>Bayonne ham</x:v>
      </x:c>
      <x:c r="I453" s="28" t="str">
        <x:v>Мясо и птица</x:v>
      </x:c>
      <x:c r="J453" s="28" t="str">
        <x:v>ореховый, жареный, сладкий, землистый и какаоподобный</x:v>
      </x:c>
      <x:c r="K453" s="28" t="str">
        <x:v>жареный, мясной и умами</x:v>
      </x:c>
      <x:c r="L453" s="28" t="str">
        <x:v>фильбертон, пиразины, фураны, альдегиды</x:v>
      </x:c>
      <x:c r="M453" s="28" t="str">
        <x:v>пиразины, сернистые соединения</x:v>
      </x:c>
      <x:c r="N453" s="28" t="str">
        <x:v>жареный</x:v>
      </x:c>
      <x:c r="O453" s="28" t="str">
        <x:v>пиразины</x:v>
      </x:c>
      <x:c r="P453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45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53" s="28" t="str">
        <x:v>минимальный</x:v>
      </x:c>
      <x:c r="S453" s="28" t="str">
        <x:v>высокожировая матрица с белком; эффективно переносит аромат в пралине и пастах</x:v>
      </x:c>
      <x:c r="T45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53" s="28" t="str">
        <x:v>Фундук имеет профиль «ореховый, жареный, сладкий, землистый и какаоподобный». Партнёр «bayonne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V453" s="28" t="str">
        <x:v>аллерген и чувствительность к прогорканию; пережаривание даёт дымную горечь</x:v>
      </x:c>
      <x:c r="W453" s="28" t="str">
        <x:v>соль, соевый соус, коричневое масло или специя</x:v>
      </x:c>
      <x:c r="X453" s="28" t="str">
        <x:v>пралине, паста, выпечка, гарнир, соус, молочный или коктейльный компонент с bayonne ham</x:v>
      </x:c>
      <x:c r="Y453" s="28" t="str">
        <x:v>еда, десерты, соусы/маринады</x:v>
      </x:c>
      <x:c r="Z453" s="28" t="str">
        <x:v>Средняя</x:v>
      </x:c>
      <x:c r="AA453" s="28" t="str">
        <x:v>The Art &amp; Science of Foodpairing.pdf</x:v>
      </x:c>
      <x:c r="AB453" s="28" t="str">
        <x:v>The Art &amp; Science of Foodpairing.pdf: 332</x:v>
      </x:c>
      <x:c r="AC453" s="28" t="str">
        <x:v>Пара встречается как grid; научное объяснение сформировано по ароматическому профилю и пищевой матрице.</x:v>
      </x:c>
      <x:c r="AD453" s="28" t="n">
        <x:v>1</x:v>
      </x:c>
      <x:c r="AE453" s="28" t="n">
        <x:v>1</x:v>
      </x:c>
      <x:c r="AF453" s="28" t="n">
        <x:f>IF(Z453="Высокая",3,IF(Z453="Средняя",2,1))+AD453*2+MIN(AE453,3)</x:f>
        <x:v>5</x:v>
      </x:c>
    </x:row>
    <x:row r="454" ht="62" customHeight="1">
      <x:c r="A454" s="28" t="str">
        <x:v>NCT-0453</x:v>
      </x:c>
      <x:c r="B454" s="28" t="str">
        <x:v>фундук</x:v>
      </x:c>
      <x:c r="C454" s="28" t="str">
        <x:v>Универсальные</x:v>
      </x:c>
      <x:c r="D454" s="28" t="str">
        <x:v>фундук</x:v>
      </x:c>
      <x:c r="E454" s="28" t="str">
        <x:v>roasted hazelnut</x:v>
      </x:c>
      <x:c r="F454" s="28" t="str">
        <x:v>Орехи и семена</x:v>
      </x:c>
      <x:c r="G454" s="28" t="str">
        <x:v>blue cheese</x:v>
      </x:c>
      <x:c r="H454" s="28" t="str">
        <x:v>blue cheese</x:v>
      </x:c>
      <x:c r="I454" s="28" t="str">
        <x:v>Молочные продукты и сыры</x:v>
      </x:c>
      <x:c r="J454" s="28" t="str">
        <x:v>ореховый, жареный, сладкий, землистый и какаоподобный</x:v>
      </x:c>
      <x:c r="K454" s="28" t="str">
        <x:v>молочный, сливочный и ферментированный</x:v>
      </x:c>
      <x:c r="L454" s="28" t="str">
        <x:v>фильбертон, пиразины, фураны, альдегиды</x:v>
      </x:c>
      <x:c r="M454" s="28" t="str">
        <x:v>диацетил, жирные кислоты, лактоны</x:v>
      </x:c>
      <x:c r="N454" s="28" t="str">
        <x:v>прямое пересечение семейств не является единственным объяснением</x:v>
      </x:c>
      <x:c r="O454" s="28" t="str">
        <x:v>надежная общая ключевая молекула не подтверждена</x:v>
      </x:c>
      <x:c r="P454" s="28" t="str">
        <x:v>жировая экстракция и связывание полифенолов белком</x:v>
      </x:c>
      <x:c r="Q45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54" s="28" t="str">
        <x:v>минимальный</x:v>
      </x:c>
      <x:c r="S454" s="28" t="str">
        <x:v>высокожировая матрица с белком; эффективно переносит аромат в пралине и пастах Совпадающие жирные фазы облегчают перенос аромата, но могут сделать продукт тяжёлым.</x:v>
      </x:c>
      <x:c r="T45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54" s="28" t="str">
        <x:v>Фундук имеет профиль «ореховый, жареный, сладкий, землистый и какаоподобный». Партнёр «blue cheese»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54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W454" s="28" t="str">
        <x:v>мёд, карамель или фруктовая кислота</x:v>
      </x:c>
      <x:c r="X454" s="28" t="str">
        <x:v>пралине, паста, выпечка, гарнир, соус, молочный или коктейльный компонент с blue cheese</x:v>
      </x:c>
      <x:c r="Y454" s="28" t="str">
        <x:v>десерты</x:v>
      </x:c>
      <x:c r="Z454" s="28" t="str">
        <x:v>Средняя</x:v>
      </x:c>
      <x:c r="AA454" s="28" t="str">
        <x:v>The Art &amp; Science of Foodpairing.pdf</x:v>
      </x:c>
      <x:c r="AB454" s="28" t="str">
        <x:v>The Art &amp; Science of Foodpairing.pdf: 164</x:v>
      </x:c>
      <x:c r="AC454" s="28" t="str">
        <x:v>Пара встречается как grid; научное объяснение сформировано по ароматическому профилю и пищевой матрице.</x:v>
      </x:c>
      <x:c r="AD454" s="28" t="n">
        <x:v>1</x:v>
      </x:c>
      <x:c r="AE454" s="28" t="n">
        <x:v>1</x:v>
      </x:c>
      <x:c r="AF454" s="28" t="n">
        <x:f>IF(Z454="Высокая",3,IF(Z454="Средняя",2,1))+AD454*2+MIN(AE454,3)</x:f>
        <x:v>5</x:v>
      </x:c>
    </x:row>
    <x:row r="455" ht="62" customHeight="1">
      <x:c r="A455" s="28" t="str">
        <x:v>NCT-0454</x:v>
      </x:c>
      <x:c r="B455" s="28" t="str">
        <x:v>фундук</x:v>
      </x:c>
      <x:c r="C455" s="28" t="str">
        <x:v>Универсальные</x:v>
      </x:c>
      <x:c r="D455" s="28" t="str">
        <x:v>фундук</x:v>
      </x:c>
      <x:c r="E455" s="28" t="str">
        <x:v>hazelnut</x:v>
      </x:c>
      <x:c r="F455" s="28" t="str">
        <x:v>Орехи и семена</x:v>
      </x:c>
      <x:c r="G455" s="28" t="str">
        <x:v>boiled butternut squash</x:v>
      </x:c>
      <x:c r="H455" s="28" t="str">
        <x:v>boiled butternut squash</x:v>
      </x:c>
      <x:c r="I455" s="28" t="str">
        <x:v>Молочные продукты и сыры</x:v>
      </x:c>
      <x:c r="J455" s="28" t="str">
        <x:v>ореховый, жареный, сладкий, землистый и какаоподобный</x:v>
      </x:c>
      <x:c r="K455" s="28" t="str">
        <x:v>молочный, сливочный и ферментированный</x:v>
      </x:c>
      <x:c r="L455" s="28" t="str">
        <x:v>фильбертон, пиразины, фураны, альдегиды</x:v>
      </x:c>
      <x:c r="M455" s="28" t="str">
        <x:v>диацетил, жирные кислоты, лактоны</x:v>
      </x:c>
      <x:c r="N455" s="28" t="str">
        <x:v>прямое пересечение семейств не является единственным объяснением</x:v>
      </x:c>
      <x:c r="O455" s="28" t="str">
        <x:v>надежная общая ключевая молекула не подтверждена</x:v>
      </x:c>
      <x:c r="P455" s="28" t="str">
        <x:v>жировая экстракция и связывание полифенолов белком</x:v>
      </x:c>
      <x:c r="Q45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55" s="28" t="str">
        <x:v>минимальный</x:v>
      </x:c>
      <x:c r="S455" s="28" t="str">
        <x:v>высокожировая матрица с белком; эффективно переносит аромат в пралине и пастах Совпадающие жирные фазы облегчают перенос аромата, но могут сделать продукт тяжёлым.</x:v>
      </x:c>
      <x:c r="T45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55" s="28" t="str">
        <x:v>Фундук имеет профиль «ореховый, жареный, сладкий, землистый и какаоподобный». Партнёр «boiled butternut squash»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55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W455" s="28" t="str">
        <x:v>мёд, карамель или фруктовая кислота</x:v>
      </x:c>
      <x:c r="X455" s="28" t="str">
        <x:v>пралине, паста, выпечка, гарнир, соус, молочный или коктейльный компонент с boiled butternut squash</x:v>
      </x:c>
      <x:c r="Y455" s="28" t="str">
        <x:v>десерты</x:v>
      </x:c>
      <x:c r="Z455" s="28" t="str">
        <x:v>Средняя</x:v>
      </x:c>
      <x:c r="AA455" s="28" t="str">
        <x:v>The Art &amp; Science of Foodpairing.pdf</x:v>
      </x:c>
      <x:c r="AB455" s="28" t="str">
        <x:v>The Art &amp; Science of Foodpairing.pdf: 332</x:v>
      </x:c>
      <x:c r="AC455" s="28" t="str">
        <x:v>Пара встречается как grid; научное объяснение сформировано по ароматическому профилю и пищевой матрице.</x:v>
      </x:c>
      <x:c r="AD455" s="28" t="n">
        <x:v>1</x:v>
      </x:c>
      <x:c r="AE455" s="28" t="n">
        <x:v>1</x:v>
      </x:c>
      <x:c r="AF455" s="28" t="n">
        <x:f>IF(Z455="Высокая",3,IF(Z455="Средняя",2,1))+AD455*2+MIN(AE455,3)</x:f>
        <x:v>5</x:v>
      </x:c>
    </x:row>
    <x:row r="456" ht="62" customHeight="1">
      <x:c r="A456" s="28" t="str">
        <x:v>NCT-0455</x:v>
      </x:c>
      <x:c r="B456" s="28" t="str">
        <x:v>фундук</x:v>
      </x:c>
      <x:c r="C456" s="28" t="str">
        <x:v>Еда и соусы</x:v>
      </x:c>
      <x:c r="D456" s="28" t="str">
        <x:v>фундук</x:v>
      </x:c>
      <x:c r="E456" s="28" t="str">
        <x:v>hazelnut</x:v>
      </x:c>
      <x:c r="F456" s="28" t="str">
        <x:v>Орехи и семена</x:v>
      </x:c>
      <x:c r="G456" s="28" t="str">
        <x:v>boiled purple sweet potato</x:v>
      </x:c>
      <x:c r="H456" s="28" t="str">
        <x:v>boiled purple sweet potato</x:v>
      </x:c>
      <x:c r="I456" s="28" t="str">
        <x:v>Овощи, бобовые и грибы</x:v>
      </x:c>
      <x:c r="J456" s="28" t="str">
        <x:v>ореховый, жареный, сладкий, землистый и какаоподобный</x:v>
      </x:c>
      <x:c r="K456" s="28" t="str">
        <x:v>зелёный, землистый или умами</x:v>
      </x:c>
      <x:c r="L456" s="28" t="str">
        <x:v>фильбертон, пиразины, фураны, альдегиды</x:v>
      </x:c>
      <x:c r="M456" s="28" t="str">
        <x:v>альдегиды, сернистые соединения</x:v>
      </x:c>
      <x:c r="N456" s="28" t="str">
        <x:v>прямое пересечение семейств не является единственным объяснением</x:v>
      </x:c>
      <x:c r="O456" s="28" t="str">
        <x:v>альдегиды</x:v>
      </x:c>
      <x:c r="P456" s="28" t="str">
        <x:v>общие ароматические соединения</x:v>
      </x:c>
      <x:c r="Q45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56" s="28" t="str">
        <x:v>минимальный</x:v>
      </x:c>
      <x:c r="S456" s="28" t="str">
        <x:v>высокожировая матрица с белком; эффективно переносит аромат в пралине и пастах</x:v>
      </x:c>
      <x:c r="T45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56" s="28" t="str">
        <x:v>Фундук имеет профиль «ореховый, жареный, сладкий, землистый и какаоподобный». Партнёр «boiled purple sweet potato»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56" s="28" t="str">
        <x:v>аллерген и чувствительность к прогорканию; пережаривание даёт дымную горечь</x:v>
      </x:c>
      <x:c r="W456" s="28" t="str">
        <x:v>соль, ваниль или карамель</x:v>
      </x:c>
      <x:c r="X456" s="28" t="str">
        <x:v>пралине, паста, выпечка, гарнир, соус, молочный или коктейльный компонент с boiled purple sweet potato</x:v>
      </x:c>
      <x:c r="Y456" s="28" t="str">
        <x:v>еда, десерты, соусы/маринады</x:v>
      </x:c>
      <x:c r="Z456" s="28" t="str">
        <x:v>Средняя</x:v>
      </x:c>
      <x:c r="AA456" s="28" t="str">
        <x:v>The Art &amp; Science of Foodpairing.pdf</x:v>
      </x:c>
      <x:c r="AB456" s="28" t="str">
        <x:v>The Art &amp; Science of Foodpairing.pdf: 332</x:v>
      </x:c>
      <x:c r="AC456" s="28" t="str">
        <x:v>Пара встречается как grid; научное объяснение сформировано по ароматическому профилю и пищевой матрице.</x:v>
      </x:c>
      <x:c r="AD456" s="28" t="n">
        <x:v>1</x:v>
      </x:c>
      <x:c r="AE456" s="28" t="n">
        <x:v>1</x:v>
      </x:c>
      <x:c r="AF456" s="28" t="n">
        <x:f>IF(Z456="Высокая",3,IF(Z456="Средняя",2,1))+AD456*2+MIN(AE456,3)</x:f>
        <x:v>5</x:v>
      </x:c>
    </x:row>
    <x:row r="457" ht="62" customHeight="1">
      <x:c r="A457" s="28" t="str">
        <x:v>NCT-0456</x:v>
      </x:c>
      <x:c r="B457" s="28" t="str">
        <x:v>фундук</x:v>
      </x:c>
      <x:c r="C457" s="28" t="str">
        <x:v>Еда и соусы</x:v>
      </x:c>
      <x:c r="D457" s="28" t="str">
        <x:v>фундук</x:v>
      </x:c>
      <x:c r="E457" s="28" t="str">
        <x:v>hazelnut</x:v>
      </x:c>
      <x:c r="F457" s="28" t="str">
        <x:v>Орехи и семена</x:v>
      </x:c>
      <x:c r="G457" s="28" t="str">
        <x:v>boiledcourgette</x:v>
      </x:c>
      <x:c r="H457" s="28" t="str">
        <x:v>boiledcourgette</x:v>
      </x:c>
      <x:c r="I457" s="28" t="str">
        <x:v>Овощи, бобовые и грибы</x:v>
      </x:c>
      <x:c r="J457" s="28" t="str">
        <x:v>ореховый, жареный, сладкий, землистый и какаоподобный</x:v>
      </x:c>
      <x:c r="K457" s="28" t="str">
        <x:v>зелёный, землистый или умами</x:v>
      </x:c>
      <x:c r="L457" s="28" t="str">
        <x:v>фильбертон, пиразины, фураны, альдегиды</x:v>
      </x:c>
      <x:c r="M457" s="28" t="str">
        <x:v>альдегиды, сернистые соединения</x:v>
      </x:c>
      <x:c r="N457" s="28" t="str">
        <x:v>прямое пересечение семейств не является единственным объяснением</x:v>
      </x:c>
      <x:c r="O457" s="28" t="str">
        <x:v>альдегиды</x:v>
      </x:c>
      <x:c r="P457" s="28" t="str">
        <x:v>общие ароматические соединения</x:v>
      </x:c>
      <x:c r="Q45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57" s="28" t="str">
        <x:v>минимальный</x:v>
      </x:c>
      <x:c r="S457" s="28" t="str">
        <x:v>высокожировая матрица с белком; эффективно переносит аромат в пралине и пастах</x:v>
      </x:c>
      <x:c r="T45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57" s="28" t="str">
        <x:v>Фундук имеет профиль «ореховый, жареный, сладкий, землистый и какаоподобный». Партнёр «boiledcourgette»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57" s="28" t="str">
        <x:v>аллерген и чувствительность к прогорканию; пережаривание даёт дымную горечь</x:v>
      </x:c>
      <x:c r="W457" s="28" t="str">
        <x:v>соль, ваниль или карамель</x:v>
      </x:c>
      <x:c r="X457" s="28" t="str">
        <x:v>пралине, паста, выпечка, гарнир, соус, молочный или коктейльный компонент с boiledcourgette</x:v>
      </x:c>
      <x:c r="Y457" s="28" t="str">
        <x:v>еда, десерты, соусы/маринады</x:v>
      </x:c>
      <x:c r="Z457" s="28" t="str">
        <x:v>Средняя</x:v>
      </x:c>
      <x:c r="AA457" s="28" t="str">
        <x:v>The Art &amp; Science of Foodpairing.pdf</x:v>
      </x:c>
      <x:c r="AB457" s="28" t="str">
        <x:v>The Art &amp; Science of Foodpairing.pdf: 332</x:v>
      </x:c>
      <x:c r="AC457" s="28" t="str">
        <x:v>Пара встречается как grid; научное объяснение сформировано по ароматическому профилю и пищевой матрице.</x:v>
      </x:c>
      <x:c r="AD457" s="28" t="n">
        <x:v>1</x:v>
      </x:c>
      <x:c r="AE457" s="28" t="n">
        <x:v>1</x:v>
      </x:c>
      <x:c r="AF457" s="28" t="n">
        <x:f>IF(Z457="Высокая",3,IF(Z457="Средняя",2,1))+AD457*2+MIN(AE457,3)</x:f>
        <x:v>5</x:v>
      </x:c>
    </x:row>
    <x:row r="458" ht="62" customHeight="1">
      <x:c r="A458" s="28" t="str">
        <x:v>NCT-0457</x:v>
      </x:c>
      <x:c r="B458" s="28" t="str">
        <x:v>фундук</x:v>
      </x:c>
      <x:c r="C458" s="28" t="str">
        <x:v>Универсальные</x:v>
      </x:c>
      <x:c r="D458" s="28" t="str">
        <x:v>фундук</x:v>
      </x:c>
      <x:c r="E458" s="28" t="str">
        <x:v>roasted hazelnut</x:v>
      </x:c>
      <x:c r="F458" s="28" t="str">
        <x:v>Орехи и семена</x:v>
      </x:c>
      <x:c r="G458" s="28" t="str">
        <x:v>brie and camembert</x:v>
      </x:c>
      <x:c r="H458" s="28" t="str">
        <x:v>Brie and Camembert</x:v>
      </x:c>
      <x:c r="I458" s="28" t="str">
        <x:v>Молочные продукты и сыры</x:v>
      </x:c>
      <x:c r="J458" s="28" t="str">
        <x:v>ореховый, жареный, сладкий, землистый и какаоподобный</x:v>
      </x:c>
      <x:c r="K458" s="28" t="str">
        <x:v>молочный, сливочный и ферментированный</x:v>
      </x:c>
      <x:c r="L458" s="28" t="str">
        <x:v>фильбертон, пиразины, фураны, альдегиды</x:v>
      </x:c>
      <x:c r="M458" s="28" t="str">
        <x:v>диацетил, жирные кислоты, лактоны</x:v>
      </x:c>
      <x:c r="N458" s="28" t="str">
        <x:v>прямое пересечение семейств не является единственным объяснением</x:v>
      </x:c>
      <x:c r="O458" s="28" t="str">
        <x:v>надежная общая ключевая молекула не подтверждена</x:v>
      </x:c>
      <x:c r="P458" s="28" t="str">
        <x:v>жировая экстракция и связывание полифенолов белком</x:v>
      </x:c>
      <x:c r="Q45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58" s="28" t="str">
        <x:v>минимальный</x:v>
      </x:c>
      <x:c r="S458" s="28" t="str">
        <x:v>высокожировая матрица с белком; эффективно переносит аромат в пралине и пастах Совпадающие жирные фазы облегчают перенос аромата, но могут сделать продукт тяжёлым.</x:v>
      </x:c>
      <x:c r="T45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58" s="28" t="str">
        <x:v>Фундук имеет профиль «ореховый, жареный, сладкий, землистый и какаоподобный». Партнёр «brie and camembert»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58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W458" s="28" t="str">
        <x:v>мёд, карамель или фруктовая кислота</x:v>
      </x:c>
      <x:c r="X458" s="28" t="str">
        <x:v>пралине, паста, выпечка, гарнир, соус, молочный или коктейльный компонент с brie and camembert</x:v>
      </x:c>
      <x:c r="Y458" s="28" t="str">
        <x:v>десерты</x:v>
      </x:c>
      <x:c r="Z458" s="28" t="str">
        <x:v>Средняя</x:v>
      </x:c>
      <x:c r="AA458" s="28" t="str">
        <x:v>The Art &amp; Science of Foodpairing.pdf</x:v>
      </x:c>
      <x:c r="AB458" s="28" t="str">
        <x:v>The Art &amp; Science of Foodpairing.pdf: 336</x:v>
      </x:c>
      <x:c r="AC458" s="28" t="str">
        <x:v>Пара встречается как grid; научное объяснение сформировано по ароматическому профилю и пищевой матрице.</x:v>
      </x:c>
      <x:c r="AD458" s="28" t="n">
        <x:v>1</x:v>
      </x:c>
      <x:c r="AE458" s="28" t="n">
        <x:v>2</x:v>
      </x:c>
      <x:c r="AF458" s="28" t="n">
        <x:f>IF(Z458="Высокая",3,IF(Z458="Средняя",2,1))+AD458*2+MIN(AE458,3)</x:f>
        <x:v>6</x:v>
      </x:c>
    </x:row>
    <x:row r="459" ht="62" customHeight="1">
      <x:c r="A459" s="28" t="str">
        <x:v>NCT-0458</x:v>
      </x:c>
      <x:c r="B459" s="28" t="str">
        <x:v>фундук</x:v>
      </x:c>
      <x:c r="C459" s="28" t="str">
        <x:v>Универсальные</x:v>
      </x:c>
      <x:c r="D459" s="28" t="str">
        <x:v>фундук</x:v>
      </x:c>
      <x:c r="E459" s="28" t="str">
        <x:v>hazelnut</x:v>
      </x:c>
      <x:c r="F459" s="28" t="str">
        <x:v>Орехи и семена</x:v>
      </x:c>
      <x:c r="G459" s="28" t="str">
        <x:v>buffalo mozzarella</x:v>
      </x:c>
      <x:c r="H459" s="28" t="str">
        <x:v>buffalo mozzarella</x:v>
      </x:c>
      <x:c r="I459" s="28" t="str">
        <x:v>Молочные продукты и сыры</x:v>
      </x:c>
      <x:c r="J459" s="28" t="str">
        <x:v>ореховый, жареный, сладкий, землистый и какаоподобный</x:v>
      </x:c>
      <x:c r="K459" s="28" t="str">
        <x:v>молочный, сливочный и ферментированный</x:v>
      </x:c>
      <x:c r="L459" s="28" t="str">
        <x:v>фильбертон, пиразины, фураны, альдегиды</x:v>
      </x:c>
      <x:c r="M459" s="28" t="str">
        <x:v>диацетил, жирные кислоты, лактоны</x:v>
      </x:c>
      <x:c r="N459" s="28" t="str">
        <x:v>прямое пересечение семейств не является единственным объяснением</x:v>
      </x:c>
      <x:c r="O459" s="28" t="str">
        <x:v>надежная общая ключевая молекула не подтверждена</x:v>
      </x:c>
      <x:c r="P459" s="28" t="str">
        <x:v>жировая экстракция и связывание полифенолов белком</x:v>
      </x:c>
      <x:c r="Q45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59" s="28" t="str">
        <x:v>минимальный</x:v>
      </x:c>
      <x:c r="S459" s="28" t="str">
        <x:v>высокожировая матрица с белком; эффективно переносит аромат в пралине и пастах Совпадающие жирные фазы облегчают перенос аромата, но могут сделать продукт тяжёлым.</x:v>
      </x:c>
      <x:c r="T45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59" s="28" t="str">
        <x:v>Фундук имеет профиль «ореховый, жареный, сладкий, землистый и какаоподобный». Партнёр «buffalo mozzarella»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59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W459" s="28" t="str">
        <x:v>мёд, карамель или фруктовая кислота</x:v>
      </x:c>
      <x:c r="X459" s="28" t="str">
        <x:v>пралине, паста, выпечка, гарнир, соус, молочный или коктейльный компонент с buffalo mozzarella</x:v>
      </x:c>
      <x:c r="Y459" s="28" t="str">
        <x:v>десерты</x:v>
      </x:c>
      <x:c r="Z459" s="28" t="str">
        <x:v>Средняя</x:v>
      </x:c>
      <x:c r="AA459" s="28" t="str">
        <x:v>The Art &amp; Science of Foodpairing.pdf</x:v>
      </x:c>
      <x:c r="AB459" s="28" t="str">
        <x:v>The Art &amp; Science of Foodpairing.pdf: 332</x:v>
      </x:c>
      <x:c r="AC459" s="28" t="str">
        <x:v>Пара встречается как grid; научное объяснение сформировано по ароматическому профилю и пищевой матрице.</x:v>
      </x:c>
      <x:c r="AD459" s="28" t="n">
        <x:v>1</x:v>
      </x:c>
      <x:c r="AE459" s="28" t="n">
        <x:v>1</x:v>
      </x:c>
      <x:c r="AF459" s="28" t="n">
        <x:f>IF(Z459="Высокая",3,IF(Z459="Средняя",2,1))+AD459*2+MIN(AE459,3)</x:f>
        <x:v>5</x:v>
      </x:c>
    </x:row>
    <x:row r="460" ht="62" customHeight="1">
      <x:c r="A460" s="28" t="str">
        <x:v>NCT-0459</x:v>
      </x:c>
      <x:c r="B460" s="28" t="str">
        <x:v>фундук</x:v>
      </x:c>
      <x:c r="C460" s="28" t="str">
        <x:v>Еда и соусы</x:v>
      </x:c>
      <x:c r="D460" s="28" t="str">
        <x:v>фундук</x:v>
      </x:c>
      <x:c r="E460" s="28" t="str">
        <x:v>roasted hazelnut</x:v>
      </x:c>
      <x:c r="F460" s="28" t="str">
        <x:v>Орехи и семена</x:v>
      </x:c>
      <x:c r="G460" s="28" t="str">
        <x:v>carrot</x:v>
      </x:c>
      <x:c r="H460" s="28" t="str">
        <x:v>carrot</x:v>
      </x:c>
      <x:c r="I460" s="28" t="str">
        <x:v>Овощи, бобовые и грибы</x:v>
      </x:c>
      <x:c r="J460" s="28" t="str">
        <x:v>ореховый, жареный, сладкий, землистый и какаоподобный</x:v>
      </x:c>
      <x:c r="K460" s="28" t="str">
        <x:v>зелёный, землистый или умами</x:v>
      </x:c>
      <x:c r="L460" s="28" t="str">
        <x:v>фильбертон, пиразины, фураны, альдегиды</x:v>
      </x:c>
      <x:c r="M460" s="28" t="str">
        <x:v>альдегиды, сернистые соединения</x:v>
      </x:c>
      <x:c r="N460" s="28" t="str">
        <x:v>прямое пересечение семейств не является единственным объяснением</x:v>
      </x:c>
      <x:c r="O460" s="28" t="str">
        <x:v>альдегиды</x:v>
      </x:c>
      <x:c r="P460" s="28" t="str">
        <x:v>общие ароматические соединения</x:v>
      </x:c>
      <x:c r="Q46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60" s="28" t="str">
        <x:v>минимальный</x:v>
      </x:c>
      <x:c r="S460" s="28" t="str">
        <x:v>высокожировая матрица с белком; эффективно переносит аромат в пралине и пастах</x:v>
      </x:c>
      <x:c r="T46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60" s="28" t="str">
        <x:v>Фундук имеет профиль «ореховый, жареный, сладкий, землистый и какаоподобный». Партнёр «carrot»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60" s="28" t="str">
        <x:v>аллерген и чувствительность к прогорканию; пережаривание даёт дымную горечь</x:v>
      </x:c>
      <x:c r="W460" s="28" t="str">
        <x:v>соль, ваниль или карамель</x:v>
      </x:c>
      <x:c r="X460" s="28" t="str">
        <x:v>пралине, паста, выпечка, гарнир, соус, молочный или коктейльный компонент с carrot</x:v>
      </x:c>
      <x:c r="Y460" s="28" t="str">
        <x:v>еда, десерты, соусы/маринады</x:v>
      </x:c>
      <x:c r="Z460" s="28" t="str">
        <x:v>Средняя</x:v>
      </x:c>
      <x:c r="AA460" s="28" t="str">
        <x:v>The Art &amp; Science of Foodpairing.pdf</x:v>
      </x:c>
      <x:c r="AB460" s="28" t="str">
        <x:v>The Art &amp; Science of Foodpairing.pdf: 232</x:v>
      </x:c>
      <x:c r="AC460" s="28" t="str">
        <x:v>Пара встречается как grid; научное объяснение сформировано по ароматическому профилю и пищевой матрице.</x:v>
      </x:c>
      <x:c r="AD460" s="28" t="n">
        <x:v>1</x:v>
      </x:c>
      <x:c r="AE460" s="28" t="n">
        <x:v>1</x:v>
      </x:c>
      <x:c r="AF460" s="28" t="n">
        <x:f>IF(Z460="Высокая",3,IF(Z460="Средняя",2,1))+AD460*2+MIN(AE460,3)</x:f>
        <x:v>5</x:v>
      </x:c>
    </x:row>
    <x:row r="461" ht="62" customHeight="1">
      <x:c r="A461" s="28" t="str">
        <x:v>NCT-0460</x:v>
      </x:c>
      <x:c r="B461" s="28" t="str">
        <x:v>фундук</x:v>
      </x:c>
      <x:c r="C461" s="28" t="str">
        <x:v>Универсальные</x:v>
      </x:c>
      <x:c r="D461" s="28" t="str">
        <x:v>фундук</x:v>
      </x:c>
      <x:c r="E461" s="28" t="str">
        <x:v>hazelnut | roasted hazelnut</x:v>
      </x:c>
      <x:c r="F461" s="28" t="str">
        <x:v>Орехи и семена</x:v>
      </x:c>
      <x:c r="G461" s="28" t="str">
        <x:v>chilli peppers</x:v>
      </x:c>
      <x:c r="H461" s="28" t="str">
        <x:v>chilli peppers</x:v>
      </x:c>
      <x:c r="I461" s="28" t="str">
        <x:v>Специи</x:v>
      </x:c>
      <x:c r="J461" s="28" t="str">
        <x:v>ореховый, жареный, сладкий, землистый и какаоподобный</x:v>
      </x:c>
      <x:c r="K461" s="28" t="str">
        <x:v>пряный и древесный</x:v>
      </x:c>
      <x:c r="L461" s="28" t="str">
        <x:v>фильбертон, пиразины, фураны, альдегиды</x:v>
      </x:c>
      <x:c r="M461" s="28" t="str">
        <x:v>терпены, фенилпропаноиды</x:v>
      </x:c>
      <x:c r="N461" s="28" t="str">
        <x:v>прямое пересечение семейств не является единственным объяснением</x:v>
      </x:c>
      <x:c r="O461" s="28" t="str">
        <x:v>надежная общая ключевая молекула не подтверждена</x:v>
      </x:c>
      <x:c r="P461" s="28" t="str">
        <x:v>сенсорная комплементарность</x:v>
      </x:c>
      <x:c r="Q46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61" s="28" t="str">
        <x:v>минимальный</x:v>
      </x:c>
      <x:c r="S461" s="28" t="str">
        <x:v>высокожировая матрица с белком; эффективно переносит аромат в пралине и пастах</x:v>
      </x:c>
      <x:c r="T46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61" s="28" t="str">
        <x:v>Фундук имеет профиль «ореховый, жареный, сладкий, землистый и какаоподобный». Партнёр «chilli peppers»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61" s="28" t="str">
        <x:v>аллерген и чувствительность к прогорканию; пережаривание даёт дымную горечь</x:v>
      </x:c>
      <x:c r="W461" s="28" t="str">
        <x:v>ваниль, апельсин или мёд</x:v>
      </x:c>
      <x:c r="X461" s="28" t="str">
        <x:v>пралине, паста, выпечка, гарнир, соус, молочный или коктейльный компонент с chilli peppers</x:v>
      </x:c>
      <x:c r="Y461" s="28" t="str">
        <x:v>десерты</x:v>
      </x:c>
      <x:c r="Z461" s="28" t="str">
        <x:v>Средняя</x:v>
      </x:c>
      <x:c r="AA461" s="28" t="str">
        <x:v>The Art &amp; Science of Foodpairing.pdf</x:v>
      </x:c>
      <x:c r="AB461" s="28" t="str">
        <x:v>The Art &amp; Science of Foodpairing.pdf: 94</x:v>
      </x:c>
      <x:c r="AC461" s="28" t="str">
        <x:v>Пара встречается как grid; научное объяснение сформировано по ароматическому профилю и пищевой матрице.</x:v>
      </x:c>
      <x:c r="AD461" s="28" t="n">
        <x:v>1</x:v>
      </x:c>
      <x:c r="AE461" s="28" t="n">
        <x:v>2</x:v>
      </x:c>
      <x:c r="AF461" s="28" t="n">
        <x:f>IF(Z461="Высокая",3,IF(Z461="Средняя",2,1))+AD461*2+MIN(AE461,3)</x:f>
        <x:v>6</x:v>
      </x:c>
    </x:row>
    <x:row r="462" ht="62" customHeight="1">
      <x:c r="A462" s="28" t="str">
        <x:v>NCT-0461</x:v>
      </x:c>
      <x:c r="B462" s="28" t="str">
        <x:v>фундук</x:v>
      </x:c>
      <x:c r="C462" s="28" t="str">
        <x:v>Еда и соусы</x:v>
      </x:c>
      <x:c r="D462" s="28" t="str">
        <x:v>фундук</x:v>
      </x:c>
      <x:c r="E462" s="28" t="str">
        <x:v>hazelnut</x:v>
      </x:c>
      <x:c r="F462" s="28" t="str">
        <x:v>Орехи и семена</x:v>
      </x:c>
      <x:c r="G462" s="28" t="str">
        <x:v>cooked mussels</x:v>
      </x:c>
      <x:c r="H462" s="28" t="str">
        <x:v>cooked mussels</x:v>
      </x:c>
      <x:c r="I462" s="28" t="str">
        <x:v>Рыба и морепродукты</x:v>
      </x:c>
      <x:c r="J462" s="28" t="str">
        <x:v>ореховый, жареный, сладкий, землистый и какаоподобный</x:v>
      </x:c>
      <x:c r="K462" s="28" t="str">
        <x:v>морской, солоноватый и умами</x:v>
      </x:c>
      <x:c r="L462" s="28" t="str">
        <x:v>фильбертон, пиразины, фураны, альдегиды</x:v>
      </x:c>
      <x:c r="M462" s="28" t="str">
        <x:v>альдегиды, амины</x:v>
      </x:c>
      <x:c r="N462" s="28" t="str">
        <x:v>прямое пересечение семейств не является единственным объяснением</x:v>
      </x:c>
      <x:c r="O462" s="28" t="str">
        <x:v>альдегиды</x:v>
      </x:c>
      <x:c r="P462" s="28" t="str">
        <x:v>общие ароматические соединения, солёно-умами контраст</x:v>
      </x:c>
      <x:c r="Q46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62" s="28" t="str">
        <x:v>минимальный</x:v>
      </x:c>
      <x:c r="S462" s="28" t="str">
        <x:v>высокожировая матрица с белком; эффективно переносит аромат в пралине и пастах</x:v>
      </x:c>
      <x:c r="T46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62" s="28" t="str">
        <x:v>Фундук имеет профиль «ореховый, жареный, сладкий, землистый и какаоподобный». Партнёр «cooked mussels»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62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W462" s="28" t="str">
        <x:v>соль, соевый соус, коричневое масло или специя</x:v>
      </x:c>
      <x:c r="X462" s="28" t="str">
        <x:v>пралине, паста, выпечка, гарнир, соус, молочный или коктейльный компонент с cooked mussels</x:v>
      </x:c>
      <x:c r="Y462" s="28" t="str">
        <x:v>еда, десерты, соусы/маринады</x:v>
      </x:c>
      <x:c r="Z462" s="28" t="str">
        <x:v>Средняя</x:v>
      </x:c>
      <x:c r="AA462" s="28" t="str">
        <x:v>The Art &amp; Science of Foodpairing.pdf</x:v>
      </x:c>
      <x:c r="AB462" s="28" t="str">
        <x:v>The Art &amp; Science of Foodpairing.pdf: 332</x:v>
      </x:c>
      <x:c r="AC462" s="28" t="str">
        <x:v>Пара встречается как grid; научное объяснение сформировано по ароматическому профилю и пищевой матрице.</x:v>
      </x:c>
      <x:c r="AD462" s="28" t="n">
        <x:v>1</x:v>
      </x:c>
      <x:c r="AE462" s="28" t="n">
        <x:v>1</x:v>
      </x:c>
      <x:c r="AF462" s="28" t="n">
        <x:f>IF(Z462="Высокая",3,IF(Z462="Средняя",2,1))+AD462*2+MIN(AE462,3)</x:f>
        <x:v>5</x:v>
      </x:c>
    </x:row>
    <x:row r="463" ht="62" customHeight="1">
      <x:c r="A463" s="28" t="str">
        <x:v>NCT-0462</x:v>
      </x:c>
      <x:c r="B463" s="28" t="str">
        <x:v>фундук</x:v>
      </x:c>
      <x:c r="C463" s="28" t="str">
        <x:v>Универсальные</x:v>
      </x:c>
      <x:c r="D463" s="28" t="str">
        <x:v>фундук</x:v>
      </x:c>
      <x:c r="E463" s="28" t="str">
        <x:v>hazelnut</x:v>
      </x:c>
      <x:c r="F463" s="28" t="str">
        <x:v>Орехи и семена</x:v>
      </x:c>
      <x:c r="G463" s="28" t="str">
        <x:v>cow's milk mozzarella</x:v>
      </x:c>
      <x:c r="H463" s="28" t="str">
        <x:v>cow's milk mozzarella</x:v>
      </x:c>
      <x:c r="I463" s="28" t="str">
        <x:v>Молочные продукты и сыры</x:v>
      </x:c>
      <x:c r="J463" s="28" t="str">
        <x:v>ореховый, жареный, сладкий, землистый и какаоподобный</x:v>
      </x:c>
      <x:c r="K463" s="28" t="str">
        <x:v>молочный, сливочный и ферментированный</x:v>
      </x:c>
      <x:c r="L463" s="28" t="str">
        <x:v>фильбертон, пиразины, фураны, альдегиды</x:v>
      </x:c>
      <x:c r="M463" s="28" t="str">
        <x:v>диацетил, жирные кислоты, лактоны</x:v>
      </x:c>
      <x:c r="N463" s="28" t="str">
        <x:v>прямое пересечение семейств не является единственным объяснением</x:v>
      </x:c>
      <x:c r="O463" s="28" t="str">
        <x:v>надежная общая ключевая молекула не подтверждена</x:v>
      </x:c>
      <x:c r="P463" s="28" t="str">
        <x:v>жировая экстракция и связывание полифенолов белком</x:v>
      </x:c>
      <x:c r="Q46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63" s="28" t="str">
        <x:v>минимальный</x:v>
      </x:c>
      <x:c r="S463" s="28" t="str">
        <x:v>высокожировая матрица с белком; эффективно переносит аромат в пралине и пастах Совпадающие жирные фазы облегчают перенос аромата, но могут сделать продукт тяжёлым.</x:v>
      </x:c>
      <x:c r="T46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63" s="28" t="str">
        <x:v>Фундук имеет профиль «ореховый, жареный, сладкий, землистый и какаоподобный». Партнёр «cow's milk mozzarella»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63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W463" s="28" t="str">
        <x:v>мёд, карамель или фруктовая кислота</x:v>
      </x:c>
      <x:c r="X463" s="28" t="str">
        <x:v>пралине, паста, выпечка, гарнир, соус, молочный или коктейльный компонент с cow's milk mozzarella</x:v>
      </x:c>
      <x:c r="Y463" s="28" t="str">
        <x:v>десерты</x:v>
      </x:c>
      <x:c r="Z463" s="28" t="str">
        <x:v>Средняя</x:v>
      </x:c>
      <x:c r="AA463" s="28" t="str">
        <x:v>The Art &amp; Science of Foodpairing.pdf</x:v>
      </x:c>
      <x:c r="AB463" s="28" t="str">
        <x:v>The Art &amp; Science of Foodpairing.pdf: 332</x:v>
      </x:c>
      <x:c r="AC463" s="28" t="str">
        <x:v>Пара встречается как grid; научное объяснение сформировано по ароматическому профилю и пищевой матрице.</x:v>
      </x:c>
      <x:c r="AD463" s="28" t="n">
        <x:v>1</x:v>
      </x:c>
      <x:c r="AE463" s="28" t="n">
        <x:v>1</x:v>
      </x:c>
      <x:c r="AF463" s="28" t="n">
        <x:f>IF(Z463="Высокая",3,IF(Z463="Средняя",2,1))+AD463*2+MIN(AE463,3)</x:f>
        <x:v>5</x:v>
      </x:c>
    </x:row>
    <x:row r="464" ht="62" customHeight="1">
      <x:c r="A464" s="28" t="str">
        <x:v>NCT-0463</x:v>
      </x:c>
      <x:c r="B464" s="28" t="str">
        <x:v>фундук</x:v>
      </x:c>
      <x:c r="C464" s="28" t="str">
        <x:v>Еда и соусы</x:v>
      </x:c>
      <x:c r="D464" s="28" t="str">
        <x:v>фундук</x:v>
      </x:c>
      <x:c r="E464" s="28" t="str">
        <x:v>hazelnut</x:v>
      </x:c>
      <x:c r="F464" s="28" t="str">
        <x:v>Орехи и семена</x:v>
      </x:c>
      <x:c r="G464" s="28" t="str">
        <x:v>crayfish</x:v>
      </x:c>
      <x:c r="H464" s="28" t="str">
        <x:v>crayfish</x:v>
      </x:c>
      <x:c r="I464" s="28" t="str">
        <x:v>Рыба и морепродукты</x:v>
      </x:c>
      <x:c r="J464" s="28" t="str">
        <x:v>ореховый, жареный, сладкий, землистый и какаоподобный</x:v>
      </x:c>
      <x:c r="K464" s="28" t="str">
        <x:v>морской, солоноватый и умами</x:v>
      </x:c>
      <x:c r="L464" s="28" t="str">
        <x:v>фильбертон, пиразины, фураны, альдегиды</x:v>
      </x:c>
      <x:c r="M464" s="28" t="str">
        <x:v>альдегиды, амины</x:v>
      </x:c>
      <x:c r="N464" s="28" t="str">
        <x:v>прямое пересечение семейств не является единственным объяснением</x:v>
      </x:c>
      <x:c r="O464" s="28" t="str">
        <x:v>альдегиды</x:v>
      </x:c>
      <x:c r="P464" s="28" t="str">
        <x:v>общие ароматические соединения, солёно-умами контраст</x:v>
      </x:c>
      <x:c r="Q46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64" s="28" t="str">
        <x:v>минимальный</x:v>
      </x:c>
      <x:c r="S464" s="28" t="str">
        <x:v>высокожировая матрица с белком; эффективно переносит аромат в пралине и пастах</x:v>
      </x:c>
      <x:c r="T46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64" s="28" t="str">
        <x:v>Фундук имеет профиль «ореховый, жареный, сладкий, землистый и какаоподобный». Партнёр «crayfish»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64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W464" s="28" t="str">
        <x:v>соль, соевый соус, коричневое масло или специя</x:v>
      </x:c>
      <x:c r="X464" s="28" t="str">
        <x:v>пралине, паста, выпечка, гарнир, соус, молочный или коктейльный компонент с crayfish</x:v>
      </x:c>
      <x:c r="Y464" s="28" t="str">
        <x:v>еда, десерты, соусы/маринады</x:v>
      </x:c>
      <x:c r="Z464" s="28" t="str">
        <x:v>Средняя</x:v>
      </x:c>
      <x:c r="AA464" s="28" t="str">
        <x:v>The Art &amp; Science of Foodpairing.pdf</x:v>
      </x:c>
      <x:c r="AB464" s="28" t="str">
        <x:v>The Art &amp; Science of Foodpairing.pdf: 332</x:v>
      </x:c>
      <x:c r="AC464" s="28" t="str">
        <x:v>Пара встречается как grid; научное объяснение сформировано по ароматическому профилю и пищевой матрице.</x:v>
      </x:c>
      <x:c r="AD464" s="28" t="n">
        <x:v>1</x:v>
      </x:c>
      <x:c r="AE464" s="28" t="n">
        <x:v>1</x:v>
      </x:c>
      <x:c r="AF464" s="28" t="n">
        <x:f>IF(Z464="Высокая",3,IF(Z464="Средняя",2,1))+AD464*2+MIN(AE464,3)</x:f>
        <x:v>5</x:v>
      </x:c>
    </x:row>
    <x:row r="465" ht="62" customHeight="1">
      <x:c r="A465" s="28" t="str">
        <x:v>NCT-0464</x:v>
      </x:c>
      <x:c r="B465" s="28" t="str">
        <x:v>фундук</x:v>
      </x:c>
      <x:c r="C465" s="28" t="str">
        <x:v>Еда и соусы</x:v>
      </x:c>
      <x:c r="D465" s="28" t="str">
        <x:v>фундук</x:v>
      </x:c>
      <x:c r="E465" s="28" t="str">
        <x:v>hazelnut</x:v>
      </x:c>
      <x:c r="F465" s="28" t="str">
        <x:v>Орехи и семена</x:v>
      </x:c>
      <x:c r="G465" s="28" t="str">
        <x:v>dry-aged beef</x:v>
      </x:c>
      <x:c r="H465" s="28" t="str">
        <x:v>dry-aged beef</x:v>
      </x:c>
      <x:c r="I465" s="28" t="str">
        <x:v>Мясо и птица</x:v>
      </x:c>
      <x:c r="J465" s="28" t="str">
        <x:v>ореховый, жареный, сладкий, землистый и какаоподобный</x:v>
      </x:c>
      <x:c r="K465" s="28" t="str">
        <x:v>жареный, мясной и умами</x:v>
      </x:c>
      <x:c r="L465" s="28" t="str">
        <x:v>фильбертон, пиразины, фураны, альдегиды</x:v>
      </x:c>
      <x:c r="M465" s="28" t="str">
        <x:v>пиразины, сернистые соединения</x:v>
      </x:c>
      <x:c r="N465" s="28" t="str">
        <x:v>жареный</x:v>
      </x:c>
      <x:c r="O465" s="28" t="str">
        <x:v>пиразины</x:v>
      </x:c>
      <x:c r="P465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46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65" s="28" t="str">
        <x:v>минимальный</x:v>
      </x:c>
      <x:c r="S465" s="28" t="str">
        <x:v>высокожировая матрица с белком; эффективно переносит аромат в пралине и пастах</x:v>
      </x:c>
      <x:c r="T46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65" s="28" t="str">
        <x:v>Фундук имеет профиль «ореховый, жареный, сладкий, землистый и какаоподобный». Партнёр «dry-aged 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V465" s="28" t="str">
        <x:v>аллерген и чувствительность к прогорканию; пережаривание даёт дымную горечь</x:v>
      </x:c>
      <x:c r="W465" s="28" t="str">
        <x:v>соль, соевый соус, коричневое масло или специя</x:v>
      </x:c>
      <x:c r="X465" s="28" t="str">
        <x:v>пралине, паста, выпечка, гарнир, соус, молочный или коктейльный компонент с dry-aged beef</x:v>
      </x:c>
      <x:c r="Y465" s="28" t="str">
        <x:v>еда, десерты, соусы/маринады</x:v>
      </x:c>
      <x:c r="Z465" s="28" t="str">
        <x:v>Средняя</x:v>
      </x:c>
      <x:c r="AA465" s="28" t="str">
        <x:v>The Art &amp; Science of Foodpairing.pdf</x:v>
      </x:c>
      <x:c r="AB465" s="28" t="str">
        <x:v>The Art &amp; Science of Foodpairing.pdf: 332</x:v>
      </x:c>
      <x:c r="AC465" s="28" t="str">
        <x:v>Пара встречается как grid; научное объяснение сформировано по ароматическому профилю и пищевой матрице.</x:v>
      </x:c>
      <x:c r="AD465" s="28" t="n">
        <x:v>1</x:v>
      </x:c>
      <x:c r="AE465" s="28" t="n">
        <x:v>1</x:v>
      </x:c>
      <x:c r="AF465" s="28" t="n">
        <x:f>IF(Z465="Высокая",3,IF(Z465="Средняя",2,1))+AD465*2+MIN(AE465,3)</x:f>
        <x:v>5</x:v>
      </x:c>
    </x:row>
    <x:row r="466" ht="62" customHeight="1">
      <x:c r="A466" s="28" t="str">
        <x:v>NCT-0465</x:v>
      </x:c>
      <x:c r="B466" s="28" t="str">
        <x:v>фундук</x:v>
      </x:c>
      <x:c r="C466" s="28" t="str">
        <x:v>Еда и соусы</x:v>
      </x:c>
      <x:c r="D466" s="28" t="str">
        <x:v>фундук</x:v>
      </x:c>
      <x:c r="E466" s="28" t="str">
        <x:v>hazelnut</x:v>
      </x:c>
      <x:c r="F466" s="28" t="str">
        <x:v>Орехи и семена</x:v>
      </x:c>
      <x:c r="G466" s="28" t="str">
        <x:v>dry-agedbeef</x:v>
      </x:c>
      <x:c r="H466" s="28" t="str">
        <x:v>dry-agedbeef</x:v>
      </x:c>
      <x:c r="I466" s="28" t="str">
        <x:v>Мясо и птица</x:v>
      </x:c>
      <x:c r="J466" s="28" t="str">
        <x:v>ореховый, жареный, сладкий, землистый и какаоподобный</x:v>
      </x:c>
      <x:c r="K466" s="28" t="str">
        <x:v>жареный, мясной и умами</x:v>
      </x:c>
      <x:c r="L466" s="28" t="str">
        <x:v>фильбертон, пиразины, фураны, альдегиды</x:v>
      </x:c>
      <x:c r="M466" s="28" t="str">
        <x:v>пиразины, сернистые соединения</x:v>
      </x:c>
      <x:c r="N466" s="28" t="str">
        <x:v>жареный</x:v>
      </x:c>
      <x:c r="O466" s="28" t="str">
        <x:v>пиразины</x:v>
      </x:c>
      <x:c r="P466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46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66" s="28" t="str">
        <x:v>минимальный</x:v>
      </x:c>
      <x:c r="S466" s="28" t="str">
        <x:v>высокожировая матрица с белком; эффективно переносит аромат в пралине и пастах</x:v>
      </x:c>
      <x:c r="T46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66" s="28" t="str">
        <x:v>Фундук имеет профиль «ореховый, жареный, сладкий, землистый и какаоподобный». Партнёр «dry-agedbeef»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V466" s="28" t="str">
        <x:v>аллерген и чувствительность к прогорканию; пережаривание даёт дымную горечь</x:v>
      </x:c>
      <x:c r="W466" s="28" t="str">
        <x:v>соль, соевый соус, коричневое масло или специя</x:v>
      </x:c>
      <x:c r="X466" s="28" t="str">
        <x:v>пралине, паста, выпечка, гарнир, соус, молочный или коктейльный компонент с dry-agedbeef</x:v>
      </x:c>
      <x:c r="Y466" s="28" t="str">
        <x:v>еда, десерты, соусы/маринады</x:v>
      </x:c>
      <x:c r="Z466" s="28" t="str">
        <x:v>Средняя</x:v>
      </x:c>
      <x:c r="AA466" s="28" t="str">
        <x:v>The Art &amp; Science of Foodpairing.pdf</x:v>
      </x:c>
      <x:c r="AB466" s="28" t="str">
        <x:v>The Art &amp; Science of Foodpairing.pdf: 332</x:v>
      </x:c>
      <x:c r="AC466" s="28" t="str">
        <x:v>Пара встречается как grid; научное объяснение сформировано по ароматическому профилю и пищевой матрице.</x:v>
      </x:c>
      <x:c r="AD466" s="28" t="n">
        <x:v>1</x:v>
      </x:c>
      <x:c r="AE466" s="28" t="n">
        <x:v>1</x:v>
      </x:c>
      <x:c r="AF466" s="28" t="n">
        <x:f>IF(Z466="Высокая",3,IF(Z466="Средняя",2,1))+AD466*2+MIN(AE466,3)</x:f>
        <x:v>5</x:v>
      </x:c>
    </x:row>
    <x:row r="467" ht="62" customHeight="1">
      <x:c r="A467" s="28" t="str">
        <x:v>NCT-0466</x:v>
      </x:c>
      <x:c r="B467" s="28" t="str">
        <x:v>фундук</x:v>
      </x:c>
      <x:c r="C467" s="28" t="str">
        <x:v>Десерты и выпечка</x:v>
      </x:c>
      <x:c r="D467" s="28" t="str">
        <x:v>фундук</x:v>
      </x:c>
      <x:c r="E467" s="28" t="str">
        <x:v>hazelnut</x:v>
      </x:c>
      <x:c r="F467" s="28" t="str">
        <x:v>Орехи и семена</x:v>
      </x:c>
      <x:c r="G467" s="28" t="str">
        <x:v>elderberryjuice</x:v>
      </x:c>
      <x:c r="H467" s="28" t="str">
        <x:v>elderberryjuice</x:v>
      </x:c>
      <x:c r="I467" s="28" t="str">
        <x:v>Фрукты и ягоды</x:v>
      </x:c>
      <x:c r="J467" s="28" t="str">
        <x:v>ореховый, жареный, сладкий, землистый и какаоподобный</x:v>
      </x:c>
      <x:c r="K467" s="28" t="str">
        <x:v>фруктовый, цветочный и свежий</x:v>
      </x:c>
      <x:c r="L467" s="28" t="str">
        <x:v>фильбертон, пиразины, фураны, альдегиды</x:v>
      </x:c>
      <x:c r="M467" s="28" t="str">
        <x:v>альдегиды, эфиры</x:v>
      </x:c>
      <x:c r="N467" s="28" t="str">
        <x:v>прямое пересечение семейств не является единственным объяснением</x:v>
      </x:c>
      <x:c r="O467" s="28" t="str">
        <x:v>альдегиды</x:v>
      </x:c>
      <x:c r="P467" s="28" t="str">
        <x:v>общие ароматические соединения, контраст кислоты и жирной/горькой матрицы</x:v>
      </x:c>
      <x:c r="Q46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67" s="28" t="str">
        <x:v>минимальный</x:v>
      </x:c>
      <x:c r="S467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46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67" s="28" t="str">
        <x:v>Фундук имеет профиль «ореховый, жареный, сладкий, землистый и какаоподобный». Партнёр «elderberryjuice»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67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467" s="28" t="str">
        <x:v>ваниль, цитрус или молочный жир</x:v>
      </x:c>
      <x:c r="X467" s="28" t="str">
        <x:v>пралине, паста, выпечка, гарнир, соус, молочный или коктейльный компонент с elderberryjuice</x:v>
      </x:c>
      <x:c r="Y467" s="28" t="str">
        <x:v>десерты</x:v>
      </x:c>
      <x:c r="Z467" s="28" t="str">
        <x:v>Средняя</x:v>
      </x:c>
      <x:c r="AA467" s="28" t="str">
        <x:v>The Art &amp; Science of Foodpairing.pdf</x:v>
      </x:c>
      <x:c r="AB467" s="28" t="str">
        <x:v>The Art &amp; Science of Foodpairing.pdf: 332</x:v>
      </x:c>
      <x:c r="AC467" s="28" t="str">
        <x:v>Пара встречается как grid; научное объяснение сформировано по ароматическому профилю и пищевой матрице.</x:v>
      </x:c>
      <x:c r="AD467" s="28" t="n">
        <x:v>1</x:v>
      </x:c>
      <x:c r="AE467" s="28" t="n">
        <x:v>1</x:v>
      </x:c>
      <x:c r="AF467" s="28" t="n">
        <x:f>IF(Z467="Высокая",3,IF(Z467="Средняя",2,1))+AD467*2+MIN(AE467,3)</x:f>
        <x:v>5</x:v>
      </x:c>
    </x:row>
    <x:row r="468" ht="62" customHeight="1">
      <x:c r="A468" s="28" t="str">
        <x:v>NCT-0467</x:v>
      </x:c>
      <x:c r="B468" s="28" t="str">
        <x:v>фундук</x:v>
      </x:c>
      <x:c r="C468" s="28" t="str">
        <x:v>Десерты и выпечка</x:v>
      </x:c>
      <x:c r="D468" s="28" t="str">
        <x:v>фундук</x:v>
      </x:c>
      <x:c r="E468" s="28" t="str">
        <x:v>hazelnut</x:v>
      </x:c>
      <x:c r="F468" s="28" t="str">
        <x:v>Орехи и семена</x:v>
      </x:c>
      <x:c r="G468" s="28" t="str">
        <x:v>finger lime</x:v>
      </x:c>
      <x:c r="H468" s="28" t="str">
        <x:v>finger lime</x:v>
      </x:c>
      <x:c r="I468" s="28" t="str">
        <x:v>Фрукты и ягоды</x:v>
      </x:c>
      <x:c r="J468" s="28" t="str">
        <x:v>ореховый, жареный, сладкий, землистый и какаоподобный</x:v>
      </x:c>
      <x:c r="K468" s="28" t="str">
        <x:v>фруктовый, цветочный и свежий</x:v>
      </x:c>
      <x:c r="L468" s="28" t="str">
        <x:v>фильбертон, пиразины, фураны, альдегиды</x:v>
      </x:c>
      <x:c r="M468" s="28" t="str">
        <x:v>альдегиды, эфиры</x:v>
      </x:c>
      <x:c r="N468" s="28" t="str">
        <x:v>прямое пересечение семейств не является единственным объяснением</x:v>
      </x:c>
      <x:c r="O468" s="28" t="str">
        <x:v>альдегиды</x:v>
      </x:c>
      <x:c r="P468" s="28" t="str">
        <x:v>общие ароматические соединения, контраст кислоты и жирной/горькой матрицы</x:v>
      </x:c>
      <x:c r="Q46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68" s="28" t="str">
        <x:v>минимальный</x:v>
      </x:c>
      <x:c r="S468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46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68" s="28" t="str">
        <x:v>Фундук имеет профиль «ореховый, жареный, сладкий, землистый и какаоподобный». Партнёр «finger lime»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68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468" s="28" t="str">
        <x:v>ваниль, цитрус или молочный жир</x:v>
      </x:c>
      <x:c r="X468" s="28" t="str">
        <x:v>пралине, паста, выпечка, гарнир, соус, молочный или коктейльный компонент с finger lime</x:v>
      </x:c>
      <x:c r="Y468" s="28" t="str">
        <x:v>десерты</x:v>
      </x:c>
      <x:c r="Z468" s="28" t="str">
        <x:v>Средняя</x:v>
      </x:c>
      <x:c r="AA468" s="28" t="str">
        <x:v>The Art &amp; Science of Foodpairing.pdf</x:v>
      </x:c>
      <x:c r="AB468" s="28" t="str">
        <x:v>The Art &amp; Science of Foodpairing.pdf: 332</x:v>
      </x:c>
      <x:c r="AC468" s="28" t="str">
        <x:v>Пара встречается как grid; научное объяснение сформировано по ароматическому профилю и пищевой матрице.</x:v>
      </x:c>
      <x:c r="AD468" s="28" t="n">
        <x:v>1</x:v>
      </x:c>
      <x:c r="AE468" s="28" t="n">
        <x:v>1</x:v>
      </x:c>
      <x:c r="AF468" s="28" t="n">
        <x:f>IF(Z468="Высокая",3,IF(Z468="Средняя",2,1))+AD468*2+MIN(AE468,3)</x:f>
        <x:v>5</x:v>
      </x:c>
    </x:row>
    <x:row r="469" ht="62" customHeight="1">
      <x:c r="A469" s="28" t="str">
        <x:v>NCT-0468</x:v>
      </x:c>
      <x:c r="B469" s="28" t="str">
        <x:v>фундук</x:v>
      </x:c>
      <x:c r="C469" s="28" t="str">
        <x:v>Универсальные</x:v>
      </x:c>
      <x:c r="D469" s="28" t="str">
        <x:v>фундук</x:v>
      </x:c>
      <x:c r="E469" s="28" t="str">
        <x:v>hazelnut</x:v>
      </x:c>
      <x:c r="F469" s="28" t="str">
        <x:v>Орехи и семена</x:v>
      </x:c>
      <x:c r="G469" s="28" t="str">
        <x:v>fresh cream cheese</x:v>
      </x:c>
      <x:c r="H469" s="28" t="str">
        <x:v>fresh cream cheese</x:v>
      </x:c>
      <x:c r="I469" s="28" t="str">
        <x:v>Молочные продукты и сыры</x:v>
      </x:c>
      <x:c r="J469" s="28" t="str">
        <x:v>ореховый, жареный, сладкий, землистый и какаоподобный</x:v>
      </x:c>
      <x:c r="K469" s="28" t="str">
        <x:v>молочный, сливочный и ферментированный</x:v>
      </x:c>
      <x:c r="L469" s="28" t="str">
        <x:v>фильбертон, пиразины, фураны, альдегиды</x:v>
      </x:c>
      <x:c r="M469" s="28" t="str">
        <x:v>диацетил, жирные кислоты, лактоны</x:v>
      </x:c>
      <x:c r="N469" s="28" t="str">
        <x:v>прямое пересечение семейств не является единственным объяснением</x:v>
      </x:c>
      <x:c r="O469" s="28" t="str">
        <x:v>надежная общая ключевая молекула не подтверждена</x:v>
      </x:c>
      <x:c r="P469" s="28" t="str">
        <x:v>жировая экстракция и связывание полифенолов белком</x:v>
      </x:c>
      <x:c r="Q46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69" s="28" t="str">
        <x:v>минимальный</x:v>
      </x:c>
      <x:c r="S469" s="28" t="str">
        <x:v>высокожировая матрица с белком; эффективно переносит аромат в пралине и пастах Совпадающие жирные фазы облегчают перенос аромата, но могут сделать продукт тяжёлым.</x:v>
      </x:c>
      <x:c r="T46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69" s="28" t="str">
        <x:v>Фундук имеет профиль «ореховый, жареный, сладкий, землистый и какаоподобный». Партнёр «fresh cream cheese»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69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W469" s="28" t="str">
        <x:v>мёд, карамель или фруктовая кислота</x:v>
      </x:c>
      <x:c r="X469" s="28" t="str">
        <x:v>пралине, паста, выпечка, гарнир, соус, молочный или коктейльный компонент с fresh cream cheese</x:v>
      </x:c>
      <x:c r="Y469" s="28" t="str">
        <x:v>десерты</x:v>
      </x:c>
      <x:c r="Z469" s="28" t="str">
        <x:v>Средняя</x:v>
      </x:c>
      <x:c r="AA469" s="28" t="str">
        <x:v>The Art &amp; Science of Foodpairing.pdf</x:v>
      </x:c>
      <x:c r="AB469" s="28" t="str">
        <x:v>The Art &amp; Science of Foodpairing.pdf: 332</x:v>
      </x:c>
      <x:c r="AC469" s="28" t="str">
        <x:v>Пара встречается как grid; научное объяснение сформировано по ароматическому профилю и пищевой матрице.</x:v>
      </x:c>
      <x:c r="AD469" s="28" t="n">
        <x:v>1</x:v>
      </x:c>
      <x:c r="AE469" s="28" t="n">
        <x:v>1</x:v>
      </x:c>
      <x:c r="AF469" s="28" t="n">
        <x:f>IF(Z469="Высокая",3,IF(Z469="Средняя",2,1))+AD469*2+MIN(AE469,3)</x:f>
        <x:v>5</x:v>
      </x:c>
    </x:row>
    <x:row r="470" ht="62" customHeight="1">
      <x:c r="A470" s="28" t="str">
        <x:v>NCT-0469</x:v>
      </x:c>
      <x:c r="B470" s="28" t="str">
        <x:v>фундук</x:v>
      </x:c>
      <x:c r="C470" s="28" t="str">
        <x:v>Еда и соусы</x:v>
      </x:c>
      <x:c r="D470" s="28" t="str">
        <x:v>фундук</x:v>
      </x:c>
      <x:c r="E470" s="28" t="str">
        <x:v>hazelnut</x:v>
      </x:c>
      <x:c r="F470" s="28" t="str">
        <x:v>Орехи и семена</x:v>
      </x:c>
      <x:c r="G470" s="28" t="str">
        <x:v>gandaham</x:v>
      </x:c>
      <x:c r="H470" s="28" t="str">
        <x:v>Gandaham</x:v>
      </x:c>
      <x:c r="I470" s="28" t="str">
        <x:v>Мясо и птица</x:v>
      </x:c>
      <x:c r="J470" s="28" t="str">
        <x:v>ореховый, жареный, сладкий, землистый и какаоподобный</x:v>
      </x:c>
      <x:c r="K470" s="28" t="str">
        <x:v>жареный, мясной и умами</x:v>
      </x:c>
      <x:c r="L470" s="28" t="str">
        <x:v>фильбертон, пиразины, фураны, альдегиды</x:v>
      </x:c>
      <x:c r="M470" s="28" t="str">
        <x:v>пиразины, сернистые соединения</x:v>
      </x:c>
      <x:c r="N470" s="28" t="str">
        <x:v>жареный</x:v>
      </x:c>
      <x:c r="O470" s="28" t="str">
        <x:v>пиразины</x:v>
      </x:c>
      <x:c r="P47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47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70" s="28" t="str">
        <x:v>минимальный</x:v>
      </x:c>
      <x:c r="S470" s="28" t="str">
        <x:v>высокожировая матрица с белком; эффективно переносит аромат в пралине и пастах</x:v>
      </x:c>
      <x:c r="T47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70" s="28" t="str">
        <x:v>Фундук имеет профиль «ореховый, жареный, сладкий, землистый и какаоподобный». Партнёр «gandaham»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V470" s="28" t="str">
        <x:v>аллерген и чувствительность к прогорканию; пережаривание даёт дымную горечь</x:v>
      </x:c>
      <x:c r="W470" s="28" t="str">
        <x:v>соль, соевый соус, коричневое масло или специя</x:v>
      </x:c>
      <x:c r="X470" s="28" t="str">
        <x:v>пралине, паста, выпечка, гарнир, соус, молочный или коктейльный компонент с gandaham</x:v>
      </x:c>
      <x:c r="Y470" s="28" t="str">
        <x:v>еда, десерты, соусы/маринады</x:v>
      </x:c>
      <x:c r="Z470" s="28" t="str">
        <x:v>Средняя</x:v>
      </x:c>
      <x:c r="AA470" s="28" t="str">
        <x:v>The Art &amp; Science of Foodpairing.pdf</x:v>
      </x:c>
      <x:c r="AB470" s="28" t="str">
        <x:v>The Art &amp; Science of Foodpairing.pdf: 332</x:v>
      </x:c>
      <x:c r="AC470" s="28" t="str">
        <x:v>Пара встречается как grid; научное объяснение сформировано по ароматическому профилю и пищевой матрице.</x:v>
      </x:c>
      <x:c r="AD470" s="28" t="n">
        <x:v>1</x:v>
      </x:c>
      <x:c r="AE470" s="28" t="n">
        <x:v>1</x:v>
      </x:c>
      <x:c r="AF470" s="28" t="n">
        <x:f>IF(Z470="Высокая",3,IF(Z470="Средняя",2,1))+AD470*2+MIN(AE470,3)</x:f>
        <x:v>5</x:v>
      </x:c>
    </x:row>
    <x:row r="471" ht="62" customHeight="1">
      <x:c r="A471" s="28" t="str">
        <x:v>NCT-0470</x:v>
      </x:c>
      <x:c r="B471" s="28" t="str">
        <x:v>фундук</x:v>
      </x:c>
      <x:c r="C471" s="28" t="str">
        <x:v>Десерты и выпечка</x:v>
      </x:c>
      <x:c r="D471" s="28" t="str">
        <x:v>фундук</x:v>
      </x:c>
      <x:c r="E471" s="28" t="str">
        <x:v>hazelnut</x:v>
      </x:c>
      <x:c r="F471" s="28" t="str">
        <x:v>Орехи и семена</x:v>
      </x:c>
      <x:c r="G471" s="28" t="str">
        <x:v>grapes</x:v>
      </x:c>
      <x:c r="H471" s="28" t="str">
        <x:v>grapes</x:v>
      </x:c>
      <x:c r="I471" s="28" t="str">
        <x:v>Фрукты и ягоды</x:v>
      </x:c>
      <x:c r="J471" s="28" t="str">
        <x:v>ореховый, жареный, сладкий, землистый и какаоподобный</x:v>
      </x:c>
      <x:c r="K471" s="28" t="str">
        <x:v>фруктовый, цветочный и свежий</x:v>
      </x:c>
      <x:c r="L471" s="28" t="str">
        <x:v>фильбертон, пиразины, фураны, альдегиды</x:v>
      </x:c>
      <x:c r="M471" s="28" t="str">
        <x:v>альдегиды, эфиры</x:v>
      </x:c>
      <x:c r="N471" s="28" t="str">
        <x:v>прямое пересечение семейств не является единственным объяснением</x:v>
      </x:c>
      <x:c r="O471" s="28" t="str">
        <x:v>альдегиды</x:v>
      </x:c>
      <x:c r="P471" s="28" t="str">
        <x:v>общие ароматические соединения, контраст кислоты и жирной/горькой матрицы</x:v>
      </x:c>
      <x:c r="Q47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71" s="28" t="str">
        <x:v>минимальный</x:v>
      </x:c>
      <x:c r="S471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47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71" s="28" t="str">
        <x:v>Фундук имеет профиль «ореховый, жареный, сладкий, землистый и какаоподобный». Партнёр «grapes»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71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471" s="28" t="str">
        <x:v>ваниль, цитрус или молочный жир</x:v>
      </x:c>
      <x:c r="X471" s="28" t="str">
        <x:v>пралине, паста, выпечка, гарнир, соус, молочный или коктейльный компонент с grapes</x:v>
      </x:c>
      <x:c r="Y471" s="28" t="str">
        <x:v>десерты</x:v>
      </x:c>
      <x:c r="Z471" s="28" t="str">
        <x:v>Средняя</x:v>
      </x:c>
      <x:c r="AA471" s="28" t="str">
        <x:v>The Art &amp; Science of Foodpairing.pdf</x:v>
      </x:c>
      <x:c r="AB471" s="28" t="str">
        <x:v>The Art &amp; Science of Foodpairing.pdf: 332</x:v>
      </x:c>
      <x:c r="AC471" s="28" t="str">
        <x:v>Пара встречается как grid; научное объяснение сформировано по ароматическому профилю и пищевой матрице.</x:v>
      </x:c>
      <x:c r="AD471" s="28" t="n">
        <x:v>1</x:v>
      </x:c>
      <x:c r="AE471" s="28" t="n">
        <x:v>1</x:v>
      </x:c>
      <x:c r="AF471" s="28" t="n">
        <x:f>IF(Z471="Высокая",3,IF(Z471="Средняя",2,1))+AD471*2+MIN(AE471,3)</x:f>
        <x:v>5</x:v>
      </x:c>
    </x:row>
    <x:row r="472" ht="62" customHeight="1">
      <x:c r="A472" s="28" t="str">
        <x:v>NCT-0471</x:v>
      </x:c>
      <x:c r="B472" s="28" t="str">
        <x:v>фундук</x:v>
      </x:c>
      <x:c r="C472" s="28" t="str">
        <x:v>Еда и соусы</x:v>
      </x:c>
      <x:c r="D472" s="28" t="str">
        <x:v>фундук</x:v>
      </x:c>
      <x:c r="E472" s="28" t="str">
        <x:v>hazelnut</x:v>
      </x:c>
      <x:c r="F472" s="28" t="str">
        <x:v>Орехи и семена</x:v>
      </x:c>
      <x:c r="G472" s="28" t="str">
        <x:v>horse mackerel</x:v>
      </x:c>
      <x:c r="H472" s="28" t="str">
        <x:v>horse mackerel</x:v>
      </x:c>
      <x:c r="I472" s="28" t="str">
        <x:v>Рыба и морепродукты</x:v>
      </x:c>
      <x:c r="J472" s="28" t="str">
        <x:v>ореховый, жареный, сладкий, землистый и какаоподобный</x:v>
      </x:c>
      <x:c r="K472" s="28" t="str">
        <x:v>морской, солоноватый и умами</x:v>
      </x:c>
      <x:c r="L472" s="28" t="str">
        <x:v>фильбертон, пиразины, фураны, альдегиды</x:v>
      </x:c>
      <x:c r="M472" s="28" t="str">
        <x:v>альдегиды, амины</x:v>
      </x:c>
      <x:c r="N472" s="28" t="str">
        <x:v>прямое пересечение семейств не является единственным объяснением</x:v>
      </x:c>
      <x:c r="O472" s="28" t="str">
        <x:v>альдегиды</x:v>
      </x:c>
      <x:c r="P472" s="28" t="str">
        <x:v>общие ароматические соединения, солёно-умами контраст</x:v>
      </x:c>
      <x:c r="Q47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72" s="28" t="str">
        <x:v>минимальный</x:v>
      </x:c>
      <x:c r="S472" s="28" t="str">
        <x:v>высокожировая матрица с белком; эффективно переносит аромат в пралине и пастах</x:v>
      </x:c>
      <x:c r="T47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72" s="28" t="str">
        <x:v>Фундук имеет профиль «ореховый, жареный, сладкий, землистый и какаоподобный». Партнёр «horse mackerel»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72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W472" s="28" t="str">
        <x:v>соль, соевый соус, коричневое масло или специя</x:v>
      </x:c>
      <x:c r="X472" s="28" t="str">
        <x:v>пралине, паста, выпечка, гарнир, соус, молочный или коктейльный компонент с horse mackerel</x:v>
      </x:c>
      <x:c r="Y472" s="28" t="str">
        <x:v>еда, десерты, соусы/маринады</x:v>
      </x:c>
      <x:c r="Z472" s="28" t="str">
        <x:v>Средняя</x:v>
      </x:c>
      <x:c r="AA472" s="28" t="str">
        <x:v>The Art &amp; Science of Foodpairing.pdf</x:v>
      </x:c>
      <x:c r="AB472" s="28" t="str">
        <x:v>The Art &amp; Science of Foodpairing.pdf: 332</x:v>
      </x:c>
      <x:c r="AC472" s="28" t="str">
        <x:v>Пара встречается как grid; научное объяснение сформировано по ароматическому профилю и пищевой матрице.</x:v>
      </x:c>
      <x:c r="AD472" s="28" t="n">
        <x:v>1</x:v>
      </x:c>
      <x:c r="AE472" s="28" t="n">
        <x:v>1</x:v>
      </x:c>
      <x:c r="AF472" s="28" t="n">
        <x:f>IF(Z472="Высокая",3,IF(Z472="Средняя",2,1))+AD472*2+MIN(AE472,3)</x:f>
        <x:v>5</x:v>
      </x:c>
    </x:row>
    <x:row r="473" ht="62" customHeight="1">
      <x:c r="A473" s="28" t="str">
        <x:v>NCT-0472</x:v>
      </x:c>
      <x:c r="B473" s="28" t="str">
        <x:v>фундук</x:v>
      </x:c>
      <x:c r="C473" s="28" t="str">
        <x:v>Напитки</x:v>
      </x:c>
      <x:c r="D473" s="28" t="str">
        <x:v>фундук</x:v>
      </x:c>
      <x:c r="E473" s="28" t="str">
        <x:v>roasted hazelnut puree</x:v>
      </x:c>
      <x:c r="F473" s="28" t="str">
        <x:v>Орехи и семена</x:v>
      </x:c>
      <x:c r="G473" s="28" t="str">
        <x:v>iambic beer</x:v>
      </x:c>
      <x:c r="H473" s="28" t="str">
        <x:v>Iambic beer</x:v>
      </x:c>
      <x:c r="I473" s="28" t="str">
        <x:v>Алкогольные напитки</x:v>
      </x:c>
      <x:c r="J473" s="28" t="str">
        <x:v>ореховый, жареный, сладкий, землистый и какаоподобный</x:v>
      </x:c>
      <x:c r="K473" s="28" t="str">
        <x:v>спиртовой, фруктовый или древесный</x:v>
      </x:c>
      <x:c r="L473" s="28" t="str">
        <x:v>фильбертон, пиразины, фураны, альдегиды</x:v>
      </x:c>
      <x:c r="M473" s="28" t="str">
        <x:v>альдегиды, эфиры</x:v>
      </x:c>
      <x:c r="N473" s="28" t="str">
        <x:v>прямое пересечение семейств не является единственным объяснением</x:v>
      </x:c>
      <x:c r="O473" s="28" t="str">
        <x:v>альдегиды</x:v>
      </x:c>
      <x:c r="P473" s="28" t="str">
        <x:v>общие ароматические соединения</x:v>
      </x:c>
      <x:c r="Q47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73" s="28" t="str">
        <x:v>минимальный</x:v>
      </x:c>
      <x:c r="S473" s="28" t="str">
        <x:v>высокожировая матрица с белком; эффективно переносит аромат в пралине и пастах Этанол эффективно извлекает терпены, фенолы и жареные молекулы; время контакта нужно ограничивать.</x:v>
      </x:c>
      <x:c r="T47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73" s="28" t="str">
        <x:v>Фундук имеет профиль «ореховый, жареный, сладкий, землистый и какаоподобный». Партнёр «iambic beer» относится к группе «Алкогольные напитки» и даёт спиртовой, фруктовый или древесный.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73" s="28" t="str">
        <x:v>аллерген и чувствительность к прогорканию; пережаривание даёт дымную горечь</x:v>
      </x:c>
      <x:c r="W473" s="28" t="str">
        <x:v>соль, ваниль или карамель</x:v>
      </x:c>
      <x:c r="X473" s="28" t="str">
        <x:v>пралине, паста, выпечка, гарнир, соус, молочный или коктейльный компонент с iambic beer</x:v>
      </x:c>
      <x:c r="Y473" s="28" t="str">
        <x:v>напитки, десерты</x:v>
      </x:c>
      <x:c r="Z473" s="28" t="str">
        <x:v>Средняя</x:v>
      </x:c>
      <x:c r="AA473" s="28" t="str">
        <x:v>The Art &amp; Science of Foodpairing.pdf</x:v>
      </x:c>
      <x:c r="AB473" s="28" t="str">
        <x:v>The Art &amp; Science of Foodpairing.pdf: 178</x:v>
      </x:c>
      <x:c r="AC473" s="28" t="str">
        <x:v>Пара встречается как grid; научное объяснение сформировано по ароматическому профилю и пищевой матрице.</x:v>
      </x:c>
      <x:c r="AD473" s="28" t="n">
        <x:v>1</x:v>
      </x:c>
      <x:c r="AE473" s="28" t="n">
        <x:v>1</x:v>
      </x:c>
      <x:c r="AF473" s="28" t="n">
        <x:f>IF(Z473="Высокая",3,IF(Z473="Средняя",2,1))+AD473*2+MIN(AE473,3)</x:f>
        <x:v>5</x:v>
      </x:c>
    </x:row>
    <x:row r="474" ht="62" customHeight="1">
      <x:c r="A474" s="28" t="str">
        <x:v>NCT-0473</x:v>
      </x:c>
      <x:c r="B474" s="28" t="str">
        <x:v>фундук</x:v>
      </x:c>
      <x:c r="C474" s="28" t="str">
        <x:v>Еда и соусы</x:v>
      </x:c>
      <x:c r="D474" s="28" t="str">
        <x:v>фундук</x:v>
      </x:c>
      <x:c r="E474" s="28" t="str">
        <x:v>hazelnut</x:v>
      </x:c>
      <x:c r="F474" s="28" t="str">
        <x:v>Орехи и семена</x:v>
      </x:c>
      <x:c r="G474" s="28" t="str">
        <x:v>korean fish sauce</x:v>
      </x:c>
      <x:c r="H474" s="28" t="str">
        <x:v>Korean fish sauce</x:v>
      </x:c>
      <x:c r="I474" s="28" t="str">
        <x:v>Рыба и морепродукты</x:v>
      </x:c>
      <x:c r="J474" s="28" t="str">
        <x:v>ореховый, жареный, сладкий, землистый и какаоподобный</x:v>
      </x:c>
      <x:c r="K474" s="28" t="str">
        <x:v>морской, солоноватый и умами</x:v>
      </x:c>
      <x:c r="L474" s="28" t="str">
        <x:v>фильбертон, пиразины, фураны, альдегиды</x:v>
      </x:c>
      <x:c r="M474" s="28" t="str">
        <x:v>альдегиды, амины</x:v>
      </x:c>
      <x:c r="N474" s="28" t="str">
        <x:v>прямое пересечение семейств не является единственным объяснением</x:v>
      </x:c>
      <x:c r="O474" s="28" t="str">
        <x:v>альдегиды</x:v>
      </x:c>
      <x:c r="P474" s="28" t="str">
        <x:v>общие ароматические соединения, солёно-умами контраст</x:v>
      </x:c>
      <x:c r="Q47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74" s="28" t="str">
        <x:v>минимальный</x:v>
      </x:c>
      <x:c r="S474" s="28" t="str">
        <x:v>высокожировая матрица с белком; эффективно переносит аромат в пралине и пастах</x:v>
      </x:c>
      <x:c r="T47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74" s="28" t="str">
        <x:v>Фундук имеет профиль «ореховый, жареный, сладкий, землистый и какаоподобный». Партнёр «korean fish sauce»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74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W474" s="28" t="str">
        <x:v>соль, соевый соус, коричневое масло или специя</x:v>
      </x:c>
      <x:c r="X474" s="28" t="str">
        <x:v>пралине, паста, выпечка, гарнир, соус, молочный или коктейльный компонент с korean fish sauce</x:v>
      </x:c>
      <x:c r="Y474" s="28" t="str">
        <x:v>еда, десерты, соусы/маринады</x:v>
      </x:c>
      <x:c r="Z474" s="28" t="str">
        <x:v>Средняя</x:v>
      </x:c>
      <x:c r="AA474" s="28" t="str">
        <x:v>The Art &amp; Science of Foodpairing.pdf</x:v>
      </x:c>
      <x:c r="AB474" s="28" t="str">
        <x:v>The Art &amp; Science of Foodpairing.pdf: 332</x:v>
      </x:c>
      <x:c r="AC474" s="28" t="str">
        <x:v>Пара встречается как grid; научное объяснение сформировано по ароматическому профилю и пищевой матрице.</x:v>
      </x:c>
      <x:c r="AD474" s="28" t="n">
        <x:v>1</x:v>
      </x:c>
      <x:c r="AE474" s="28" t="n">
        <x:v>1</x:v>
      </x:c>
      <x:c r="AF474" s="28" t="n">
        <x:f>IF(Z474="Высокая",3,IF(Z474="Средняя",2,1))+AD474*2+MIN(AE474,3)</x:f>
        <x:v>5</x:v>
      </x:c>
    </x:row>
    <x:row r="475" ht="62" customHeight="1">
      <x:c r="A475" s="28" t="str">
        <x:v>NCT-0474</x:v>
      </x:c>
      <x:c r="B475" s="28" t="str">
        <x:v>фундук</x:v>
      </x:c>
      <x:c r="C475" s="28" t="str">
        <x:v>Десерты и выпечка</x:v>
      </x:c>
      <x:c r="D475" s="28" t="str">
        <x:v>фундук</x:v>
      </x:c>
      <x:c r="E475" s="28" t="str">
        <x:v>hazelnut</x:v>
      </x:c>
      <x:c r="F475" s="28" t="str">
        <x:v>Орехи и семена</x:v>
      </x:c>
      <x:c r="G475" s="28" t="str">
        <x:v>lemon balm</x:v>
      </x:c>
      <x:c r="H475" s="28" t="str">
        <x:v>lemon balm</x:v>
      </x:c>
      <x:c r="I475" s="28" t="str">
        <x:v>Фрукты и ягоды</x:v>
      </x:c>
      <x:c r="J475" s="28" t="str">
        <x:v>ореховый, жареный, сладкий, землистый и какаоподобный</x:v>
      </x:c>
      <x:c r="K475" s="28" t="str">
        <x:v>фруктовый, цветочный и свежий</x:v>
      </x:c>
      <x:c r="L475" s="28" t="str">
        <x:v>фильбертон, пиразины, фураны, альдегиды</x:v>
      </x:c>
      <x:c r="M475" s="28" t="str">
        <x:v>альдегиды, эфиры</x:v>
      </x:c>
      <x:c r="N475" s="28" t="str">
        <x:v>прямое пересечение семейств не является единственным объяснением</x:v>
      </x:c>
      <x:c r="O475" s="28" t="str">
        <x:v>альдегиды</x:v>
      </x:c>
      <x:c r="P475" s="28" t="str">
        <x:v>общие ароматические соединения, контраст кислоты и жирной/горькой матрицы</x:v>
      </x:c>
      <x:c r="Q47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75" s="28" t="str">
        <x:v>минимальный</x:v>
      </x:c>
      <x:c r="S475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47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75" s="28" t="str">
        <x:v>Фундук имеет профиль «ореховый, жареный, сладкий, землистый и какаоподобный». Партнёр «lemon balm»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75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475" s="28" t="str">
        <x:v>ваниль, цитрус или молочный жир</x:v>
      </x:c>
      <x:c r="X475" s="28" t="str">
        <x:v>пралине, паста, выпечка, гарнир, соус, молочный или коктейльный компонент с lemon balm</x:v>
      </x:c>
      <x:c r="Y475" s="28" t="str">
        <x:v>десерты</x:v>
      </x:c>
      <x:c r="Z475" s="28" t="str">
        <x:v>Средняя</x:v>
      </x:c>
      <x:c r="AA475" s="28" t="str">
        <x:v>The Art &amp; Science of Foodpairing.pdf</x:v>
      </x:c>
      <x:c r="AB475" s="28" t="str">
        <x:v>The Art &amp; Science of Foodpairing.pdf: 332</x:v>
      </x:c>
      <x:c r="AC475" s="28" t="str">
        <x:v>Пара встречается как grid; научное объяснение сформировано по ароматическому профилю и пищевой матрице.</x:v>
      </x:c>
      <x:c r="AD475" s="28" t="n">
        <x:v>1</x:v>
      </x:c>
      <x:c r="AE475" s="28" t="n">
        <x:v>1</x:v>
      </x:c>
      <x:c r="AF475" s="28" t="n">
        <x:f>IF(Z475="Высокая",3,IF(Z475="Средняя",2,1))+AD475*2+MIN(AE475,3)</x:f>
        <x:v>5</x:v>
      </x:c>
    </x:row>
    <x:row r="476" ht="62" customHeight="1">
      <x:c r="A476" s="28" t="str">
        <x:v>NCT-0475</x:v>
      </x:c>
      <x:c r="B476" s="28" t="str">
        <x:v>фундук</x:v>
      </x:c>
      <x:c r="C476" s="28" t="str">
        <x:v>Напитки</x:v>
      </x:c>
      <x:c r="D476" s="28" t="str">
        <x:v>фундук</x:v>
      </x:c>
      <x:c r="E476" s="28" t="str">
        <x:v>hazelnut</x:v>
      </x:c>
      <x:c r="F476" s="28" t="str">
        <x:v>Орехи и семена</x:v>
      </x:c>
      <x:c r="G476" s="28" t="str">
        <x:v>lemon vodka</x:v>
      </x:c>
      <x:c r="H476" s="28" t="str">
        <x:v>lemon vodka</x:v>
      </x:c>
      <x:c r="I476" s="28" t="str">
        <x:v>Алкогольные напитки</x:v>
      </x:c>
      <x:c r="J476" s="28" t="str">
        <x:v>ореховый, жареный, сладкий, землистый и какаоподобный</x:v>
      </x:c>
      <x:c r="K476" s="28" t="str">
        <x:v>спиртовой, фруктовый или древесный</x:v>
      </x:c>
      <x:c r="L476" s="28" t="str">
        <x:v>фильбертон, пиразины, фураны, альдегиды</x:v>
      </x:c>
      <x:c r="M476" s="28" t="str">
        <x:v>альдегиды, эфиры</x:v>
      </x:c>
      <x:c r="N476" s="28" t="str">
        <x:v>прямое пересечение семейств не является единственным объяснением</x:v>
      </x:c>
      <x:c r="O476" s="28" t="str">
        <x:v>альдегиды</x:v>
      </x:c>
      <x:c r="P476" s="28" t="str">
        <x:v>общие ароматические соединения</x:v>
      </x:c>
      <x:c r="Q47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76" s="28" t="str">
        <x:v>минимальный</x:v>
      </x:c>
      <x:c r="S476" s="28" t="str">
        <x:v>высокожировая матрица с белком; эффективно переносит аромат в пралине и пастах Этанол эффективно извлекает терпены, фенолы и жареные молекулы; время контакта нужно ограничивать.</x:v>
      </x:c>
      <x:c r="T47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76" s="28" t="str">
        <x:v>Фундук имеет профиль «ореховый, жареный, сладкий, землистый и какаоподобный». Партнёр «lemon vodka» относится к группе «Алкогольные напитки» и даёт спиртовой, фруктовый или древесный.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76" s="28" t="str">
        <x:v>аллерген и чувствительность к прогорканию; пережаривание даёт дымную горечь</x:v>
      </x:c>
      <x:c r="W476" s="28" t="str">
        <x:v>соль, ваниль или карамель</x:v>
      </x:c>
      <x:c r="X476" s="28" t="str">
        <x:v>пралине, паста, выпечка, гарнир, соус, молочный или коктейльный компонент с lemon vodka</x:v>
      </x:c>
      <x:c r="Y476" s="28" t="str">
        <x:v>напитки, десерты</x:v>
      </x:c>
      <x:c r="Z476" s="28" t="str">
        <x:v>Средняя</x:v>
      </x:c>
      <x:c r="AA476" s="28" t="str">
        <x:v>The Art &amp; Science of Foodpairing.pdf</x:v>
      </x:c>
      <x:c r="AB476" s="28" t="str">
        <x:v>The Art &amp; Science of Foodpairing.pdf: 332</x:v>
      </x:c>
      <x:c r="AC476" s="28" t="str">
        <x:v>Пара встречается как grid; научное объяснение сформировано по ароматическому профилю и пищевой матрице.</x:v>
      </x:c>
      <x:c r="AD476" s="28" t="n">
        <x:v>1</x:v>
      </x:c>
      <x:c r="AE476" s="28" t="n">
        <x:v>1</x:v>
      </x:c>
      <x:c r="AF476" s="28" t="n">
        <x:f>IF(Z476="Высокая",3,IF(Z476="Средняя",2,1))+AD476*2+MIN(AE476,3)</x:f>
        <x:v>5</x:v>
      </x:c>
    </x:row>
    <x:row r="477" ht="62" customHeight="1">
      <x:c r="A477" s="28" t="str">
        <x:v>NCT-0476</x:v>
      </x:c>
      <x:c r="B477" s="28" t="str">
        <x:v>фундук</x:v>
      </x:c>
      <x:c r="C477" s="28" t="str">
        <x:v>Еда и соусы</x:v>
      </x:c>
      <x:c r="D477" s="28" t="str">
        <x:v>фундук</x:v>
      </x:c>
      <x:c r="E477" s="28" t="str">
        <x:v>roasted hazelnut puree</x:v>
      </x:c>
      <x:c r="F477" s="28" t="str">
        <x:v>Орехи и семена</x:v>
      </x:c>
      <x:c r="G477" s="28" t="str">
        <x:v>meat</x:v>
      </x:c>
      <x:c r="H477" s="28" t="str">
        <x:v>meat</x:v>
      </x:c>
      <x:c r="I477" s="28" t="str">
        <x:v>Мясо и птица</x:v>
      </x:c>
      <x:c r="J477" s="28" t="str">
        <x:v>ореховый, жареный, сладкий, землистый и какаоподобный</x:v>
      </x:c>
      <x:c r="K477" s="28" t="str">
        <x:v>жареный, мясной и умами</x:v>
      </x:c>
      <x:c r="L477" s="28" t="str">
        <x:v>фильбертон, пиразины, фураны, альдегиды</x:v>
      </x:c>
      <x:c r="M477" s="28" t="str">
        <x:v>пиразины, сернистые соединения</x:v>
      </x:c>
      <x:c r="N477" s="28" t="str">
        <x:v>жареный</x:v>
      </x:c>
      <x:c r="O477" s="28" t="str">
        <x:v>пиразины</x:v>
      </x:c>
      <x:c r="P477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47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77" s="28" t="str">
        <x:v>минимальный</x:v>
      </x:c>
      <x:c r="S477" s="28" t="str">
        <x:v>высокожировая матрица с белком; эффективно переносит аромат в пралине и пастах</x:v>
      </x:c>
      <x:c r="T47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77" s="28" t="str">
        <x:v>Фундук имеет профиль «ореховый, жареный, сладкий, землистый и какаоподобный». Партнёр «meat»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V477" s="28" t="str">
        <x:v>аллерген и чувствительность к прогорканию; пережаривание даёт дымную горечь</x:v>
      </x:c>
      <x:c r="W477" s="28" t="str">
        <x:v>соль, соевый соус, коричневое масло или специя</x:v>
      </x:c>
      <x:c r="X477" s="28" t="str">
        <x:v>пралине, паста, выпечка, гарнир, соус, молочный или коктейльный компонент с meat</x:v>
      </x:c>
      <x:c r="Y477" s="28" t="str">
        <x:v>еда, десерты, соусы/маринады</x:v>
      </x:c>
      <x:c r="Z477" s="28" t="str">
        <x:v>Средняя</x:v>
      </x:c>
      <x:c r="AA477" s="28" t="str">
        <x:v>The Art &amp; Science of Foodpairing.pdf</x:v>
      </x:c>
      <x:c r="AB477" s="28" t="str">
        <x:v>The Art &amp; Science of Foodpairing.pdf: 186</x:v>
      </x:c>
      <x:c r="AC477" s="28" t="str">
        <x:v>Пара встречается как grid; научное объяснение сформировано по ароматическому профилю и пищевой матрице.</x:v>
      </x:c>
      <x:c r="AD477" s="28" t="n">
        <x:v>1</x:v>
      </x:c>
      <x:c r="AE477" s="28" t="n">
        <x:v>1</x:v>
      </x:c>
      <x:c r="AF477" s="28" t="n">
        <x:f>IF(Z477="Высокая",3,IF(Z477="Средняя",2,1))+AD477*2+MIN(AE477,3)</x:f>
        <x:v>5</x:v>
      </x:c>
    </x:row>
    <x:row r="478" ht="62" customHeight="1">
      <x:c r="A478" s="28" t="str">
        <x:v>NCT-0477</x:v>
      </x:c>
      <x:c r="B478" s="28" t="str">
        <x:v>фундук</x:v>
      </x:c>
      <x:c r="C478" s="28" t="str">
        <x:v>Десерты и выпечка</x:v>
      </x:c>
      <x:c r="D478" s="28" t="str">
        <x:v>фундук</x:v>
      </x:c>
      <x:c r="E478" s="28" t="str">
        <x:v>hazelnut</x:v>
      </x:c>
      <x:c r="F478" s="28" t="str">
        <x:v>Орехи и семена</x:v>
      </x:c>
      <x:c r="G478" s="28" t="str">
        <x:v>orange tomato</x:v>
      </x:c>
      <x:c r="H478" s="28" t="str">
        <x:v>orange tomato</x:v>
      </x:c>
      <x:c r="I478" s="28" t="str">
        <x:v>Фрукты и ягоды</x:v>
      </x:c>
      <x:c r="J478" s="28" t="str">
        <x:v>ореховый, жареный, сладкий, землистый и какаоподобный</x:v>
      </x:c>
      <x:c r="K478" s="28" t="str">
        <x:v>фруктовый, цветочный и свежий</x:v>
      </x:c>
      <x:c r="L478" s="28" t="str">
        <x:v>фильбертон, пиразины, фураны, альдегиды</x:v>
      </x:c>
      <x:c r="M478" s="28" t="str">
        <x:v>альдегиды, эфиры</x:v>
      </x:c>
      <x:c r="N478" s="28" t="str">
        <x:v>прямое пересечение семейств не является единственным объяснением</x:v>
      </x:c>
      <x:c r="O478" s="28" t="str">
        <x:v>альдегиды</x:v>
      </x:c>
      <x:c r="P478" s="28" t="str">
        <x:v>общие ароматические соединения, контраст кислоты и жирной/горькой матрицы</x:v>
      </x:c>
      <x:c r="Q47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78" s="28" t="str">
        <x:v>минимальный</x:v>
      </x:c>
      <x:c r="S478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47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78" s="28" t="str">
        <x:v>Фундук имеет профиль «ореховый, жареный, сладкий, землистый и какаоподобный». Партнёр «orange tomato»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78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478" s="28" t="str">
        <x:v>ваниль, цитрус или молочный жир</x:v>
      </x:c>
      <x:c r="X478" s="28" t="str">
        <x:v>пралине, паста, выпечка, гарнир, соус, молочный или коктейльный компонент с orange tomato</x:v>
      </x:c>
      <x:c r="Y478" s="28" t="str">
        <x:v>десерты</x:v>
      </x:c>
      <x:c r="Z478" s="28" t="str">
        <x:v>Средняя</x:v>
      </x:c>
      <x:c r="AA478" s="28" t="str">
        <x:v>The Art &amp; Science of Foodpairing.pdf</x:v>
      </x:c>
      <x:c r="AB478" s="28" t="str">
        <x:v>The Art &amp; Science of Foodpairing.pdf: 332</x:v>
      </x:c>
      <x:c r="AC478" s="28" t="str">
        <x:v>Пара встречается как grid; научное объяснение сформировано по ароматическому профилю и пищевой матрице.</x:v>
      </x:c>
      <x:c r="AD478" s="28" t="n">
        <x:v>1</x:v>
      </x:c>
      <x:c r="AE478" s="28" t="n">
        <x:v>1</x:v>
      </x:c>
      <x:c r="AF478" s="28" t="n">
        <x:f>IF(Z478="Высокая",3,IF(Z478="Средняя",2,1))+AD478*2+MIN(AE478,3)</x:f>
        <x:v>5</x:v>
      </x:c>
    </x:row>
    <x:row r="479" ht="62" customHeight="1">
      <x:c r="A479" s="28" t="str">
        <x:v>NCT-0478</x:v>
      </x:c>
      <x:c r="B479" s="28" t="str">
        <x:v>фундук</x:v>
      </x:c>
      <x:c r="C479" s="28" t="str">
        <x:v>Еда и соусы</x:v>
      </x:c>
      <x:c r="D479" s="28" t="str">
        <x:v>фундук</x:v>
      </x:c>
      <x:c r="E479" s="28" t="str">
        <x:v>hazelnut</x:v>
      </x:c>
      <x:c r="F479" s="28" t="str">
        <x:v>Орехи и семена</x:v>
      </x:c>
      <x:c r="G479" s="28" t="str">
        <x:v>pan-fried duck breast</x:v>
      </x:c>
      <x:c r="H479" s="28" t="str">
        <x:v>pan-fried duck breast</x:v>
      </x:c>
      <x:c r="I479" s="28" t="str">
        <x:v>Мясо и птица</x:v>
      </x:c>
      <x:c r="J479" s="28" t="str">
        <x:v>ореховый, жареный, сладкий, землистый и какаоподобный</x:v>
      </x:c>
      <x:c r="K479" s="28" t="str">
        <x:v>жареный, мясной и умами</x:v>
      </x:c>
      <x:c r="L479" s="28" t="str">
        <x:v>фильбертон, пиразины, фураны, альдегиды</x:v>
      </x:c>
      <x:c r="M479" s="28" t="str">
        <x:v>пиразины, сернистые соединения</x:v>
      </x:c>
      <x:c r="N479" s="28" t="str">
        <x:v>жареный</x:v>
      </x:c>
      <x:c r="O479" s="28" t="str">
        <x:v>пиразины</x:v>
      </x:c>
      <x:c r="P479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47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79" s="28" t="str">
        <x:v>минимальный</x:v>
      </x:c>
      <x:c r="S479" s="28" t="str">
        <x:v>высокожировая матрица с белком; эффективно переносит аромат в пралине и пастах</x:v>
      </x:c>
      <x:c r="T47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79" s="28" t="str">
        <x:v>Фундук имеет профиль «ореховый, жареный, сладкий, землистый и какаоподобный». Партнёр «pan-fried duck breast»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V479" s="28" t="str">
        <x:v>аллерген и чувствительность к прогорканию; пережаривание даёт дымную горечь</x:v>
      </x:c>
      <x:c r="W479" s="28" t="str">
        <x:v>соль, соевый соус, коричневое масло или специя</x:v>
      </x:c>
      <x:c r="X479" s="28" t="str">
        <x:v>пралине, паста, выпечка, гарнир, соус, молочный или коктейльный компонент с pan-fried duck breast</x:v>
      </x:c>
      <x:c r="Y479" s="28" t="str">
        <x:v>еда, десерты, соусы/маринады</x:v>
      </x:c>
      <x:c r="Z479" s="28" t="str">
        <x:v>Средняя</x:v>
      </x:c>
      <x:c r="AA479" s="28" t="str">
        <x:v>The Art &amp; Science of Foodpairing.pdf</x:v>
      </x:c>
      <x:c r="AB479" s="28" t="str">
        <x:v>The Art &amp; Science of Foodpairing.pdf: 332</x:v>
      </x:c>
      <x:c r="AC479" s="28" t="str">
        <x:v>Пара встречается как grid; научное объяснение сформировано по ароматическому профилю и пищевой матрице.</x:v>
      </x:c>
      <x:c r="AD479" s="28" t="n">
        <x:v>1</x:v>
      </x:c>
      <x:c r="AE479" s="28" t="n">
        <x:v>1</x:v>
      </x:c>
      <x:c r="AF479" s="28" t="n">
        <x:f>IF(Z479="Высокая",3,IF(Z479="Средняя",2,1))+AD479*2+MIN(AE479,3)</x:f>
        <x:v>5</x:v>
      </x:c>
    </x:row>
    <x:row r="480" ht="62" customHeight="1">
      <x:c r="A480" s="28" t="str">
        <x:v>NCT-0479</x:v>
      </x:c>
      <x:c r="B480" s="28" t="str">
        <x:v>фундук</x:v>
      </x:c>
      <x:c r="C480" s="28" t="str">
        <x:v>Еда и соусы</x:v>
      </x:c>
      <x:c r="D480" s="28" t="str">
        <x:v>фундук</x:v>
      </x:c>
      <x:c r="E480" s="28" t="str">
        <x:v>hazelnut</x:v>
      </x:c>
      <x:c r="F480" s="28" t="str">
        <x:v>Орехи и семена</x:v>
      </x:c>
      <x:c r="G480" s="28" t="str">
        <x:v>pan-fried duck foie gras</x:v>
      </x:c>
      <x:c r="H480" s="28" t="str">
        <x:v>pan-fried duck foie gras</x:v>
      </x:c>
      <x:c r="I480" s="28" t="str">
        <x:v>Мясо и птица</x:v>
      </x:c>
      <x:c r="J480" s="28" t="str">
        <x:v>ореховый, жареный, сладкий, землистый и какаоподобный</x:v>
      </x:c>
      <x:c r="K480" s="28" t="str">
        <x:v>жареный, мясной и умами</x:v>
      </x:c>
      <x:c r="L480" s="28" t="str">
        <x:v>фильбертон, пиразины, фураны, альдегиды</x:v>
      </x:c>
      <x:c r="M480" s="28" t="str">
        <x:v>пиразины, сернистые соединения</x:v>
      </x:c>
      <x:c r="N480" s="28" t="str">
        <x:v>жареный</x:v>
      </x:c>
      <x:c r="O480" s="28" t="str">
        <x:v>пиразины</x:v>
      </x:c>
      <x:c r="P48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48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80" s="28" t="str">
        <x:v>минимальный</x:v>
      </x:c>
      <x:c r="S480" s="28" t="str">
        <x:v>высокожировая матрица с белком; эффективно переносит аромат в пралине и пастах</x:v>
      </x:c>
      <x:c r="T48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80" s="28" t="str">
        <x:v>Фундук имеет профиль «ореховый, жареный, сладкий, землистый и какаоподобный». Партнёр «pan-fried duck foie gras»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V480" s="28" t="str">
        <x:v>аллерген и чувствительность к прогорканию; пережаривание даёт дымную горечь</x:v>
      </x:c>
      <x:c r="W480" s="28" t="str">
        <x:v>соль, соевый соус, коричневое масло или специя</x:v>
      </x:c>
      <x:c r="X480" s="28" t="str">
        <x:v>пралине, паста, выпечка, гарнир, соус, молочный или коктейльный компонент с pan-fried duck foie gras</x:v>
      </x:c>
      <x:c r="Y480" s="28" t="str">
        <x:v>еда, десерты, соусы/маринады</x:v>
      </x:c>
      <x:c r="Z480" s="28" t="str">
        <x:v>Средняя</x:v>
      </x:c>
      <x:c r="AA480" s="28" t="str">
        <x:v>The Art &amp; Science of Foodpairing.pdf</x:v>
      </x:c>
      <x:c r="AB480" s="28" t="str">
        <x:v>The Art &amp; Science of Foodpairing.pdf: 332</x:v>
      </x:c>
      <x:c r="AC480" s="28" t="str">
        <x:v>Пара встречается как grid; научное объяснение сформировано по ароматическому профилю и пищевой матрице.</x:v>
      </x:c>
      <x:c r="AD480" s="28" t="n">
        <x:v>1</x:v>
      </x:c>
      <x:c r="AE480" s="28" t="n">
        <x:v>1</x:v>
      </x:c>
      <x:c r="AF480" s="28" t="n">
        <x:f>IF(Z480="Высокая",3,IF(Z480="Средняя",2,1))+AD480*2+MIN(AE480,3)</x:f>
        <x:v>5</x:v>
      </x:c>
    </x:row>
    <x:row r="481" ht="62" customHeight="1">
      <x:c r="A481" s="28" t="str">
        <x:v>NCT-0480</x:v>
      </x:c>
      <x:c r="B481" s="28" t="str">
        <x:v>фундук</x:v>
      </x:c>
      <x:c r="C481" s="28" t="str">
        <x:v>Еда и соусы</x:v>
      </x:c>
      <x:c r="D481" s="28" t="str">
        <x:v>фундук</x:v>
      </x:c>
      <x:c r="E481" s="28" t="str">
        <x:v>hazelnut</x:v>
      </x:c>
      <x:c r="F481" s="28" t="str">
        <x:v>Орехи и семена</x:v>
      </x:c>
      <x:c r="G481" s="28" t="str">
        <x:v>pan-fried wild duck</x:v>
      </x:c>
      <x:c r="H481" s="28" t="str">
        <x:v>pan-fried wild duck</x:v>
      </x:c>
      <x:c r="I481" s="28" t="str">
        <x:v>Мясо и птица</x:v>
      </x:c>
      <x:c r="J481" s="28" t="str">
        <x:v>ореховый, жареный, сладкий, землистый и какаоподобный</x:v>
      </x:c>
      <x:c r="K481" s="28" t="str">
        <x:v>жареный, мясной и умами</x:v>
      </x:c>
      <x:c r="L481" s="28" t="str">
        <x:v>фильбертон, пиразины, фураны, альдегиды</x:v>
      </x:c>
      <x:c r="M481" s="28" t="str">
        <x:v>пиразины, сернистые соединения</x:v>
      </x:c>
      <x:c r="N481" s="28" t="str">
        <x:v>жареный</x:v>
      </x:c>
      <x:c r="O481" s="28" t="str">
        <x:v>пиразины</x:v>
      </x:c>
      <x:c r="P481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48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81" s="28" t="str">
        <x:v>минимальный</x:v>
      </x:c>
      <x:c r="S481" s="28" t="str">
        <x:v>высокожировая матрица с белком; эффективно переносит аромат в пралине и пастах</x:v>
      </x:c>
      <x:c r="T48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81" s="28" t="str">
        <x:v>Фундук имеет профиль «ореховый, жареный, сладкий, землистый и какаоподобный». Партнёр «pan-fried wild duck»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V481" s="28" t="str">
        <x:v>аллерген и чувствительность к прогорканию; пережаривание даёт дымную горечь</x:v>
      </x:c>
      <x:c r="W481" s="28" t="str">
        <x:v>соль, соевый соус, коричневое масло или специя</x:v>
      </x:c>
      <x:c r="X481" s="28" t="str">
        <x:v>пралине, паста, выпечка, гарнир, соус, молочный или коктейльный компонент с pan-fried wild duck</x:v>
      </x:c>
      <x:c r="Y481" s="28" t="str">
        <x:v>еда, десерты, соусы/маринады</x:v>
      </x:c>
      <x:c r="Z481" s="28" t="str">
        <x:v>Средняя</x:v>
      </x:c>
      <x:c r="AA481" s="28" t="str">
        <x:v>The Art &amp; Science of Foodpairing.pdf</x:v>
      </x:c>
      <x:c r="AB481" s="28" t="str">
        <x:v>The Art &amp; Science of Foodpairing.pdf: 332</x:v>
      </x:c>
      <x:c r="AC481" s="28" t="str">
        <x:v>Пара встречается как grid; научное объяснение сформировано по ароматическому профилю и пищевой матрице.</x:v>
      </x:c>
      <x:c r="AD481" s="28" t="n">
        <x:v>1</x:v>
      </x:c>
      <x:c r="AE481" s="28" t="n">
        <x:v>1</x:v>
      </x:c>
      <x:c r="AF481" s="28" t="n">
        <x:f>IF(Z481="Высокая",3,IF(Z481="Средняя",2,1))+AD481*2+MIN(AE481,3)</x:f>
        <x:v>5</x:v>
      </x:c>
    </x:row>
    <x:row r="482" ht="62" customHeight="1">
      <x:c r="A482" s="28" t="str">
        <x:v>NCT-0481</x:v>
      </x:c>
      <x:c r="B482" s="28" t="str">
        <x:v>фундук</x:v>
      </x:c>
      <x:c r="C482" s="28" t="str">
        <x:v>Универсальные</x:v>
      </x:c>
      <x:c r="D482" s="28" t="str">
        <x:v>фундук</x:v>
      </x:c>
      <x:c r="E482" s="28" t="str">
        <x:v>hazelnut</x:v>
      </x:c>
      <x:c r="F482" s="28" t="str">
        <x:v>Орехи и семена</x:v>
      </x:c>
      <x:c r="G482" s="28" t="str">
        <x:v>pandanleaf</x:v>
      </x:c>
      <x:c r="H482" s="28" t="str">
        <x:v>pandanleaf</x:v>
      </x:c>
      <x:c r="I482" s="28" t="str">
        <x:v>Травы, цветы и листья</x:v>
      </x:c>
      <x:c r="J482" s="28" t="str">
        <x:v>ореховый, жареный, сладкий, землистый и какаоподобный</x:v>
      </x:c>
      <x:c r="K482" s="28" t="str">
        <x:v>зелёный, цветочный и терпеновый</x:v>
      </x:c>
      <x:c r="L482" s="28" t="str">
        <x:v>фильбертон, пиразины, фураны, альдегиды</x:v>
      </x:c>
      <x:c r="M482" s="28" t="str">
        <x:v>линалоол, терпены</x:v>
      </x:c>
      <x:c r="N482" s="28" t="str">
        <x:v>прямое пересечение семейств не является единственным объяснением</x:v>
      </x:c>
      <x:c r="O482" s="28" t="str">
        <x:v>надежная общая ключевая молекула не подтверждена</x:v>
      </x:c>
      <x:c r="P482" s="28" t="str">
        <x:v>сенсорная комплементарность</x:v>
      </x:c>
      <x:c r="Q48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82" s="28" t="str">
        <x:v>минимальный</x:v>
      </x:c>
      <x:c r="S482" s="28" t="str">
        <x:v>высокожировая матрица с белком; эффективно переносит аромат в пралине и пастах</x:v>
      </x:c>
      <x:c r="T48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82" s="28" t="str">
        <x:v>Фундук имеет профиль «ореховый, жареный, сладкий, землистый и какаоподобный». Партнёр «pandanleaf»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82" s="28" t="str">
        <x:v>аллерген и чувствительность к прогорканию; пережаривание даёт дымную горечь</x:v>
      </x:c>
      <x:c r="W482" s="28" t="str">
        <x:v>цитрус, мёд или сливки</x:v>
      </x:c>
      <x:c r="X482" s="28" t="str">
        <x:v>пралине, паста, выпечка, гарнир, соус, молочный или коктейльный компонент с pandanleaf</x:v>
      </x:c>
      <x:c r="Y482" s="28" t="str">
        <x:v>десерты</x:v>
      </x:c>
      <x:c r="Z482" s="28" t="str">
        <x:v>Средняя</x:v>
      </x:c>
      <x:c r="AA482" s="28" t="str">
        <x:v>The Art &amp; Science of Foodpairing.pdf</x:v>
      </x:c>
      <x:c r="AB482" s="28" t="str">
        <x:v>The Art &amp; Science of Foodpairing.pdf: 332</x:v>
      </x:c>
      <x:c r="AC482" s="28" t="str">
        <x:v>Пара встречается как grid; научное объяснение сформировано по ароматическому профилю и пищевой матрице.</x:v>
      </x:c>
      <x:c r="AD482" s="28" t="n">
        <x:v>1</x:v>
      </x:c>
      <x:c r="AE482" s="28" t="n">
        <x:v>1</x:v>
      </x:c>
      <x:c r="AF482" s="28" t="n">
        <x:f>IF(Z482="Высокая",3,IF(Z482="Средняя",2,1))+AD482*2+MIN(AE482,3)</x:f>
        <x:v>5</x:v>
      </x:c>
    </x:row>
    <x:row r="483" ht="62" customHeight="1">
      <x:c r="A483" s="28" t="str">
        <x:v>NCT-0482</x:v>
      </x:c>
      <x:c r="B483" s="28" t="str">
        <x:v>фундук</x:v>
      </x:c>
      <x:c r="C483" s="28" t="str">
        <x:v>Еда и соусы</x:v>
      </x:c>
      <x:c r="D483" s="28" t="str">
        <x:v>фундук</x:v>
      </x:c>
      <x:c r="E483" s="28" t="str">
        <x:v>hazelnut</x:v>
      </x:c>
      <x:c r="F483" s="28" t="str">
        <x:v>Орехи и семена</x:v>
      </x:c>
      <x:c r="G483" s="28" t="str">
        <x:v>poached cod fillet</x:v>
      </x:c>
      <x:c r="H483" s="28" t="str">
        <x:v>poached cod fillet</x:v>
      </x:c>
      <x:c r="I483" s="28" t="str">
        <x:v>Рыба и морепродукты</x:v>
      </x:c>
      <x:c r="J483" s="28" t="str">
        <x:v>ореховый, жареный, сладкий, землистый и какаоподобный</x:v>
      </x:c>
      <x:c r="K483" s="28" t="str">
        <x:v>морской, солоноватый и умами</x:v>
      </x:c>
      <x:c r="L483" s="28" t="str">
        <x:v>фильбертон, пиразины, фураны, альдегиды</x:v>
      </x:c>
      <x:c r="M483" s="28" t="str">
        <x:v>альдегиды, амины</x:v>
      </x:c>
      <x:c r="N483" s="28" t="str">
        <x:v>прямое пересечение семейств не является единственным объяснением</x:v>
      </x:c>
      <x:c r="O483" s="28" t="str">
        <x:v>альдегиды</x:v>
      </x:c>
      <x:c r="P483" s="28" t="str">
        <x:v>общие ароматические соединения, солёно-умами контраст</x:v>
      </x:c>
      <x:c r="Q48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83" s="28" t="str">
        <x:v>минимальный</x:v>
      </x:c>
      <x:c r="S483" s="28" t="str">
        <x:v>высокожировая матрица с белком; эффективно переносит аромат в пралине и пастах</x:v>
      </x:c>
      <x:c r="T48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83" s="28" t="str">
        <x:v>Фундук имеет профиль «ореховый, жареный, сладкий, землистый и какаоподобный». Партнёр «poached cod fillet»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83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W483" s="28" t="str">
        <x:v>соль, соевый соус, коричневое масло или специя</x:v>
      </x:c>
      <x:c r="X483" s="28" t="str">
        <x:v>пралине, паста, выпечка, гарнир, соус, молочный или коктейльный компонент с poached cod fillet</x:v>
      </x:c>
      <x:c r="Y483" s="28" t="str">
        <x:v>еда, десерты, соусы/маринады</x:v>
      </x:c>
      <x:c r="Z483" s="28" t="str">
        <x:v>Средняя</x:v>
      </x:c>
      <x:c r="AA483" s="28" t="str">
        <x:v>The Art &amp; Science of Foodpairing.pdf</x:v>
      </x:c>
      <x:c r="AB483" s="28" t="str">
        <x:v>The Art &amp; Science of Foodpairing.pdf: 332</x:v>
      </x:c>
      <x:c r="AC483" s="28" t="str">
        <x:v>Пара встречается как grid; научное объяснение сформировано по ароматическому профилю и пищевой матрице.</x:v>
      </x:c>
      <x:c r="AD483" s="28" t="n">
        <x:v>1</x:v>
      </x:c>
      <x:c r="AE483" s="28" t="n">
        <x:v>1</x:v>
      </x:c>
      <x:c r="AF483" s="28" t="n">
        <x:f>IF(Z483="Высокая",3,IF(Z483="Средняя",2,1))+AD483*2+MIN(AE483,3)</x:f>
        <x:v>5</x:v>
      </x:c>
    </x:row>
    <x:row r="484" ht="62" customHeight="1">
      <x:c r="A484" s="28" t="str">
        <x:v>NCT-0483</x:v>
      </x:c>
      <x:c r="B484" s="28" t="str">
        <x:v>фундук</x:v>
      </x:c>
      <x:c r="C484" s="28" t="str">
        <x:v>Еда и соусы</x:v>
      </x:c>
      <x:c r="D484" s="28" t="str">
        <x:v>фундук</x:v>
      </x:c>
      <x:c r="E484" s="28" t="str">
        <x:v>hazelnut</x:v>
      </x:c>
      <x:c r="F484" s="28" t="str">
        <x:v>Орехи и семена</x:v>
      </x:c>
      <x:c r="G484" s="28" t="str">
        <x:v>poached salmon</x:v>
      </x:c>
      <x:c r="H484" s="28" t="str">
        <x:v>poached salmon</x:v>
      </x:c>
      <x:c r="I484" s="28" t="str">
        <x:v>Рыба и морепродукты</x:v>
      </x:c>
      <x:c r="J484" s="28" t="str">
        <x:v>ореховый, жареный, сладкий, землистый и какаоподобный</x:v>
      </x:c>
      <x:c r="K484" s="28" t="str">
        <x:v>морской, солоноватый и умами</x:v>
      </x:c>
      <x:c r="L484" s="28" t="str">
        <x:v>фильбертон, пиразины, фураны, альдегиды</x:v>
      </x:c>
      <x:c r="M484" s="28" t="str">
        <x:v>альдегиды, амины</x:v>
      </x:c>
      <x:c r="N484" s="28" t="str">
        <x:v>прямое пересечение семейств не является единственным объяснением</x:v>
      </x:c>
      <x:c r="O484" s="28" t="str">
        <x:v>альдегиды</x:v>
      </x:c>
      <x:c r="P484" s="28" t="str">
        <x:v>общие ароматические соединения, солёно-умами контраст</x:v>
      </x:c>
      <x:c r="Q48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84" s="28" t="str">
        <x:v>минимальный</x:v>
      </x:c>
      <x:c r="S484" s="28" t="str">
        <x:v>высокожировая матрица с белком; эффективно переносит аромат в пралине и пастах</x:v>
      </x:c>
      <x:c r="T48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84" s="28" t="str">
        <x:v>Фундук имеет профиль «ореховый, жареный, сладкий, землистый и какаоподобный». Партнёр «poached salmon»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84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W484" s="28" t="str">
        <x:v>соль, соевый соус, коричневое масло или специя</x:v>
      </x:c>
      <x:c r="X484" s="28" t="str">
        <x:v>пралине, паста, выпечка, гарнир, соус, молочный или коктейльный компонент с poached salmon</x:v>
      </x:c>
      <x:c r="Y484" s="28" t="str">
        <x:v>еда, десерты, соусы/маринады</x:v>
      </x:c>
      <x:c r="Z484" s="28" t="str">
        <x:v>Средняя</x:v>
      </x:c>
      <x:c r="AA484" s="28" t="str">
        <x:v>The Art &amp; Science of Foodpairing.pdf</x:v>
      </x:c>
      <x:c r="AB484" s="28" t="str">
        <x:v>The Art &amp; Science of Foodpairing.pdf: 332</x:v>
      </x:c>
      <x:c r="AC484" s="28" t="str">
        <x:v>Пара встречается как grid; научное объяснение сформировано по ароматическому профилю и пищевой матрице.</x:v>
      </x:c>
      <x:c r="AD484" s="28" t="n">
        <x:v>1</x:v>
      </x:c>
      <x:c r="AE484" s="28" t="n">
        <x:v>1</x:v>
      </x:c>
      <x:c r="AF484" s="28" t="n">
        <x:f>IF(Z484="Высокая",3,IF(Z484="Средняя",2,1))+AD484*2+MIN(AE484,3)</x:f>
        <x:v>5</x:v>
      </x:c>
    </x:row>
    <x:row r="485" ht="62" customHeight="1">
      <x:c r="A485" s="28" t="str">
        <x:v>NCT-0484</x:v>
      </x:c>
      <x:c r="B485" s="28" t="str">
        <x:v>фундук</x:v>
      </x:c>
      <x:c r="C485" s="28" t="str">
        <x:v>Еда и соусы</x:v>
      </x:c>
      <x:c r="D485" s="28" t="str">
        <x:v>фундук</x:v>
      </x:c>
      <x:c r="E485" s="28" t="str">
        <x:v>hazelnut</x:v>
      </x:c>
      <x:c r="F485" s="28" t="str">
        <x:v>Орехи и семена</x:v>
      </x:c>
      <x:c r="G485" s="28" t="str">
        <x:v>poached turbot</x:v>
      </x:c>
      <x:c r="H485" s="28" t="str">
        <x:v>poached turbot</x:v>
      </x:c>
      <x:c r="I485" s="28" t="str">
        <x:v>Рыба и морепродукты</x:v>
      </x:c>
      <x:c r="J485" s="28" t="str">
        <x:v>ореховый, жареный, сладкий, землистый и какаоподобный</x:v>
      </x:c>
      <x:c r="K485" s="28" t="str">
        <x:v>морской, солоноватый и умами</x:v>
      </x:c>
      <x:c r="L485" s="28" t="str">
        <x:v>фильбертон, пиразины, фураны, альдегиды</x:v>
      </x:c>
      <x:c r="M485" s="28" t="str">
        <x:v>альдегиды, амины</x:v>
      </x:c>
      <x:c r="N485" s="28" t="str">
        <x:v>прямое пересечение семейств не является единственным объяснением</x:v>
      </x:c>
      <x:c r="O485" s="28" t="str">
        <x:v>альдегиды</x:v>
      </x:c>
      <x:c r="P485" s="28" t="str">
        <x:v>общие ароматические соединения, солёно-умами контраст</x:v>
      </x:c>
      <x:c r="Q48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85" s="28" t="str">
        <x:v>минимальный</x:v>
      </x:c>
      <x:c r="S485" s="28" t="str">
        <x:v>высокожировая матрица с белком; эффективно переносит аромат в пралине и пастах</x:v>
      </x:c>
      <x:c r="T48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85" s="28" t="str">
        <x:v>Фундук имеет профиль «ореховый, жареный, сладкий, землистый и какаоподобный». Партнёр «poached turbot»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85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W485" s="28" t="str">
        <x:v>соль, соевый соус, коричневое масло или специя</x:v>
      </x:c>
      <x:c r="X485" s="28" t="str">
        <x:v>пралине, паста, выпечка, гарнир, соус, молочный или коктейльный компонент с poached turbot</x:v>
      </x:c>
      <x:c r="Y485" s="28" t="str">
        <x:v>еда, десерты, соусы/маринады</x:v>
      </x:c>
      <x:c r="Z485" s="28" t="str">
        <x:v>Средняя</x:v>
      </x:c>
      <x:c r="AA485" s="28" t="str">
        <x:v>The Art &amp; Science of Foodpairing.pdf</x:v>
      </x:c>
      <x:c r="AB485" s="28" t="str">
        <x:v>The Art &amp; Science of Foodpairing.pdf: 332</x:v>
      </x:c>
      <x:c r="AC485" s="28" t="str">
        <x:v>Пара встречается как grid; научное объяснение сформировано по ароматическому профилю и пищевой матрице.</x:v>
      </x:c>
      <x:c r="AD485" s="28" t="n">
        <x:v>1</x:v>
      </x:c>
      <x:c r="AE485" s="28" t="n">
        <x:v>1</x:v>
      </x:c>
      <x:c r="AF485" s="28" t="n">
        <x:f>IF(Z485="Высокая",3,IF(Z485="Средняя",2,1))+AD485*2+MIN(AE485,3)</x:f>
        <x:v>5</x:v>
      </x:c>
    </x:row>
    <x:row r="486" ht="62" customHeight="1">
      <x:c r="A486" s="28" t="str">
        <x:v>NCT-0485</x:v>
      </x:c>
      <x:c r="B486" s="28" t="str">
        <x:v>фундук</x:v>
      </x:c>
      <x:c r="C486" s="28" t="str">
        <x:v>Еда и соусы</x:v>
      </x:c>
      <x:c r="D486" s="28" t="str">
        <x:v>фундук</x:v>
      </x:c>
      <x:c r="E486" s="28" t="str">
        <x:v>hazelnut</x:v>
      </x:c>
      <x:c r="F486" s="28" t="str">
        <x:v>Орехи и семена</x:v>
      </x:c>
      <x:c r="G486" s="28" t="str">
        <x:v>pumpkin seed oil</x:v>
      </x:c>
      <x:c r="H486" s="28" t="str">
        <x:v>pumpkin seed oil</x:v>
      </x:c>
      <x:c r="I486" s="28" t="str">
        <x:v>Овощи, бобовые и грибы</x:v>
      </x:c>
      <x:c r="J486" s="28" t="str">
        <x:v>ореховый, жареный, сладкий, землистый и какаоподобный</x:v>
      </x:c>
      <x:c r="K486" s="28" t="str">
        <x:v>зелёный, землистый или умами</x:v>
      </x:c>
      <x:c r="L486" s="28" t="str">
        <x:v>фильбертон, пиразины, фураны, альдегиды</x:v>
      </x:c>
      <x:c r="M486" s="28" t="str">
        <x:v>альдегиды, сернистые соединения</x:v>
      </x:c>
      <x:c r="N486" s="28" t="str">
        <x:v>прямое пересечение семейств не является единственным объяснением</x:v>
      </x:c>
      <x:c r="O486" s="28" t="str">
        <x:v>альдегиды</x:v>
      </x:c>
      <x:c r="P486" s="28" t="str">
        <x:v>общие ароматические соединения</x:v>
      </x:c>
      <x:c r="Q48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86" s="28" t="str">
        <x:v>минимальный</x:v>
      </x:c>
      <x:c r="S486" s="28" t="str">
        <x:v>высокожировая матрица с белком; эффективно переносит аромат в пралине и пастах</x:v>
      </x:c>
      <x:c r="T48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86" s="28" t="str">
        <x:v>Фундук имеет профиль «ореховый, жареный, сладкий, землистый и какаоподобный». Партнёр «pumpkin seed oil»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86" s="28" t="str">
        <x:v>аллерген и чувствительность к прогорканию; пережаривание даёт дымную горечь</x:v>
      </x:c>
      <x:c r="W486" s="28" t="str">
        <x:v>соль, ваниль или карамель</x:v>
      </x:c>
      <x:c r="X486" s="28" t="str">
        <x:v>пралине, паста, выпечка, гарнир, соус, молочный или коктейльный компонент с pumpkin seed oil</x:v>
      </x:c>
      <x:c r="Y486" s="28" t="str">
        <x:v>еда, десерты, соусы/маринады</x:v>
      </x:c>
      <x:c r="Z486" s="28" t="str">
        <x:v>Средняя</x:v>
      </x:c>
      <x:c r="AA486" s="28" t="str">
        <x:v>The Art &amp; Science of Foodpairing.pdf</x:v>
      </x:c>
      <x:c r="AB486" s="28" t="str">
        <x:v>The Art &amp; Science of Foodpairing.pdf: 332</x:v>
      </x:c>
      <x:c r="AC486" s="28" t="str">
        <x:v>Пара встречается как grid; научное объяснение сформировано по ароматическому профилю и пищевой матрице.</x:v>
      </x:c>
      <x:c r="AD486" s="28" t="n">
        <x:v>1</x:v>
      </x:c>
      <x:c r="AE486" s="28" t="n">
        <x:v>1</x:v>
      </x:c>
      <x:c r="AF486" s="28" t="n">
        <x:f>IF(Z486="Высокая",3,IF(Z486="Средняя",2,1))+AD486*2+MIN(AE486,3)</x:f>
        <x:v>5</x:v>
      </x:c>
    </x:row>
    <x:row r="487" ht="62" customHeight="1">
      <x:c r="A487" s="28" t="str">
        <x:v>NCT-0486</x:v>
      </x:c>
      <x:c r="B487" s="28" t="str">
        <x:v>фундук</x:v>
      </x:c>
      <x:c r="C487" s="28" t="str">
        <x:v>Универсальные</x:v>
      </x:c>
      <x:c r="D487" s="28" t="str">
        <x:v>фундук</x:v>
      </x:c>
      <x:c r="E487" s="28" t="str">
        <x:v>roasted hazelnut</x:v>
      </x:c>
      <x:c r="F487" s="28" t="str">
        <x:v>Орехи и семена</x:v>
      </x:c>
      <x:c r="G487" s="28" t="str">
        <x:v>red bell pepper and paprika</x:v>
      </x:c>
      <x:c r="H487" s="28" t="str">
        <x:v>red bell pepper and paprika</x:v>
      </x:c>
      <x:c r="I487" s="28" t="str">
        <x:v>Специи</x:v>
      </x:c>
      <x:c r="J487" s="28" t="str">
        <x:v>ореховый, жареный, сладкий, землистый и какаоподобный</x:v>
      </x:c>
      <x:c r="K487" s="28" t="str">
        <x:v>пряный и древесный</x:v>
      </x:c>
      <x:c r="L487" s="28" t="str">
        <x:v>фильбертон, пиразины, фураны, альдегиды</x:v>
      </x:c>
      <x:c r="M487" s="28" t="str">
        <x:v>терпены, фенилпропаноиды</x:v>
      </x:c>
      <x:c r="N487" s="28" t="str">
        <x:v>прямое пересечение семейств не является единственным объяснением</x:v>
      </x:c>
      <x:c r="O487" s="28" t="str">
        <x:v>надежная общая ключевая молекула не подтверждена</x:v>
      </x:c>
      <x:c r="P487" s="28" t="str">
        <x:v>сенсорная комплементарность</x:v>
      </x:c>
      <x:c r="Q48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87" s="28" t="str">
        <x:v>минимальный</x:v>
      </x:c>
      <x:c r="S487" s="28" t="str">
        <x:v>высокожировая матрица с белком; эффективно переносит аромат в пралине и пастах</x:v>
      </x:c>
      <x:c r="T48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87" s="28" t="str">
        <x:v>Фундук имеет профиль «ореховый, жареный, сладкий, землистый и какаоподобный». Партнёр «red bell pepper and paprika»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87" s="28" t="str">
        <x:v>аллерген и чувствительность к прогорканию; пережаривание даёт дымную горечь</x:v>
      </x:c>
      <x:c r="W487" s="28" t="str">
        <x:v>ваниль, апельсин или мёд</x:v>
      </x:c>
      <x:c r="X487" s="28" t="str">
        <x:v>пралине, паста, выпечка, гарнир, соус, молочный или коктейльный компонент с red bell pepper and paprika</x:v>
      </x:c>
      <x:c r="Y487" s="28" t="str">
        <x:v>десерты</x:v>
      </x:c>
      <x:c r="Z487" s="28" t="str">
        <x:v>Средняя</x:v>
      </x:c>
      <x:c r="AA487" s="28" t="str">
        <x:v>The Art &amp; Science of Foodpairing.pdf</x:v>
      </x:c>
      <x:c r="AB487" s="28" t="str">
        <x:v>The Art &amp; Science of Foodpairing.pdf: 108</x:v>
      </x:c>
      <x:c r="AC487" s="28" t="str">
        <x:v>Пара встречается как grid; научное объяснение сформировано по ароматическому профилю и пищевой матрице.</x:v>
      </x:c>
      <x:c r="AD487" s="28" t="n">
        <x:v>1</x:v>
      </x:c>
      <x:c r="AE487" s="28" t="n">
        <x:v>1</x:v>
      </x:c>
      <x:c r="AF487" s="28" t="n">
        <x:f>IF(Z487="Высокая",3,IF(Z487="Средняя",2,1))+AD487*2+MIN(AE487,3)</x:f>
        <x:v>5</x:v>
      </x:c>
    </x:row>
    <x:row r="488" ht="62" customHeight="1">
      <x:c r="A488" s="28" t="str">
        <x:v>NCT-0487</x:v>
      </x:c>
      <x:c r="B488" s="28" t="str">
        <x:v>фундук</x:v>
      </x:c>
      <x:c r="C488" s="28" t="str">
        <x:v>Еда и соусы</x:v>
      </x:c>
      <x:c r="D488" s="28" t="str">
        <x:v>фундук</x:v>
      </x:c>
      <x:c r="E488" s="28" t="str">
        <x:v>hazelnut</x:v>
      </x:c>
      <x:c r="F488" s="28" t="str">
        <x:v>Орехи и семена</x:v>
      </x:c>
      <x:c r="G488" s="28" t="str">
        <x:v>salted sardine</x:v>
      </x:c>
      <x:c r="H488" s="28" t="str">
        <x:v>salted sardine</x:v>
      </x:c>
      <x:c r="I488" s="28" t="str">
        <x:v>Рыба и морепродукты</x:v>
      </x:c>
      <x:c r="J488" s="28" t="str">
        <x:v>ореховый, жареный, сладкий, землистый и какаоподобный</x:v>
      </x:c>
      <x:c r="K488" s="28" t="str">
        <x:v>морской, солоноватый и умами</x:v>
      </x:c>
      <x:c r="L488" s="28" t="str">
        <x:v>фильбертон, пиразины, фураны, альдегиды</x:v>
      </x:c>
      <x:c r="M488" s="28" t="str">
        <x:v>альдегиды, амины</x:v>
      </x:c>
      <x:c r="N488" s="28" t="str">
        <x:v>прямое пересечение семейств не является единственным объяснением</x:v>
      </x:c>
      <x:c r="O488" s="28" t="str">
        <x:v>альдегиды</x:v>
      </x:c>
      <x:c r="P488" s="28" t="str">
        <x:v>общие ароматические соединения, солёно-умами контраст</x:v>
      </x:c>
      <x:c r="Q48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88" s="28" t="str">
        <x:v>минимальный</x:v>
      </x:c>
      <x:c r="S488" s="28" t="str">
        <x:v>высокожировая матрица с белком; эффективно переносит аромат в пралине и пастах</x:v>
      </x:c>
      <x:c r="T48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88" s="28" t="str">
        <x:v>Фундук имеет профиль «ореховый, жареный, сладкий, землистый и какаоподобный». Партнёр «salted sardine»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88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W488" s="28" t="str">
        <x:v>соль, соевый соус, коричневое масло или специя</x:v>
      </x:c>
      <x:c r="X488" s="28" t="str">
        <x:v>пралине, паста, выпечка, гарнир, соус, молочный или коктейльный компонент с salted sardine</x:v>
      </x:c>
      <x:c r="Y488" s="28" t="str">
        <x:v>еда, десерты, соусы/маринады</x:v>
      </x:c>
      <x:c r="Z488" s="28" t="str">
        <x:v>Средняя</x:v>
      </x:c>
      <x:c r="AA488" s="28" t="str">
        <x:v>The Art &amp; Science of Foodpairing.pdf</x:v>
      </x:c>
      <x:c r="AB488" s="28" t="str">
        <x:v>The Art &amp; Science of Foodpairing.pdf: 332</x:v>
      </x:c>
      <x:c r="AC488" s="28" t="str">
        <x:v>Пара встречается как grid; научное объяснение сформировано по ароматическому профилю и пищевой матрице.</x:v>
      </x:c>
      <x:c r="AD488" s="28" t="n">
        <x:v>1</x:v>
      </x:c>
      <x:c r="AE488" s="28" t="n">
        <x:v>1</x:v>
      </x:c>
      <x:c r="AF488" s="28" t="n">
        <x:f>IF(Z488="Высокая",3,IF(Z488="Средняя",2,1))+AD488*2+MIN(AE488,3)</x:f>
        <x:v>5</x:v>
      </x:c>
    </x:row>
    <x:row r="489" ht="62" customHeight="1">
      <x:c r="A489" s="28" t="str">
        <x:v>NCT-0488</x:v>
      </x:c>
      <x:c r="B489" s="28" t="str">
        <x:v>фундук</x:v>
      </x:c>
      <x:c r="C489" s="28" t="str">
        <x:v>Напитки</x:v>
      </x:c>
      <x:c r="D489" s="28" t="str">
        <x:v>фундук</x:v>
      </x:c>
      <x:c r="E489" s="28" t="str">
        <x:v>hazelnut</x:v>
      </x:c>
      <x:c r="F489" s="28" t="str">
        <x:v>Орехи и семена</x:v>
      </x:c>
      <x:c r="G489" s="28" t="str">
        <x:v>senchatea</x:v>
      </x:c>
      <x:c r="H489" s="28" t="str">
        <x:v>senchatea</x:v>
      </x:c>
      <x:c r="I489" s="28" t="str">
        <x:v>Чай</x:v>
      </x:c>
      <x:c r="J489" s="28" t="str">
        <x:v>ореховый, жареный, сладкий, землистый и какаоподобный</x:v>
      </x:c>
      <x:c r="K489" s="28" t="str">
        <x:v>цветочный, древесный или зелёный</x:v>
      </x:c>
      <x:c r="L489" s="28" t="str">
        <x:v>фильбертон, пиразины, фураны, альдегиды</x:v>
      </x:c>
      <x:c r="M489" s="28" t="str">
        <x:v>линалоол, полифенолы</x:v>
      </x:c>
      <x:c r="N489" s="28" t="str">
        <x:v>прямое пересечение семейств не является единственным объяснением</x:v>
      </x:c>
      <x:c r="O489" s="28" t="str">
        <x:v>надежная общая ключевая молекула не подтверждена</x:v>
      </x:c>
      <x:c r="P489" s="28" t="str">
        <x:v>сенсорная комплементарность</x:v>
      </x:c>
      <x:c r="Q48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89" s="28" t="str">
        <x:v>минимальный</x:v>
      </x:c>
      <x:c r="S489" s="28" t="str">
        <x:v>высокожировая матрица с белком; эффективно переносит аромат в пралине и пастах Вода извлекает танины быстрее, чем гидрофобные ореховые и какаовые молекулы, поэтому полезна жировая или спиртовая мостовая фаза.</x:v>
      </x:c>
      <x:c r="T48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89" s="28" t="str">
        <x:v>Фундук имеет профиль «ореховый, жареный, сладкий, землистый и какаоподобный». Партнёр «senchatea» относится к группе «Чай» и даёт цветочный, древесный или зелёный.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89" s="28" t="str">
        <x:v>аллерген и чувствительность к прогорканию; пережаривание даёт дымную горечь</x:v>
      </x:c>
      <x:c r="W489" s="28" t="str">
        <x:v>соль, ваниль или карамель</x:v>
      </x:c>
      <x:c r="X489" s="28" t="str">
        <x:v>пралине, паста, выпечка, гарнир, соус, молочный или коктейльный компонент с senchatea</x:v>
      </x:c>
      <x:c r="Y489" s="28" t="str">
        <x:v>напитки, десерты</x:v>
      </x:c>
      <x:c r="Z489" s="28" t="str">
        <x:v>Средняя</x:v>
      </x:c>
      <x:c r="AA489" s="28" t="str">
        <x:v>The Art &amp; Science of Foodpairing.pdf</x:v>
      </x:c>
      <x:c r="AB489" s="28" t="str">
        <x:v>The Art &amp; Science of Foodpairing.pdf: 332</x:v>
      </x:c>
      <x:c r="AC489" s="28" t="str">
        <x:v>Пара встречается как grid; научное объяснение сформировано по ароматическому профилю и пищевой матрице.</x:v>
      </x:c>
      <x:c r="AD489" s="28" t="n">
        <x:v>1</x:v>
      </x:c>
      <x:c r="AE489" s="28" t="n">
        <x:v>1</x:v>
      </x:c>
      <x:c r="AF489" s="28" t="n">
        <x:f>IF(Z489="Высокая",3,IF(Z489="Средняя",2,1))+AD489*2+MIN(AE489,3)</x:f>
        <x:v>5</x:v>
      </x:c>
    </x:row>
    <x:row r="490" ht="62" customHeight="1">
      <x:c r="A490" s="28" t="str">
        <x:v>NCT-0489</x:v>
      </x:c>
      <x:c r="B490" s="28" t="str">
        <x:v>фундук</x:v>
      </x:c>
      <x:c r="C490" s="28" t="str">
        <x:v>Еда и соусы</x:v>
      </x:c>
      <x:c r="D490" s="28" t="str">
        <x:v>фундук</x:v>
      </x:c>
      <x:c r="E490" s="28" t="str">
        <x:v>hazelnut</x:v>
      </x:c>
      <x:c r="F490" s="28" t="str">
        <x:v>Орехи и семена</x:v>
      </x:c>
      <x:c r="G490" s="28" t="str">
        <x:v>sweet potato</x:v>
      </x:c>
      <x:c r="H490" s="28" t="str">
        <x:v>sweet potato</x:v>
      </x:c>
      <x:c r="I490" s="28" t="str">
        <x:v>Овощи, бобовые и грибы</x:v>
      </x:c>
      <x:c r="J490" s="28" t="str">
        <x:v>ореховый, жареный, сладкий, землистый и какаоподобный</x:v>
      </x:c>
      <x:c r="K490" s="28" t="str">
        <x:v>зелёный, землистый или умами</x:v>
      </x:c>
      <x:c r="L490" s="28" t="str">
        <x:v>фильбертон, пиразины, фураны, альдегиды</x:v>
      </x:c>
      <x:c r="M490" s="28" t="str">
        <x:v>альдегиды, сернистые соединения</x:v>
      </x:c>
      <x:c r="N490" s="28" t="str">
        <x:v>прямое пересечение семейств не является единственным объяснением</x:v>
      </x:c>
      <x:c r="O490" s="28" t="str">
        <x:v>альдегиды</x:v>
      </x:c>
      <x:c r="P490" s="28" t="str">
        <x:v>общие ароматические соединения</x:v>
      </x:c>
      <x:c r="Q49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90" s="28" t="str">
        <x:v>минимальный</x:v>
      </x:c>
      <x:c r="S490" s="28" t="str">
        <x:v>высокожировая матрица с белком; эффективно переносит аромат в пралине и пастах</x:v>
      </x:c>
      <x:c r="T49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90" s="28" t="str">
        <x:v>Фундук имеет профиль «ореховый, жареный, сладкий, землистый и какаоподобный». Партнёр «sweet potato»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90" s="28" t="str">
        <x:v>аллерген и чувствительность к прогорканию; пережаривание даёт дымную горечь</x:v>
      </x:c>
      <x:c r="W490" s="28" t="str">
        <x:v>соль, ваниль или карамель</x:v>
      </x:c>
      <x:c r="X490" s="28" t="str">
        <x:v>пралине, паста, выпечка, гарнир, соус, молочный или коктейльный компонент с sweet potato</x:v>
      </x:c>
      <x:c r="Y490" s="28" t="str">
        <x:v>еда, десерты, соусы/маринады</x:v>
      </x:c>
      <x:c r="Z490" s="28" t="str">
        <x:v>Средняя</x:v>
      </x:c>
      <x:c r="AA490" s="28" t="str">
        <x:v>The Art &amp; Science of Foodpairing.pdf</x:v>
      </x:c>
      <x:c r="AB490" s="28" t="str">
        <x:v>The Art &amp; Science of Foodpairing.pdf: 119</x:v>
      </x:c>
      <x:c r="AC490" s="28" t="str">
        <x:v>Пара встречается как grid; научное объяснение сформировано по ароматическому профилю и пищевой матрице.</x:v>
      </x:c>
      <x:c r="AD490" s="28" t="n">
        <x:v>1</x:v>
      </x:c>
      <x:c r="AE490" s="28" t="n">
        <x:v>1</x:v>
      </x:c>
      <x:c r="AF490" s="28" t="n">
        <x:f>IF(Z490="Высокая",3,IF(Z490="Средняя",2,1))+AD490*2+MIN(AE490,3)</x:f>
        <x:v>5</x:v>
      </x:c>
    </x:row>
    <x:row r="491" ht="62" customHeight="1">
      <x:c r="A491" s="28" t="str">
        <x:v>NCT-0490</x:v>
      </x:c>
      <x:c r="B491" s="28" t="str">
        <x:v>фундук</x:v>
      </x:c>
      <x:c r="C491" s="28" t="str">
        <x:v>Десерты и выпечка</x:v>
      </x:c>
      <x:c r="D491" s="28" t="str">
        <x:v>фундук</x:v>
      </x:c>
      <x:c r="E491" s="28" t="str">
        <x:v>hazelnut oil | roasted hazelnut puree</x:v>
      </x:c>
      <x:c r="F491" s="28" t="str">
        <x:v>Орехи и семена</x:v>
      </x:c>
      <x:c r="G491" s="28" t="str">
        <x:v>watermelon</x:v>
      </x:c>
      <x:c r="H491" s="28" t="str">
        <x:v>watermelon</x:v>
      </x:c>
      <x:c r="I491" s="28" t="str">
        <x:v>Фрукты и ягоды</x:v>
      </x:c>
      <x:c r="J491" s="28" t="str">
        <x:v>ореховый, жареный, сладкий, землистый и какаоподобный</x:v>
      </x:c>
      <x:c r="K491" s="28" t="str">
        <x:v>фруктовый, цветочный и свежий</x:v>
      </x:c>
      <x:c r="L491" s="28" t="str">
        <x:v>фильбертон, пиразины, фураны, альдегиды</x:v>
      </x:c>
      <x:c r="M491" s="28" t="str">
        <x:v>альдегиды, эфиры</x:v>
      </x:c>
      <x:c r="N491" s="28" t="str">
        <x:v>прямое пересечение семейств не является единственным объяснением</x:v>
      </x:c>
      <x:c r="O491" s="28" t="str">
        <x:v>альдегиды</x:v>
      </x:c>
      <x:c r="P491" s="28" t="str">
        <x:v>общие ароматические соединения, контраст кислоты и жирной/горькой матрицы</x:v>
      </x:c>
      <x:c r="Q49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91" s="28" t="str">
        <x:v>минимальный</x:v>
      </x:c>
      <x:c r="S491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49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91" s="28" t="str">
        <x:v>Фундук имеет профиль «ореховый, жареный, сладкий, землистый и какаоподобный». Партнёр «watermelon»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91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491" s="28" t="str">
        <x:v>ваниль, цитрус или молочный жир</x:v>
      </x:c>
      <x:c r="X491" s="28" t="str">
        <x:v>пралине, паста, выпечка, гарнир, соус, молочный или коктейльный компонент с watermelon</x:v>
      </x:c>
      <x:c r="Y491" s="28" t="str">
        <x:v>десерты</x:v>
      </x:c>
      <x:c r="Z491" s="28" t="str">
        <x:v>Средняя</x:v>
      </x:c>
      <x:c r="AA491" s="28" t="str">
        <x:v>The Art &amp; Science of Foodpairing.pdf</x:v>
      </x:c>
      <x:c r="AB491" s="28" t="str">
        <x:v>The Art &amp; Science of Foodpairing.pdf: 78</x:v>
      </x:c>
      <x:c r="AC491" s="28" t="str">
        <x:v>Пара встречается как grid; научное объяснение сформировано по ароматическому профилю и пищевой матрице.</x:v>
      </x:c>
      <x:c r="AD491" s="28" t="n">
        <x:v>1</x:v>
      </x:c>
      <x:c r="AE491" s="28" t="n">
        <x:v>2</x:v>
      </x:c>
      <x:c r="AF491" s="28" t="n">
        <x:f>IF(Z491="Высокая",3,IF(Z491="Средняя",2,1))+AD491*2+MIN(AE491,3)</x:f>
        <x:v>6</x:v>
      </x:c>
    </x:row>
    <x:row r="492" ht="62" customHeight="1">
      <x:c r="A492" s="28" t="str">
        <x:v>NCT-0491</x:v>
      </x:c>
      <x:c r="B492" s="28" t="str">
        <x:v>фундук</x:v>
      </x:c>
      <x:c r="C492" s="28" t="str">
        <x:v>Десерты и выпечка</x:v>
      </x:c>
      <x:c r="D492" s="28" t="str">
        <x:v>фундук</x:v>
      </x:c>
      <x:c r="E492" s="28" t="str">
        <x:v>roasted hazelnut</x:v>
      </x:c>
      <x:c r="F492" s="28" t="str">
        <x:v>Орехи и семена</x:v>
      </x:c>
      <x:c r="G492" s="28" t="str">
        <x:v>абрикос</x:v>
      </x:c>
      <x:c r="H492" s="28" t="str">
        <x:v>apricot</x:v>
      </x:c>
      <x:c r="I492" s="28" t="str">
        <x:v>Фрукты и ягоды</x:v>
      </x:c>
      <x:c r="J492" s="28" t="str">
        <x:v>ореховый, жареный, сладкий, землистый и какаоподобный</x:v>
      </x:c>
      <x:c r="K492" s="28" t="str">
        <x:v>лактонный, миндальный, фруктовый</x:v>
      </x:c>
      <x:c r="L492" s="28" t="str">
        <x:v>фильбертон, пиразины, фураны, альдегиды</x:v>
      </x:c>
      <x:c r="M492" s="28" t="str">
        <x:v>бензальдегид, лактоны</x:v>
      </x:c>
      <x:c r="N492" s="28" t="str">
        <x:v>прямое пересечение семейств не является единственным объяснением</x:v>
      </x:c>
      <x:c r="O492" s="28" t="str">
        <x:v>надежная общая ключевая молекула не подтверждена</x:v>
      </x:c>
      <x:c r="P492" s="28" t="str">
        <x:v>контраст кислоты и жирной/горькой матрицы</x:v>
      </x:c>
      <x:c r="Q49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92" s="28" t="str">
        <x:v>минимальный</x:v>
      </x:c>
      <x:c r="S492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49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92" s="28" t="str">
        <x:v>Фундук имеет профиль «ореховый, жареный, сладкий, землистый и какаоподобный». Партнёр «абрикос» относится к группе «Фрукты и ягоды» и даёт лактонный, миндальный,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92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492" s="28" t="str">
        <x:v>ваниль, цитрус или молочный жир</x:v>
      </x:c>
      <x:c r="X492" s="28" t="str">
        <x:v>пралине, паста, выпечка, гарнир, соус, молочный или коктейльный компонент с абрикос</x:v>
      </x:c>
      <x:c r="Y492" s="28" t="str">
        <x:v>десерты</x:v>
      </x:c>
      <x:c r="Z492" s="28" t="str">
        <x:v>Средняя</x:v>
      </x:c>
      <x:c r="AA492" s="28" t="str">
        <x:v>The Art &amp; Science of Foodpairing.pdf</x:v>
      </x:c>
      <x:c r="AB492" s="28" t="str">
        <x:v>The Art &amp; Science of Foodpairing.pdf: 206</x:v>
      </x:c>
      <x:c r="AC492" s="28" t="str">
        <x:v>Пара встречается как grid; научное объяснение сформировано по ароматическому профилю и пищевой матрице.</x:v>
      </x:c>
      <x:c r="AD492" s="28" t="n">
        <x:v>1</x:v>
      </x:c>
      <x:c r="AE492" s="28" t="n">
        <x:v>1</x:v>
      </x:c>
      <x:c r="AF492" s="28" t="n">
        <x:f>IF(Z492="Высокая",3,IF(Z492="Средняя",2,1))+AD492*2+MIN(AE492,3)</x:f>
        <x:v>5</x:v>
      </x:c>
    </x:row>
    <x:row r="493" ht="62" customHeight="1">
      <x:c r="A493" s="28" t="str">
        <x:v>NCT-0492</x:v>
      </x:c>
      <x:c r="B493" s="28" t="str">
        <x:v>фундук</x:v>
      </x:c>
      <x:c r="C493" s="28" t="str">
        <x:v>Универсальные</x:v>
      </x:c>
      <x:c r="D493" s="28" t="str">
        <x:v>фундук</x:v>
      </x:c>
      <x:c r="E493" s="28" t="str">
        <x:v>Фундук | фундук</x:v>
      </x:c>
      <x:c r="F493" s="28" t="str">
        <x:v>Орехи и семена</x:v>
      </x:c>
      <x:c r="G493" s="28" t="str">
        <x:v>авокадо</x:v>
      </x:c>
      <x:c r="H493" s="28" t="str">
        <x:v>Авокадо | авокадо</x:v>
      </x:c>
      <x:c r="I493" s="28" t="str">
        <x:v>Прочее</x:v>
      </x:c>
      <x:c r="J493" s="28" t="str">
        <x:v>ореховый, жареный, сладкий, землистый и какаоподобный</x:v>
      </x:c>
      <x:c r="K493" s="28" t="str">
        <x:v>профиль зависит от конкретного продукта</x:v>
      </x:c>
      <x:c r="L493" s="28" t="str">
        <x:v>фильбертон, пиразины, фураны, альдегиды</x:v>
      </x:c>
      <x:c r="M493" s="28" t="str">
        <x:v>характерный профиль зависит от конкретного продукта</x:v>
      </x:c>
      <x:c r="N493" s="28" t="str">
        <x:v>прямое пересечение семейств не является единственным объяснением</x:v>
      </x:c>
      <x:c r="O493" s="28" t="str">
        <x:v>надежная общая ключевая молекула не подтверждена</x:v>
      </x:c>
      <x:c r="P493" s="28" t="str">
        <x:v>сенсорная комплементарность</x:v>
      </x:c>
      <x:c r="Q49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93" s="28" t="str">
        <x:v>минимальный</x:v>
      </x:c>
      <x:c r="S493" s="28" t="str">
        <x:v>высокожировая матрица с белком; эффективно переносит аромат в пралине и пастах</x:v>
      </x:c>
      <x:c r="T49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93" s="28" t="str">
        <x:v>Фундук имеет профиль «ореховый, жареный, сладкий, землистый и какаоподобный». Партнёр «авокадо»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93" s="28" t="str">
        <x:v>аллерген и чувствительность к прогорканию; пережаривание даёт дымную горечь</x:v>
      </x:c>
      <x:c r="W493" s="28" t="str">
        <x:v>соль, ваниль или карамель</x:v>
      </x:c>
      <x:c r="X493" s="28" t="str">
        <x:v>пралине, паста, выпечка, гарнир, соус, молочный или коктейльный компонент с авокадо</x:v>
      </x:c>
      <x:c r="Y493" s="28" t="str">
        <x:v>десерты</x:v>
      </x:c>
      <x:c r="Z493" s="28" t="str">
        <x:v>Средняя</x:v>
      </x:c>
      <x:c r="AA493" s="28" t="str">
        <x:v>Тезариус вкусов (Ники Сегнит)(1).pdf</x:v>
      </x:c>
      <x:c r="AB493" s="28" t="str">
        <x:v>Тезариус вкусов (Ники Сегнит)(1).pdf: 531, 632</x:v>
      </x:c>
      <x:c r="AC493" s="28" t="str">
        <x:v>Пара встречается как thesaurus; научное объяснение сформировано по ароматическому профилю и пищевой матрице.</x:v>
      </x:c>
      <x:c r="AD493" s="28" t="n">
        <x:v>1</x:v>
      </x:c>
      <x:c r="AE493" s="28" t="n">
        <x:v>2</x:v>
      </x:c>
      <x:c r="AF493" s="28" t="n">
        <x:f>IF(Z493="Высокая",3,IF(Z493="Средняя",2,1))+AD493*2+MIN(AE493,3)</x:f>
        <x:v>6</x:v>
      </x:c>
    </x:row>
    <x:row r="494" ht="62" customHeight="1">
      <x:c r="A494" s="28" t="str">
        <x:v>NCT-0493</x:v>
      </x:c>
      <x:c r="B494" s="28" t="str">
        <x:v>фундук</x:v>
      </x:c>
      <x:c r="C494" s="28" t="str">
        <x:v>Универсальные</x:v>
      </x:c>
      <x:c r="D494" s="28" t="str">
        <x:v>фундук</x:v>
      </x:c>
      <x:c r="E494" s="28" t="str">
        <x:v>фундук</x:v>
      </x:c>
      <x:c r="F494" s="28" t="str">
        <x:v>Орехи и семена</x:v>
      </x:c>
      <x:c r="G494" s="28" t="str">
        <x:v>айва</x:v>
      </x:c>
      <x:c r="H494" s="28" t="str">
        <x:v>Айва</x:v>
      </x:c>
      <x:c r="I494" s="28" t="str">
        <x:v>Прочее</x:v>
      </x:c>
      <x:c r="J494" s="28" t="str">
        <x:v>ореховый, жареный, сладкий, землистый и какаоподобный</x:v>
      </x:c>
      <x:c r="K494" s="28" t="str">
        <x:v>профиль зависит от конкретного продукта</x:v>
      </x:c>
      <x:c r="L494" s="28" t="str">
        <x:v>фильбертон, пиразины, фураны, альдегиды</x:v>
      </x:c>
      <x:c r="M494" s="28" t="str">
        <x:v>характерный профиль зависит от конкретного продукта</x:v>
      </x:c>
      <x:c r="N494" s="28" t="str">
        <x:v>прямое пересечение семейств не является единственным объяснением</x:v>
      </x:c>
      <x:c r="O494" s="28" t="str">
        <x:v>надежная общая ключевая молекула не подтверждена</x:v>
      </x:c>
      <x:c r="P494" s="28" t="str">
        <x:v>сенсорная комплементарность</x:v>
      </x:c>
      <x:c r="Q49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94" s="28" t="str">
        <x:v>минимальный</x:v>
      </x:c>
      <x:c r="S494" s="28" t="str">
        <x:v>высокожировая матрица с белком; эффективно переносит аромат в пралине и пастах</x:v>
      </x:c>
      <x:c r="T49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94" s="28" t="str">
        <x:v>Фундук имеет профиль «ореховый, жареный, сладкий, землистый и какаоподобный». Партнёр «айва»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94" s="28" t="str">
        <x:v>аллерген и чувствительность к прогорканию; пережаривание даёт дымную горечь</x:v>
      </x:c>
      <x:c r="W494" s="28" t="str">
        <x:v>соль, ваниль или карамель</x:v>
      </x:c>
      <x:c r="X494" s="28" t="str">
        <x:v>пралине, паста, выпечка, гарнир, соус, молочный или коктейльный компонент с айва</x:v>
      </x:c>
      <x:c r="Y494" s="28" t="str">
        <x:v>десерты</x:v>
      </x:c>
      <x:c r="Z494" s="28" t="str">
        <x:v>Гипотеза / практическая</x:v>
      </x:c>
      <x:c r="AA494" s="28" t="str">
        <x:v>Таблица сочетания(1).pdf</x:v>
      </x:c>
      <x:c r="AB494" s="28" t="str">
        <x:v>Таблица сочетания(1).pdf: 18</x:v>
      </x:c>
      <x:c r="AC494" s="28" t="str">
        <x:v>Пара встречается как table; научное объяснение сформировано по ароматическому профилю и пищевой матрице.</x:v>
      </x:c>
      <x:c r="AD494" s="28" t="n">
        <x:v>1</x:v>
      </x:c>
      <x:c r="AE494" s="28" t="n">
        <x:v>1</x:v>
      </x:c>
      <x:c r="AF494" s="28" t="n">
        <x:f>IF(Z494="Высокая",3,IF(Z494="Средняя",2,1))+AD494*2+MIN(AE494,3)</x:f>
        <x:v>4</x:v>
      </x:c>
    </x:row>
    <x:row r="495" ht="62" customHeight="1">
      <x:c r="A495" s="28" t="str">
        <x:v>NCT-0494</x:v>
      </x:c>
      <x:c r="B495" s="28" t="str">
        <x:v>фундук</x:v>
      </x:c>
      <x:c r="C495" s="28" t="str">
        <x:v>Универсальные</x:v>
      </x:c>
      <x:c r="D495" s="28" t="str">
        <x:v>фундук</x:v>
      </x:c>
      <x:c r="E495" s="28" t="str">
        <x:v>фундук</x:v>
      </x:c>
      <x:c r="F495" s="28" t="str">
        <x:v>Орехи и семена</x:v>
      </x:c>
      <x:c r="G495" s="28" t="str">
        <x:v>ананас</x:v>
      </x:c>
      <x:c r="H495" s="28" t="str">
        <x:v>Ананас</x:v>
      </x:c>
      <x:c r="I495" s="28" t="str">
        <x:v>Прочее</x:v>
      </x:c>
      <x:c r="J495" s="28" t="str">
        <x:v>ореховый, жареный, сладкий, землистый и какаоподобный</x:v>
      </x:c>
      <x:c r="K495" s="28" t="str">
        <x:v>профиль зависит от конкретного продукта</x:v>
      </x:c>
      <x:c r="L495" s="28" t="str">
        <x:v>фильбертон, пиразины, фураны, альдегиды</x:v>
      </x:c>
      <x:c r="M495" s="28" t="str">
        <x:v>характерный профиль зависит от конкретного продукта</x:v>
      </x:c>
      <x:c r="N495" s="28" t="str">
        <x:v>прямое пересечение семейств не является единственным объяснением</x:v>
      </x:c>
      <x:c r="O495" s="28" t="str">
        <x:v>надежная общая ключевая молекула не подтверждена</x:v>
      </x:c>
      <x:c r="P495" s="28" t="str">
        <x:v>сенсорная комплементарность</x:v>
      </x:c>
      <x:c r="Q49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95" s="28" t="str">
        <x:v>минимальный</x:v>
      </x:c>
      <x:c r="S495" s="28" t="str">
        <x:v>высокожировая матрица с белком; эффективно переносит аромат в пралине и пастах</x:v>
      </x:c>
      <x:c r="T49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95" s="28" t="str">
        <x:v>Фундук имеет профиль «ореховый, жареный, сладкий, землистый и какаоподобный». Партнёр «ананас»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95" s="28" t="str">
        <x:v>аллерген и чувствительность к прогорканию; пережаривание даёт дымную горечь</x:v>
      </x:c>
      <x:c r="W495" s="28" t="str">
        <x:v>соль, ваниль или карамель</x:v>
      </x:c>
      <x:c r="X495" s="28" t="str">
        <x:v>пралине, паста, выпечка, гарнир, соус, молочный или коктейльный компонент с ананас</x:v>
      </x:c>
      <x:c r="Y495" s="28" t="str">
        <x:v>десерты</x:v>
      </x:c>
      <x:c r="Z495" s="28" t="str">
        <x:v>Гипотеза / практическая</x:v>
      </x:c>
      <x:c r="AA495" s="28" t="str">
        <x:v>Таблица сочетания(1).pdf</x:v>
      </x:c>
      <x:c r="AB495" s="28" t="str">
        <x:v>Таблица сочетания(1).pdf: 17</x:v>
      </x:c>
      <x:c r="AC495" s="28" t="str">
        <x:v>Пара встречается как table; научное объяснение сформировано по ароматическому профилю и пищевой матрице.</x:v>
      </x:c>
      <x:c r="AD495" s="28" t="n">
        <x:v>1</x:v>
      </x:c>
      <x:c r="AE495" s="28" t="n">
        <x:v>1</x:v>
      </x:c>
      <x:c r="AF495" s="28" t="n">
        <x:f>IF(Z495="Высокая",3,IF(Z495="Средняя",2,1))+AD495*2+MIN(AE495,3)</x:f>
        <x:v>4</x:v>
      </x:c>
    </x:row>
    <x:row r="496" ht="62" customHeight="1">
      <x:c r="A496" s="28" t="str">
        <x:v>NCT-0495</x:v>
      </x:c>
      <x:c r="B496" s="28" t="str">
        <x:v>фундук</x:v>
      </x:c>
      <x:c r="C496" s="28" t="str">
        <x:v>Десерты и выпечка</x:v>
      </x:c>
      <x:c r="D496" s="28" t="str">
        <x:v>фундук</x:v>
      </x:c>
      <x:c r="E496" s="28" t="str">
        <x:v>hazelnut</x:v>
      </x:c>
      <x:c r="F496" s="28" t="str">
        <x:v>Орехи и семена</x:v>
      </x:c>
      <x:c r="G496" s="28" t="str">
        <x:v>апельсин</x:v>
      </x:c>
      <x:c r="H496" s="28" t="str">
        <x:v>orange</x:v>
      </x:c>
      <x:c r="I496" s="28" t="str">
        <x:v>Фрукты и ягоды</x:v>
      </x:c>
      <x:c r="J496" s="28" t="str">
        <x:v>ореховый, жареный, сладкий, землистый и какаоподобный</x:v>
      </x:c>
      <x:c r="K496" s="28" t="str">
        <x:v>сладкий, цитрусовый</x:v>
      </x:c>
      <x:c r="L496" s="28" t="str">
        <x:v>фильбертон, пиразины, фураны, альдегиды</x:v>
      </x:c>
      <x:c r="M496" s="28" t="str">
        <x:v>лимонен, линалоол</x:v>
      </x:c>
      <x:c r="N496" s="28" t="str">
        <x:v>прямое пересечение семейств не является единственным объяснением</x:v>
      </x:c>
      <x:c r="O496" s="28" t="str">
        <x:v>надежная общая ключевая молекула не подтверждена</x:v>
      </x:c>
      <x:c r="P496" s="28" t="str">
        <x:v>контраст кислоты и жирной/горькой матрицы</x:v>
      </x:c>
      <x:c r="Q49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96" s="28" t="str">
        <x:v>минимальный</x:v>
      </x:c>
      <x:c r="S496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49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96" s="28" t="str">
        <x:v>Фундук имеет профиль «ореховый, жареный, сладкий, землистый и какаоподобный». Партнёр «апельсин»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96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496" s="28" t="str">
        <x:v>ваниль, цитрус или молочный жир</x:v>
      </x:c>
      <x:c r="X496" s="28" t="str">
        <x:v>пралине, паста, выпечка, гарнир, соус, молочный или коктейльный компонент с апельсин</x:v>
      </x:c>
      <x:c r="Y496" s="28" t="str">
        <x:v>десерты</x:v>
      </x:c>
      <x:c r="Z496" s="28" t="str">
        <x:v>Средняя</x:v>
      </x:c>
      <x:c r="AA496" s="28" t="str">
        <x:v>The Art &amp; Science of Foodpairing.pdf</x:v>
      </x:c>
      <x:c r="AB496" s="28" t="str">
        <x:v>The Art &amp; Science of Foodpairing.pdf: 332</x:v>
      </x:c>
      <x:c r="AC496" s="28" t="str">
        <x:v>Пара встречается как grid; научное объяснение сформировано по ароматическому профилю и пищевой матрице.</x:v>
      </x:c>
      <x:c r="AD496" s="28" t="n">
        <x:v>1</x:v>
      </x:c>
      <x:c r="AE496" s="28" t="n">
        <x:v>1</x:v>
      </x:c>
      <x:c r="AF496" s="28" t="n">
        <x:f>IF(Z496="Высокая",3,IF(Z496="Средняя",2,1))+AD496*2+MIN(AE496,3)</x:f>
        <x:v>5</x:v>
      </x:c>
    </x:row>
    <x:row r="497" ht="62" customHeight="1">
      <x:c r="A497" s="28" t="str">
        <x:v>NCT-0496</x:v>
      </x:c>
      <x:c r="B497" s="28" t="str">
        <x:v>фундук</x:v>
      </x:c>
      <x:c r="C497" s="28" t="str">
        <x:v>Универсальные</x:v>
      </x:c>
      <x:c r="D497" s="28" t="str">
        <x:v>фундук</x:v>
      </x:c>
      <x:c r="E497" s="28" t="str">
        <x:v>hazelnut</x:v>
      </x:c>
      <x:c r="F497" s="28" t="str">
        <x:v>Орехи и семена</x:v>
      </x:c>
      <x:c r="G497" s="28" t="str">
        <x:v>багет</x:v>
      </x:c>
      <x:c r="H497" s="28" t="str">
        <x:v>baguette</x:v>
      </x:c>
      <x:c r="I497" s="28" t="str">
        <x:v>Прочее</x:v>
      </x:c>
      <x:c r="J497" s="28" t="str">
        <x:v>ореховый, жареный, сладкий, землистый и какаоподобный</x:v>
      </x:c>
      <x:c r="K497" s="28" t="str">
        <x:v>профиль зависит от конкретного продукта</x:v>
      </x:c>
      <x:c r="L497" s="28" t="str">
        <x:v>фильбертон, пиразины, фураны, альдегиды</x:v>
      </x:c>
      <x:c r="M497" s="28" t="str">
        <x:v>характерный профиль зависит от конкретного продукта</x:v>
      </x:c>
      <x:c r="N497" s="28" t="str">
        <x:v>прямое пересечение семейств не является единственным объяснением</x:v>
      </x:c>
      <x:c r="O497" s="28" t="str">
        <x:v>надежная общая ключевая молекула не подтверждена</x:v>
      </x:c>
      <x:c r="P497" s="28" t="str">
        <x:v>сенсорная комплементарность</x:v>
      </x:c>
      <x:c r="Q49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97" s="28" t="str">
        <x:v>минимальный</x:v>
      </x:c>
      <x:c r="S497" s="28" t="str">
        <x:v>высокожировая матрица с белком; эффективно переносит аромат в пралине и пастах</x:v>
      </x:c>
      <x:c r="T49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97" s="28" t="str">
        <x:v>Фундук имеет профиль «ореховый, жареный, сладкий, землистый и какаоподобный». Партнёр «багет»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97" s="28" t="str">
        <x:v>аллерген и чувствительность к прогорканию; пережаривание даёт дымную горечь</x:v>
      </x:c>
      <x:c r="W497" s="28" t="str">
        <x:v>соль, ваниль или карамель</x:v>
      </x:c>
      <x:c r="X497" s="28" t="str">
        <x:v>пралине, паста, выпечка, гарнир, соус, молочный или коктейльный компонент с багет</x:v>
      </x:c>
      <x:c r="Y497" s="28" t="str">
        <x:v>десерты</x:v>
      </x:c>
      <x:c r="Z497" s="28" t="str">
        <x:v>Средняя</x:v>
      </x:c>
      <x:c r="AA497" s="28" t="str">
        <x:v>The Art &amp; Science of Foodpairing.pdf</x:v>
      </x:c>
      <x:c r="AB497" s="28" t="str">
        <x:v>The Art &amp; Science of Foodpairing.pdf: 332</x:v>
      </x:c>
      <x:c r="AC497" s="28" t="str">
        <x:v>Пара встречается как grid; научное объяснение сформировано по ароматическому профилю и пищевой матрице.</x:v>
      </x:c>
      <x:c r="AD497" s="28" t="n">
        <x:v>1</x:v>
      </x:c>
      <x:c r="AE497" s="28" t="n">
        <x:v>1</x:v>
      </x:c>
      <x:c r="AF497" s="28" t="n">
        <x:f>IF(Z497="Высокая",3,IF(Z497="Средняя",2,1))+AD497*2+MIN(AE497,3)</x:f>
        <x:v>5</x:v>
      </x:c>
    </x:row>
    <x:row r="498" ht="62" customHeight="1">
      <x:c r="A498" s="28" t="str">
        <x:v>NCT-0497</x:v>
      </x:c>
      <x:c r="B498" s="28" t="str">
        <x:v>фундук</x:v>
      </x:c>
      <x:c r="C498" s="28" t="str">
        <x:v>Десерты и выпечка</x:v>
      </x:c>
      <x:c r="D498" s="28" t="str">
        <x:v>фундук</x:v>
      </x:c>
      <x:c r="E498" s="28" t="str">
        <x:v>Фундук | фундук</x:v>
      </x:c>
      <x:c r="F498" s="28" t="str">
        <x:v>Орехи и семена</x:v>
      </x:c>
      <x:c r="G498" s="28" t="str">
        <x:v>банан</x:v>
      </x:c>
      <x:c r="H498" s="28" t="str">
        <x:v>Банан | банан</x:v>
      </x:c>
      <x:c r="I498" s="28" t="str">
        <x:v>Фрукты и ягоды</x:v>
      </x:c>
      <x:c r="J498" s="28" t="str">
        <x:v>ореховый, жареный, сладкий, землистый и какаоподобный</x:v>
      </x:c>
      <x:c r="K498" s="28" t="str">
        <x:v>сливочный, фруктовый</x:v>
      </x:c>
      <x:c r="L498" s="28" t="str">
        <x:v>фильбертон, пиразины, фураны, альдегиды</x:v>
      </x:c>
      <x:c r="M498" s="28" t="str">
        <x:v>изоамилацетат</x:v>
      </x:c>
      <x:c r="N498" s="28" t="str">
        <x:v>прямое пересечение семейств не является единственным объяснением</x:v>
      </x:c>
      <x:c r="O498" s="28" t="str">
        <x:v>надежная общая ключевая молекула не подтверждена</x:v>
      </x:c>
      <x:c r="P498" s="28" t="str">
        <x:v>контраст кислоты и жирной/горькой матрицы</x:v>
      </x:c>
      <x:c r="Q49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98" s="28" t="str">
        <x:v>минимальный</x:v>
      </x:c>
      <x:c r="S498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49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98" s="28" t="str">
        <x:v>Фундук имеет профиль «ореховый, жареный, сладкий, землистый и какаоподобный».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498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498" s="28" t="str">
        <x:v>ваниль, цитрус или молочный жир</x:v>
      </x:c>
      <x:c r="X498" s="28" t="str">
        <x:v>пралине, паста, выпечка, гарнир, соус, молочный или коктейльный компонент с банан</x:v>
      </x:c>
      <x:c r="Y498" s="28" t="str">
        <x:v>десерты</x:v>
      </x:c>
      <x:c r="Z498" s="28" t="str">
        <x:v>Высокая</x:v>
      </x:c>
      <x:c r="AA498" s="28" t="str">
        <x:v>Таблица сочетания(1).pdf | Тезариус вкусов (Ники Сегнит)(1).pdf</x:v>
      </x:c>
      <x:c r="AB498" s="28" t="str">
        <x:v>Таблица сочетания(1).pdf: 2; Тезариус вкусов (Ники Сегнит)(1).pdf: 632, 734</x:v>
      </x:c>
      <x:c r="AC498" s="28" t="str">
        <x:v>Пара встречается как table, thesaurus; научное объяснение сформировано по ароматическому профилю и пищевой матрице.</x:v>
      </x:c>
      <x:c r="AD498" s="28" t="n">
        <x:v>2</x:v>
      </x:c>
      <x:c r="AE498" s="28" t="n">
        <x:v>3</x:v>
      </x:c>
      <x:c r="AF498" s="28" t="n">
        <x:f>IF(Z498="Высокая",3,IF(Z498="Средняя",2,1))+AD498*2+MIN(AE498,3)</x:f>
        <x:v>10</x:v>
      </x:c>
    </x:row>
    <x:row r="499" ht="62" customHeight="1">
      <x:c r="A499" s="28" t="str">
        <x:v>NCT-0498</x:v>
      </x:c>
      <x:c r="B499" s="28" t="str">
        <x:v>фундук</x:v>
      </x:c>
      <x:c r="C499" s="28" t="str">
        <x:v>Еда и соусы</x:v>
      </x:c>
      <x:c r="D499" s="28" t="str">
        <x:v>фундук</x:v>
      </x:c>
      <x:c r="E499" s="28" t="str">
        <x:v>Фундук | фундук</x:v>
      </x:c>
      <x:c r="F499" s="28" t="str">
        <x:v>Орехи и семена</x:v>
      </x:c>
      <x:c r="G499" s="28" t="str">
        <x:v>белая рыба</x:v>
      </x:c>
      <x:c r="H499" s="28" t="str">
        <x:v>Белая рыба | белая рыба</x:v>
      </x:c>
      <x:c r="I499" s="28" t="str">
        <x:v>Рыба и морепродукты</x:v>
      </x:c>
      <x:c r="J499" s="28" t="str">
        <x:v>ореховый, жареный, сладкий, землистый и какаоподобный</x:v>
      </x:c>
      <x:c r="K499" s="28" t="str">
        <x:v>морской, солоноватый и умами</x:v>
      </x:c>
      <x:c r="L499" s="28" t="str">
        <x:v>фильбертон, пиразины, фураны, альдегиды</x:v>
      </x:c>
      <x:c r="M499" s="28" t="str">
        <x:v>альдегиды, амины</x:v>
      </x:c>
      <x:c r="N499" s="28" t="str">
        <x:v>прямое пересечение семейств не является единственным объяснением</x:v>
      </x:c>
      <x:c r="O499" s="28" t="str">
        <x:v>альдегиды</x:v>
      </x:c>
      <x:c r="P499" s="28" t="str">
        <x:v>общие ароматические соединения, солёно-умами контраст</x:v>
      </x:c>
      <x:c r="Q49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499" s="28" t="str">
        <x:v>минимальный</x:v>
      </x:c>
      <x:c r="S499" s="28" t="str">
        <x:v>высокожировая матрица с белком; эффективно переносит аромат в пралине и пастах</x:v>
      </x:c>
      <x:c r="T49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499" s="28" t="str">
        <x:v>Фундук имеет профиль «ореховый, жареный, сладкий, землистый и какаоподобный». Партнёр «белая рыба»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499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W499" s="28" t="str">
        <x:v>соль, соевый соус, коричневое масло или специя</x:v>
      </x:c>
      <x:c r="X499" s="28" t="str">
        <x:v>пралине, паста, выпечка, гарнир, соус, молочный или коктейльный компонент с белая рыба</x:v>
      </x:c>
      <x:c r="Y499" s="28" t="str">
        <x:v>еда, десерты, соусы/маринады</x:v>
      </x:c>
      <x:c r="Z499" s="28" t="str">
        <x:v>Средняя</x:v>
      </x:c>
      <x:c r="AA499" s="28" t="str">
        <x:v>Тезариус вкусов (Ники Сегнит)(1).pdf</x:v>
      </x:c>
      <x:c r="AB499" s="28" t="str">
        <x:v>Тезариус вкусов (Ники Сегнит)(1).pdf: 393, 633</x:v>
      </x:c>
      <x:c r="AC499" s="28" t="str">
        <x:v>Пара встречается как thesaurus; научное объяснение сформировано по ароматическому профилю и пищевой матрице.</x:v>
      </x:c>
      <x:c r="AD499" s="28" t="n">
        <x:v>1</x:v>
      </x:c>
      <x:c r="AE499" s="28" t="n">
        <x:v>2</x:v>
      </x:c>
      <x:c r="AF499" s="28" t="n">
        <x:f>IF(Z499="Высокая",3,IF(Z499="Средняя",2,1))+AD499*2+MIN(AE499,3)</x:f>
        <x:v>6</x:v>
      </x:c>
    </x:row>
    <x:row r="500" ht="62" customHeight="1">
      <x:c r="A500" s="28" t="str">
        <x:v>NCT-0499</x:v>
      </x:c>
      <x:c r="B500" s="28" t="str">
        <x:v>фундук</x:v>
      </x:c>
      <x:c r="C500" s="28" t="str">
        <x:v>Универсальные</x:v>
      </x:c>
      <x:c r="D500" s="28" t="str">
        <x:v>фундук</x:v>
      </x:c>
      <x:c r="E500" s="28" t="str">
        <x:v>hazelnut</x:v>
      </x:c>
      <x:c r="F500" s="28" t="str">
        <x:v>Орехи и семена</x:v>
      </x:c>
      <x:c r="G500" s="28" t="str">
        <x:v>бергамот</x:v>
      </x:c>
      <x:c r="H500" s="28" t="str">
        <x:v>bergamot orange</x:v>
      </x:c>
      <x:c r="I500" s="28" t="str">
        <x:v>Прочее</x:v>
      </x:c>
      <x:c r="J500" s="28" t="str">
        <x:v>ореховый, жареный, сладкий, землистый и какаоподобный</x:v>
      </x:c>
      <x:c r="K500" s="28" t="str">
        <x:v>цветочный, цитрусовый</x:v>
      </x:c>
      <x:c r="L500" s="28" t="str">
        <x:v>фильбертон, пиразины, фураны, альдегиды</x:v>
      </x:c>
      <x:c r="M500" s="28" t="str">
        <x:v>лимонен, линалил ацетат, линалоол</x:v>
      </x:c>
      <x:c r="N500" s="28" t="str">
        <x:v>прямое пересечение семейств не является единственным объяснением</x:v>
      </x:c>
      <x:c r="O500" s="28" t="str">
        <x:v>надежная общая ключевая молекула не подтверждена</x:v>
      </x:c>
      <x:c r="P500" s="28" t="str">
        <x:v>сенсорная комплементарность</x:v>
      </x:c>
      <x:c r="Q50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00" s="28" t="str">
        <x:v>минимальный</x:v>
      </x:c>
      <x:c r="S500" s="28" t="str">
        <x:v>высокожировая матрица с белком; эффективно переносит аромат в пралине и пастах</x:v>
      </x:c>
      <x:c r="T50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00" s="28" t="str">
        <x:v>Фундук имеет профиль «ореховый, жареный, сладкий, землистый и какаоподобный». Партнёр «бергамот» относится к группе «Прочее» и даёт цветочный,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00" s="28" t="str">
        <x:v>аллерген и чувствительность к прогорканию; пережаривание даёт дымную горечь</x:v>
      </x:c>
      <x:c r="W500" s="28" t="str">
        <x:v>соль, ваниль или карамель</x:v>
      </x:c>
      <x:c r="X500" s="28" t="str">
        <x:v>пралине, паста, выпечка, гарнир, соус, молочный или коктейльный компонент с бергамот</x:v>
      </x:c>
      <x:c r="Y500" s="28" t="str">
        <x:v>десерты</x:v>
      </x:c>
      <x:c r="Z500" s="28" t="str">
        <x:v>Средняя</x:v>
      </x:c>
      <x:c r="AA500" s="28" t="str">
        <x:v>The Art &amp; Science of Foodpairing.pdf</x:v>
      </x:c>
      <x:c r="AB500" s="28" t="str">
        <x:v>The Art &amp; Science of Foodpairing.pdf: 332</x:v>
      </x:c>
      <x:c r="AC500" s="28" t="str">
        <x:v>Пара встречается как grid; научное объяснение сформировано по ароматическому профилю и пищевой матрице.</x:v>
      </x:c>
      <x:c r="AD500" s="28" t="n">
        <x:v>1</x:v>
      </x:c>
      <x:c r="AE500" s="28" t="n">
        <x:v>1</x:v>
      </x:c>
      <x:c r="AF500" s="28" t="n">
        <x:f>IF(Z500="Высокая",3,IF(Z500="Средняя",2,1))+AD500*2+MIN(AE500,3)</x:f>
        <x:v>5</x:v>
      </x:c>
    </x:row>
    <x:row r="501" ht="62" customHeight="1">
      <x:c r="A501" s="28" t="str">
        <x:v>NCT-0500</x:v>
      </x:c>
      <x:c r="B501" s="28" t="str">
        <x:v>фундук</x:v>
      </x:c>
      <x:c r="C501" s="28" t="str">
        <x:v>Универсальные</x:v>
      </x:c>
      <x:c r="D501" s="28" t="str">
        <x:v>фундук</x:v>
      </x:c>
      <x:c r="E501" s="28" t="str">
        <x:v>Фундук | фундук</x:v>
      </x:c>
      <x:c r="F501" s="28" t="str">
        <x:v>Орехи и семена</x:v>
      </x:c>
      <x:c r="G501" s="28" t="str">
        <x:v>ваниль</x:v>
      </x:c>
      <x:c r="H501" s="28" t="str">
        <x:v>Ваниль | ваниль</x:v>
      </x:c>
      <x:c r="I501" s="28" t="str">
        <x:v>Специи</x:v>
      </x:c>
      <x:c r="J501" s="28" t="str">
        <x:v>ореховый, жареный, сладкий, землистый и какаоподобный</x:v>
      </x:c>
      <x:c r="K501" s="28" t="str">
        <x:v>ванильный, цветочный</x:v>
      </x:c>
      <x:c r="L501" s="28" t="str">
        <x:v>фильбертон, пиразины, фураны, альдегиды</x:v>
      </x:c>
      <x:c r="M501" s="28" t="str">
        <x:v>ванилин</x:v>
      </x:c>
      <x:c r="N501" s="28" t="str">
        <x:v>прямое пересечение семейств не является единственным объяснением</x:v>
      </x:c>
      <x:c r="O501" s="28" t="str">
        <x:v>надежная общая ключевая молекула не подтверждена</x:v>
      </x:c>
      <x:c r="P501" s="28" t="str">
        <x:v>сенсорная комплементарность</x:v>
      </x:c>
      <x:c r="Q50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01" s="28" t="str">
        <x:v>минимальный</x:v>
      </x:c>
      <x:c r="S501" s="28" t="str">
        <x:v>высокожировая матрица с белком; эффективно переносит аромат в пралине и пастах</x:v>
      </x:c>
      <x:c r="T50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01" s="28" t="str">
        <x:v>Фундук имеет профиль «ореховый, жареный, сладкий, землистый и какаоподобный».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01" s="28" t="str">
        <x:v>аллерген и чувствительность к прогорканию; пережаривание даёт дымную горечь</x:v>
      </x:c>
      <x:c r="W501" s="28" t="str">
        <x:v>ваниль, апельсин или мёд</x:v>
      </x:c>
      <x:c r="X501" s="28" t="str">
        <x:v>пралине, паста, выпечка, гарнир, соус, молочный или коктейльный компонент с ваниль</x:v>
      </x:c>
      <x:c r="Y501" s="28" t="str">
        <x:v>десерты</x:v>
      </x:c>
      <x:c r="Z501" s="28" t="str">
        <x:v>Средняя</x:v>
      </x:c>
      <x:c r="AA501" s="28" t="str">
        <x:v>Тезариус вкусов (Ники Сегнит)(1).pdf</x:v>
      </x:c>
      <x:c r="AB501" s="28" t="str">
        <x:v>Тезариус вкусов (Ники Сегнит)(1).pdf: 633, 920</x:v>
      </x:c>
      <x:c r="AC501" s="28" t="str">
        <x:v>Пара встречается как thesaurus; научное объяснение сформировано по ароматическому профилю и пищевой матрице.</x:v>
      </x:c>
      <x:c r="AD501" s="28" t="n">
        <x:v>1</x:v>
      </x:c>
      <x:c r="AE501" s="28" t="n">
        <x:v>2</x:v>
      </x:c>
      <x:c r="AF501" s="28" t="n">
        <x:f>IF(Z501="Высокая",3,IF(Z501="Средняя",2,1))+AD501*2+MIN(AE501,3)</x:f>
        <x:v>6</x:v>
      </x:c>
    </x:row>
    <x:row r="502" ht="62" customHeight="1">
      <x:c r="A502" s="28" t="str">
        <x:v>NCT-0501</x:v>
      </x:c>
      <x:c r="B502" s="28" t="str">
        <x:v>фундук</x:v>
      </x:c>
      <x:c r="C502" s="28" t="str">
        <x:v>Десерты и выпечка</x:v>
      </x:c>
      <x:c r="D502" s="28" t="str">
        <x:v>фундук</x:v>
      </x:c>
      <x:c r="E502" s="28" t="str">
        <x:v>Фундук | фундук</x:v>
      </x:c>
      <x:c r="F502" s="28" t="str">
        <x:v>Орехи и семена</x:v>
      </x:c>
      <x:c r="G502" s="28" t="str">
        <x:v>вишня</x:v>
      </x:c>
      <x:c r="H502" s="28" t="str">
        <x:v>Вишня | вишня</x:v>
      </x:c>
      <x:c r="I502" s="28" t="str">
        <x:v>Фрукты и ягоды</x:v>
      </x:c>
      <x:c r="J502" s="28" t="str">
        <x:v>ореховый, жареный, сладкий, землистый и какаоподобный</x:v>
      </x:c>
      <x:c r="K502" s="28" t="str">
        <x:v>миндальный, фруктовый</x:v>
      </x:c>
      <x:c r="L502" s="28" t="str">
        <x:v>фильбертон, пиразины, фураны, альдегиды</x:v>
      </x:c>
      <x:c r="M502" s="28" t="str">
        <x:v>бензальдегид, эфиры</x:v>
      </x:c>
      <x:c r="N502" s="28" t="str">
        <x:v>прямое пересечение семейств не является единственным объяснением</x:v>
      </x:c>
      <x:c r="O502" s="28" t="str">
        <x:v>надежная общая ключевая молекула не подтверждена</x:v>
      </x:c>
      <x:c r="P502" s="28" t="str">
        <x:v>контраст кислоты и жирной/горькой матрицы</x:v>
      </x:c>
      <x:c r="Q50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02" s="28" t="str">
        <x:v>минимальный</x:v>
      </x:c>
      <x:c r="S502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50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02" s="28" t="str">
        <x:v>Фундук имеет профиль «ореховый, жареный, сладкий, землистый и какаоподобный». Партнёр «вишня» относится к группе «Фрукты и ягоды» и даёт миндальный,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02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502" s="28" t="str">
        <x:v>ваниль, цитрус или молочный жир</x:v>
      </x:c>
      <x:c r="X502" s="28" t="str">
        <x:v>пралине, паста, выпечка, гарнир, соус, молочный или коктейльный компонент с вишня</x:v>
      </x:c>
      <x:c r="Y502" s="28" t="str">
        <x:v>десерты</x:v>
      </x:c>
      <x:c r="Z502" s="28" t="str">
        <x:v>Средняя</x:v>
      </x:c>
      <x:c r="AA502" s="28" t="str">
        <x:v>Тезариус вкусов (Ники Сегнит)(1).pdf</x:v>
      </x:c>
      <x:c r="AB502" s="28" t="str">
        <x:v>Тезариус вкусов (Ники Сегнит)(1).pdf: 634, 656</x:v>
      </x:c>
      <x:c r="AC502" s="28" t="str">
        <x:v>Пара встречается как thesaurus; научное объяснение сформировано по ароматическому профилю и пищевой матрице.</x:v>
      </x:c>
      <x:c r="AD502" s="28" t="n">
        <x:v>1</x:v>
      </x:c>
      <x:c r="AE502" s="28" t="n">
        <x:v>2</x:v>
      </x:c>
      <x:c r="AF502" s="28" t="n">
        <x:f>IF(Z502="Высокая",3,IF(Z502="Средняя",2,1))+AD502*2+MIN(AE502,3)</x:f>
        <x:v>6</x:v>
      </x:c>
    </x:row>
    <x:row r="503" ht="62" customHeight="1">
      <x:c r="A503" s="28" t="str">
        <x:v>NCT-0502</x:v>
      </x:c>
      <x:c r="B503" s="28" t="str">
        <x:v>фундук</x:v>
      </x:c>
      <x:c r="C503" s="28" t="str">
        <x:v>Универсальные</x:v>
      </x:c>
      <x:c r="D503" s="28" t="str">
        <x:v>фундук</x:v>
      </x:c>
      <x:c r="E503" s="28" t="str">
        <x:v>фундук</x:v>
      </x:c>
      <x:c r="F503" s="28" t="str">
        <x:v>Орехи и семена</x:v>
      </x:c>
      <x:c r="G503" s="28" t="str">
        <x:v>голубика</x:v>
      </x:c>
      <x:c r="H503" s="28" t="str">
        <x:v>Голубика</x:v>
      </x:c>
      <x:c r="I503" s="28" t="str">
        <x:v>Прочее</x:v>
      </x:c>
      <x:c r="J503" s="28" t="str">
        <x:v>ореховый, жареный, сладкий, землистый и какаоподобный</x:v>
      </x:c>
      <x:c r="K503" s="28" t="str">
        <x:v>профиль зависит от конкретного продукта</x:v>
      </x:c>
      <x:c r="L503" s="28" t="str">
        <x:v>фильбертон, пиразины, фураны, альдегиды</x:v>
      </x:c>
      <x:c r="M503" s="28" t="str">
        <x:v>характерный профиль зависит от конкретного продукта</x:v>
      </x:c>
      <x:c r="N503" s="28" t="str">
        <x:v>прямое пересечение семейств не является единственным объяснением</x:v>
      </x:c>
      <x:c r="O503" s="28" t="str">
        <x:v>надежная общая ключевая молекула не подтверждена</x:v>
      </x:c>
      <x:c r="P503" s="28" t="str">
        <x:v>сенсорная комплементарность</x:v>
      </x:c>
      <x:c r="Q50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03" s="28" t="str">
        <x:v>минимальный</x:v>
      </x:c>
      <x:c r="S503" s="28" t="str">
        <x:v>высокожировая матрица с белком; эффективно переносит аромат в пралине и пастах</x:v>
      </x:c>
      <x:c r="T50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03" s="28" t="str">
        <x:v>Фундук имеет профиль «ореховый, жареный, сладкий, землистый и какаоподобный». Партнёр «голубика»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03" s="28" t="str">
        <x:v>аллерген и чувствительность к прогорканию; пережаривание даёт дымную горечь</x:v>
      </x:c>
      <x:c r="W503" s="28" t="str">
        <x:v>соль, ваниль или карамель</x:v>
      </x:c>
      <x:c r="X503" s="28" t="str">
        <x:v>пралине, паста, выпечка, гарнир, соус, молочный или коктейльный компонент с голубика</x:v>
      </x:c>
      <x:c r="Y503" s="28" t="str">
        <x:v>десерты</x:v>
      </x:c>
      <x:c r="Z503" s="28" t="str">
        <x:v>Гипотеза / практическая</x:v>
      </x:c>
      <x:c r="AA503" s="28" t="str">
        <x:v>Таблица сочетания(1).pdf</x:v>
      </x:c>
      <x:c r="AB503" s="28" t="str">
        <x:v>Таблица сочетания(1).pdf: 3</x:v>
      </x:c>
      <x:c r="AC503" s="28" t="str">
        <x:v>Пара встречается как table; научное объяснение сформировано по ароматическому профилю и пищевой матрице.</x:v>
      </x:c>
      <x:c r="AD503" s="28" t="n">
        <x:v>1</x:v>
      </x:c>
      <x:c r="AE503" s="28" t="n">
        <x:v>1</x:v>
      </x:c>
      <x:c r="AF503" s="28" t="n">
        <x:f>IF(Z503="Высокая",3,IF(Z503="Средняя",2,1))+AD503*2+MIN(AE503,3)</x:f>
        <x:v>4</x:v>
      </x:c>
    </x:row>
    <x:row r="504" ht="62" customHeight="1">
      <x:c r="A504" s="28" t="str">
        <x:v>NCT-0503</x:v>
      </x:c>
      <x:c r="B504" s="28" t="str">
        <x:v>фундук</x:v>
      </x:c>
      <x:c r="C504" s="28" t="str">
        <x:v>Десерты и выпечка</x:v>
      </x:c>
      <x:c r="D504" s="28" t="str">
        <x:v>фундук</x:v>
      </x:c>
      <x:c r="E504" s="28" t="str">
        <x:v>Фундук | фундук</x:v>
      </x:c>
      <x:c r="F504" s="28" t="str">
        <x:v>Орехи и семена</x:v>
      </x:c>
      <x:c r="G504" s="28" t="str">
        <x:v>груша</x:v>
      </x:c>
      <x:c r="H504" s="28" t="str">
        <x:v>Груша | груша</x:v>
      </x:c>
      <x:c r="I504" s="28" t="str">
        <x:v>Фрукты и ягоды</x:v>
      </x:c>
      <x:c r="J504" s="28" t="str">
        <x:v>ореховый, жареный, сладкий, землистый и какаоподобный</x:v>
      </x:c>
      <x:c r="K504" s="28" t="str">
        <x:v>фруктовый, цветочный и свежий</x:v>
      </x:c>
      <x:c r="L504" s="28" t="str">
        <x:v>фильбертон, пиразины, фураны, альдегиды</x:v>
      </x:c>
      <x:c r="M504" s="28" t="str">
        <x:v>альдегиды, эфиры</x:v>
      </x:c>
      <x:c r="N504" s="28" t="str">
        <x:v>прямое пересечение семейств не является единственным объяснением</x:v>
      </x:c>
      <x:c r="O504" s="28" t="str">
        <x:v>альдегиды</x:v>
      </x:c>
      <x:c r="P504" s="28" t="str">
        <x:v>общие ароматические соединения, контраст кислоты и жирной/горькой матрицы</x:v>
      </x:c>
      <x:c r="Q50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04" s="28" t="str">
        <x:v>минимальный</x:v>
      </x:c>
      <x:c r="S504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50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04" s="28" t="str">
        <x:v>Фундук имеет профиль «ореховый, жареный, сладкий, землистый и какаоподобный». Партнёр «груша»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504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504" s="28" t="str">
        <x:v>ваниль, цитрус или молочный жир</x:v>
      </x:c>
      <x:c r="X504" s="28" t="str">
        <x:v>пралине, паста, выпечка, гарнир, соус, молочный или коктейльный компонент с груша</x:v>
      </x:c>
      <x:c r="Y504" s="28" t="str">
        <x:v>десерты</x:v>
      </x:c>
      <x:c r="Z504" s="28" t="str">
        <x:v>Высокая</x:v>
      </x:c>
      <x:c r="AA504" s="28" t="str">
        <x:v>Таблица сочетания(1).pdf | Тезариус вкусов (Ники Сегнит)(1).pdf</x:v>
      </x:c>
      <x:c r="AB504" s="28" t="str">
        <x:v>Таблица сочетания(1).pdf: 16; Тезариус вкусов (Ники Сегнит)(1).pdf: 634, 727</x:v>
      </x:c>
      <x:c r="AC504" s="28" t="str">
        <x:v>Пара встречается как table, thesaurus; научное объяснение сформировано по ароматическому профилю и пищевой матрице.</x:v>
      </x:c>
      <x:c r="AD504" s="28" t="n">
        <x:v>2</x:v>
      </x:c>
      <x:c r="AE504" s="28" t="n">
        <x:v>3</x:v>
      </x:c>
      <x:c r="AF504" s="28" t="n">
        <x:f>IF(Z504="Высокая",3,IF(Z504="Средняя",2,1))+AD504*2+MIN(AE504,3)</x:f>
        <x:v>10</x:v>
      </x:c>
    </x:row>
    <x:row r="505" ht="62" customHeight="1">
      <x:c r="A505" s="28" t="str">
        <x:v>NCT-0504</x:v>
      </x:c>
      <x:c r="B505" s="28" t="str">
        <x:v>фундук</x:v>
      </x:c>
      <x:c r="C505" s="28" t="str">
        <x:v>Универсальные</x:v>
      </x:c>
      <x:c r="D505" s="28" t="str">
        <x:v>фундук</x:v>
      </x:c>
      <x:c r="E505" s="28" t="str">
        <x:v>фундук</x:v>
      </x:c>
      <x:c r="F505" s="28" t="str">
        <x:v>Орехи и семена</x:v>
      </x:c>
      <x:c r="G505" s="28" t="str">
        <x:v>джекфрут</x:v>
      </x:c>
      <x:c r="H505" s="28" t="str">
        <x:v>Джекфрут</x:v>
      </x:c>
      <x:c r="I505" s="28" t="str">
        <x:v>Прочее</x:v>
      </x:c>
      <x:c r="J505" s="28" t="str">
        <x:v>ореховый, жареный, сладкий, землистый и какаоподобный</x:v>
      </x:c>
      <x:c r="K505" s="28" t="str">
        <x:v>профиль зависит от конкретного продукта</x:v>
      </x:c>
      <x:c r="L505" s="28" t="str">
        <x:v>фильбертон, пиразины, фураны, альдегиды</x:v>
      </x:c>
      <x:c r="M505" s="28" t="str">
        <x:v>характерный профиль зависит от конкретного продукта</x:v>
      </x:c>
      <x:c r="N505" s="28" t="str">
        <x:v>прямое пересечение семейств не является единственным объяснением</x:v>
      </x:c>
      <x:c r="O505" s="28" t="str">
        <x:v>надежная общая ключевая молекула не подтверждена</x:v>
      </x:c>
      <x:c r="P505" s="28" t="str">
        <x:v>сенсорная комплементарность</x:v>
      </x:c>
      <x:c r="Q50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05" s="28" t="str">
        <x:v>минимальный</x:v>
      </x:c>
      <x:c r="S505" s="28" t="str">
        <x:v>высокожировая матрица с белком; эффективно переносит аромат в пралине и пастах</x:v>
      </x:c>
      <x:c r="T50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05" s="28" t="str">
        <x:v>Фундук имеет профиль «ореховый, жареный, сладкий, землистый и какаоподобный». Партнёр «джекфрут»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05" s="28" t="str">
        <x:v>аллерген и чувствительность к прогорканию; пережаривание даёт дымную горечь</x:v>
      </x:c>
      <x:c r="W505" s="28" t="str">
        <x:v>соль, ваниль или карамель</x:v>
      </x:c>
      <x:c r="X505" s="28" t="str">
        <x:v>пралине, паста, выпечка, гарнир, соус, молочный или коктейльный компонент с джекфрут</x:v>
      </x:c>
      <x:c r="Y505" s="28" t="str">
        <x:v>десерты</x:v>
      </x:c>
      <x:c r="Z505" s="28" t="str">
        <x:v>Гипотеза / практическая</x:v>
      </x:c>
      <x:c r="AA505" s="28" t="str">
        <x:v>Таблица сочетания(1).pdf</x:v>
      </x:c>
      <x:c r="AB505" s="28" t="str">
        <x:v>Таблица сочетания(1).pdf: 10</x:v>
      </x:c>
      <x:c r="AC505" s="28" t="str">
        <x:v>Пара встречается как table; научное объяснение сформировано по ароматическому профилю и пищевой матрице.</x:v>
      </x:c>
      <x:c r="AD505" s="28" t="n">
        <x:v>1</x:v>
      </x:c>
      <x:c r="AE505" s="28" t="n">
        <x:v>1</x:v>
      </x:c>
      <x:c r="AF505" s="28" t="n">
        <x:f>IF(Z505="Высокая",3,IF(Z505="Средняя",2,1))+AD505*2+MIN(AE505,3)</x:f>
        <x:v>4</x:v>
      </x:c>
    </x:row>
    <x:row r="506" ht="62" customHeight="1">
      <x:c r="A506" s="28" t="str">
        <x:v>NCT-0505</x:v>
      </x:c>
      <x:c r="B506" s="28" t="str">
        <x:v>фундук</x:v>
      </x:c>
      <x:c r="C506" s="28" t="str">
        <x:v>Универсальные</x:v>
      </x:c>
      <x:c r="D506" s="28" t="str">
        <x:v>фундук</x:v>
      </x:c>
      <x:c r="E506" s="28" t="str">
        <x:v>hazelnut</x:v>
      </x:c>
      <x:c r="F506" s="28" t="str">
        <x:v>Орехи и семена</x:v>
      </x:c>
      <x:c r="G506" s="28" t="str">
        <x:v>древовидная полынь</x:v>
      </x:c>
      <x:c r="H506" s="28" t="str">
        <x:v>tree wormwood</x:v>
      </x:c>
      <x:c r="I506" s="28" t="str">
        <x:v>Прочее</x:v>
      </x:c>
      <x:c r="J506" s="28" t="str">
        <x:v>ореховый, жареный, сладкий, землистый и какаоподобный</x:v>
      </x:c>
      <x:c r="K506" s="28" t="str">
        <x:v>профиль зависит от конкретного продукта</x:v>
      </x:c>
      <x:c r="L506" s="28" t="str">
        <x:v>фильбертон, пиразины, фураны, альдегиды</x:v>
      </x:c>
      <x:c r="M506" s="28" t="str">
        <x:v>характерный профиль зависит от конкретного продукта</x:v>
      </x:c>
      <x:c r="N506" s="28" t="str">
        <x:v>прямое пересечение семейств не является единственным объяснением</x:v>
      </x:c>
      <x:c r="O506" s="28" t="str">
        <x:v>надежная общая ключевая молекула не подтверждена</x:v>
      </x:c>
      <x:c r="P506" s="28" t="str">
        <x:v>сенсорная комплементарность</x:v>
      </x:c>
      <x:c r="Q50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06" s="28" t="str">
        <x:v>минимальный</x:v>
      </x:c>
      <x:c r="S506" s="28" t="str">
        <x:v>высокожировая матрица с белком; эффективно переносит аромат в пралине и пастах</x:v>
      </x:c>
      <x:c r="T50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06" s="28" t="str">
        <x:v>Фундук имеет профиль «ореховый, жареный, сладкий, землистый и какаоподобный». Партнёр «древовидная полынь»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06" s="28" t="str">
        <x:v>аллерген и чувствительность к прогорканию; пережаривание даёт дымную горечь</x:v>
      </x:c>
      <x:c r="W506" s="28" t="str">
        <x:v>соль, ваниль или карамель</x:v>
      </x:c>
      <x:c r="X506" s="28" t="str">
        <x:v>пралине, паста, выпечка, гарнир, соус, молочный или коктейльный компонент с древовидная полынь</x:v>
      </x:c>
      <x:c r="Y506" s="28" t="str">
        <x:v>десерты</x:v>
      </x:c>
      <x:c r="Z506" s="28" t="str">
        <x:v>Высокая</x:v>
      </x:c>
      <x:c r="AA506" s="28" t="str">
        <x:v>The Art &amp; Science of Foodpairing.pdf</x:v>
      </x:c>
      <x:c r="AB506" s="28" t="str">
        <x:v>The Art &amp; Science of Foodpairing.pdf: 333</x:v>
      </x:c>
      <x:c r="AC506" s="28" t="str">
        <x:v>Пара встречается как potential; научное объяснение сформировано по ароматическому профилю и пищевой матрице.</x:v>
      </x:c>
      <x:c r="AD506" s="28" t="n">
        <x:v>1</x:v>
      </x:c>
      <x:c r="AE506" s="28" t="n">
        <x:v>1</x:v>
      </x:c>
      <x:c r="AF506" s="28" t="n">
        <x:f>IF(Z506="Высокая",3,IF(Z506="Средняя",2,1))+AD506*2+MIN(AE506,3)</x:f>
        <x:v>6</x:v>
      </x:c>
    </x:row>
    <x:row r="507" ht="62" customHeight="1">
      <x:c r="A507" s="28" t="str">
        <x:v>NCT-0506</x:v>
      </x:c>
      <x:c r="B507" s="28" t="str">
        <x:v>фундук</x:v>
      </x:c>
      <x:c r="C507" s="28" t="str">
        <x:v>Универсальные</x:v>
      </x:c>
      <x:c r="D507" s="28" t="str">
        <x:v>фундук</x:v>
      </x:c>
      <x:c r="E507" s="28" t="str">
        <x:v>фундук</x:v>
      </x:c>
      <x:c r="F507" s="28" t="str">
        <x:v>Орехи и семена</x:v>
      </x:c>
      <x:c r="G507" s="28" t="str">
        <x:v>ежевика</x:v>
      </x:c>
      <x:c r="H507" s="28" t="str">
        <x:v>Ежевика</x:v>
      </x:c>
      <x:c r="I507" s="28" t="str">
        <x:v>Прочее</x:v>
      </x:c>
      <x:c r="J507" s="28" t="str">
        <x:v>ореховый, жареный, сладкий, землистый и какаоподобный</x:v>
      </x:c>
      <x:c r="K507" s="28" t="str">
        <x:v>профиль зависит от конкретного продукта</x:v>
      </x:c>
      <x:c r="L507" s="28" t="str">
        <x:v>фильбертон, пиразины, фураны, альдегиды</x:v>
      </x:c>
      <x:c r="M507" s="28" t="str">
        <x:v>характерный профиль зависит от конкретного продукта</x:v>
      </x:c>
      <x:c r="N507" s="28" t="str">
        <x:v>прямое пересечение семейств не является единственным объяснением</x:v>
      </x:c>
      <x:c r="O507" s="28" t="str">
        <x:v>надежная общая ключевая молекула не подтверждена</x:v>
      </x:c>
      <x:c r="P507" s="28" t="str">
        <x:v>сенсорная комплементарность</x:v>
      </x:c>
      <x:c r="Q50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07" s="28" t="str">
        <x:v>минимальный</x:v>
      </x:c>
      <x:c r="S507" s="28" t="str">
        <x:v>высокожировая матрица с белком; эффективно переносит аромат в пралине и пастах</x:v>
      </x:c>
      <x:c r="T50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07" s="28" t="str">
        <x:v>Фундук имеет профиль «ореховый, жареный, сладкий, землистый и какаоподобный». Партнёр «ежевика»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07" s="28" t="str">
        <x:v>аллерген и чувствительность к прогорканию; пережаривание даёт дымную горечь</x:v>
      </x:c>
      <x:c r="W507" s="28" t="str">
        <x:v>соль, ваниль или карамель</x:v>
      </x:c>
      <x:c r="X507" s="28" t="str">
        <x:v>пралине, паста, выпечка, гарнир, соус, молочный или коктейльный компонент с ежевика</x:v>
      </x:c>
      <x:c r="Y507" s="28" t="str">
        <x:v>десерты</x:v>
      </x:c>
      <x:c r="Z507" s="28" t="str">
        <x:v>Гипотеза / практическая</x:v>
      </x:c>
      <x:c r="AA507" s="28" t="str">
        <x:v>Таблица сочетания(1).pdf</x:v>
      </x:c>
      <x:c r="AB507" s="28" t="str">
        <x:v>Таблица сочетания(1).pdf: 2</x:v>
      </x:c>
      <x:c r="AC507" s="28" t="str">
        <x:v>Пара встречается как table; научное объяснение сформировано по ароматическому профилю и пищевой матрице.</x:v>
      </x:c>
      <x:c r="AD507" s="28" t="n">
        <x:v>1</x:v>
      </x:c>
      <x:c r="AE507" s="28" t="n">
        <x:v>1</x:v>
      </x:c>
      <x:c r="AF507" s="28" t="n">
        <x:f>IF(Z507="Высокая",3,IF(Z507="Средняя",2,1))+AD507*2+MIN(AE507,3)</x:f>
        <x:v>4</x:v>
      </x:c>
    </x:row>
    <x:row r="508" ht="62" customHeight="1">
      <x:c r="A508" s="28" t="str">
        <x:v>NCT-0507</x:v>
      </x:c>
      <x:c r="B508" s="28" t="str">
        <x:v>фундук</x:v>
      </x:c>
      <x:c r="C508" s="28" t="str">
        <x:v>Универсальные</x:v>
      </x:c>
      <x:c r="D508" s="28" t="str">
        <x:v>фундук</x:v>
      </x:c>
      <x:c r="E508" s="28" t="str">
        <x:v>hazelnut</x:v>
      </x:c>
      <x:c r="F508" s="28" t="str">
        <x:v>Орехи и семена</x:v>
      </x:c>
      <x:c r="G508" s="28" t="str">
        <x:v>запечённая морская камбала</x:v>
      </x:c>
      <x:c r="H508" s="28" t="str">
        <x:v>baked Dover sole</x:v>
      </x:c>
      <x:c r="I508" s="28" t="str">
        <x:v>Прочее</x:v>
      </x:c>
      <x:c r="J508" s="28" t="str">
        <x:v>ореховый, жареный, сладкий, землистый и какаоподобный</x:v>
      </x:c>
      <x:c r="K508" s="28" t="str">
        <x:v>профиль зависит от конкретного продукта</x:v>
      </x:c>
      <x:c r="L508" s="28" t="str">
        <x:v>фильбертон, пиразины, фураны, альдегиды</x:v>
      </x:c>
      <x:c r="M508" s="28" t="str">
        <x:v>характерный профиль зависит от конкретного продукта</x:v>
      </x:c>
      <x:c r="N508" s="28" t="str">
        <x:v>прямое пересечение семейств не является единственным объяснением</x:v>
      </x:c>
      <x:c r="O508" s="28" t="str">
        <x:v>надежная общая ключевая молекула не подтверждена</x:v>
      </x:c>
      <x:c r="P508" s="28" t="str">
        <x:v>сенсорная комплементарность</x:v>
      </x:c>
      <x:c r="Q50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08" s="28" t="str">
        <x:v>минимальный</x:v>
      </x:c>
      <x:c r="S508" s="28" t="str">
        <x:v>высокожировая матрица с белком; эффективно переносит аромат в пралине и пастах</x:v>
      </x:c>
      <x:c r="T50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08" s="28" t="str">
        <x:v>Фундук имеет профиль «ореховый, жареный, сладкий, землистый и какаоподобный». Партнёр «запечённая морская камбала»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08" s="28" t="str">
        <x:v>аллерген и чувствительность к прогорканию; пережаривание даёт дымную горечь</x:v>
      </x:c>
      <x:c r="W508" s="28" t="str">
        <x:v>соль, ваниль или карамель</x:v>
      </x:c>
      <x:c r="X508" s="28" t="str">
        <x:v>пралине, паста, выпечка, гарнир, соус, молочный или коктейльный компонент с запечённая морская камбала</x:v>
      </x:c>
      <x:c r="Y508" s="28" t="str">
        <x:v>десерты</x:v>
      </x:c>
      <x:c r="Z508" s="28" t="str">
        <x:v>Средняя</x:v>
      </x:c>
      <x:c r="AA508" s="28" t="str">
        <x:v>The Art &amp; Science of Foodpairing.pdf</x:v>
      </x:c>
      <x:c r="AB508" s="28" t="str">
        <x:v>The Art &amp; Science of Foodpairing.pdf: 332</x:v>
      </x:c>
      <x:c r="AC508" s="28" t="str">
        <x:v>Пара встречается как grid; научное объяснение сформировано по ароматическому профилю и пищевой матрице.</x:v>
      </x:c>
      <x:c r="AD508" s="28" t="n">
        <x:v>1</x:v>
      </x:c>
      <x:c r="AE508" s="28" t="n">
        <x:v>1</x:v>
      </x:c>
      <x:c r="AF508" s="28" t="n">
        <x:f>IF(Z508="Высокая",3,IF(Z508="Средняя",2,1))+AD508*2+MIN(AE508,3)</x:f>
        <x:v>5</x:v>
      </x:c>
    </x:row>
    <x:row r="509" ht="62" customHeight="1">
      <x:c r="A509" s="28" t="str">
        <x:v>NCT-0508</x:v>
      </x:c>
      <x:c r="B509" s="28" t="str">
        <x:v>фундук</x:v>
      </x:c>
      <x:c r="C509" s="28" t="str">
        <x:v>Еда и соусы</x:v>
      </x:c>
      <x:c r="D509" s="28" t="str">
        <x:v>фундук</x:v>
      </x:c>
      <x:c r="E509" s="28" t="str">
        <x:v>hazelnut</x:v>
      </x:c>
      <x:c r="F509" s="28" t="str">
        <x:v>Орехи и семена</x:v>
      </x:c>
      <x:c r="G509" s="28" t="str">
        <x:v>зелёная спаржа</x:v>
      </x:c>
      <x:c r="H509" s="28" t="str">
        <x:v>grilled green asparagus</x:v>
      </x:c>
      <x:c r="I509" s="28" t="str">
        <x:v>Овощи, бобовые и грибы</x:v>
      </x:c>
      <x:c r="J509" s="28" t="str">
        <x:v>ореховый, жареный, сладкий, землистый и какаоподобный</x:v>
      </x:c>
      <x:c r="K509" s="28" t="str">
        <x:v>зелёный, землистый или умами</x:v>
      </x:c>
      <x:c r="L509" s="28" t="str">
        <x:v>фильбертон, пиразины, фураны, альдегиды</x:v>
      </x:c>
      <x:c r="M509" s="28" t="str">
        <x:v>альдегиды, сернистые соединения</x:v>
      </x:c>
      <x:c r="N509" s="28" t="str">
        <x:v>прямое пересечение семейств не является единственным объяснением</x:v>
      </x:c>
      <x:c r="O509" s="28" t="str">
        <x:v>альдегиды</x:v>
      </x:c>
      <x:c r="P509" s="28" t="str">
        <x:v>общие ароматические соединения</x:v>
      </x:c>
      <x:c r="Q50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09" s="28" t="str">
        <x:v>минимальный</x:v>
      </x:c>
      <x:c r="S509" s="28" t="str">
        <x:v>высокожировая матрица с белком; эффективно переносит аромат в пралине и пастах</x:v>
      </x:c>
      <x:c r="T50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09" s="28" t="str">
        <x:v>Фундук имеет профиль «ореховый, жареный, сладкий, землистый и какаоподобный». Партнёр «зелёная спаржа»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509" s="28" t="str">
        <x:v>аллерген и чувствительность к прогорканию; пережаривание даёт дымную горечь</x:v>
      </x:c>
      <x:c r="W509" s="28" t="str">
        <x:v>соль, ваниль или карамель</x:v>
      </x:c>
      <x:c r="X509" s="28" t="str">
        <x:v>пралине, паста, выпечка, гарнир, соус, молочный или коктейльный компонент с зелёная спаржа</x:v>
      </x:c>
      <x:c r="Y509" s="28" t="str">
        <x:v>еда, десерты, соусы/маринады</x:v>
      </x:c>
      <x:c r="Z509" s="28" t="str">
        <x:v>Средняя</x:v>
      </x:c>
      <x:c r="AA509" s="28" t="str">
        <x:v>The Art &amp; Science of Foodpairing.pdf</x:v>
      </x:c>
      <x:c r="AB509" s="28" t="str">
        <x:v>The Art &amp; Science of Foodpairing.pdf: 332</x:v>
      </x:c>
      <x:c r="AC509" s="28" t="str">
        <x:v>Пара встречается как grid; научное объяснение сформировано по ароматическому профилю и пищевой матрице.</x:v>
      </x:c>
      <x:c r="AD509" s="28" t="n">
        <x:v>1</x:v>
      </x:c>
      <x:c r="AE509" s="28" t="n">
        <x:v>1</x:v>
      </x:c>
      <x:c r="AF509" s="28" t="n">
        <x:f>IF(Z509="Высокая",3,IF(Z509="Средняя",2,1))+AD509*2+MIN(AE509,3)</x:f>
        <x:v>5</x:v>
      </x:c>
    </x:row>
    <x:row r="510" ht="62" customHeight="1">
      <x:c r="A510" s="28" t="str">
        <x:v>NCT-0509</x:v>
      </x:c>
      <x:c r="B510" s="28" t="str">
        <x:v>фундук</x:v>
      </x:c>
      <x:c r="C510" s="28" t="str">
        <x:v>Еда и соусы</x:v>
      </x:c>
      <x:c r="D510" s="28" t="str">
        <x:v>фундук</x:v>
      </x:c>
      <x:c r="E510" s="28" t="str">
        <x:v>hazelnut</x:v>
      </x:c>
      <x:c r="F510" s="28" t="str">
        <x:v>Орехи и семена</x:v>
      </x:c>
      <x:c r="G510" s="28" t="str">
        <x:v>зелёная фасоль</x:v>
      </x:c>
      <x:c r="H510" s="28" t="str">
        <x:v>boiled green beans</x:v>
      </x:c>
      <x:c r="I510" s="28" t="str">
        <x:v>Овощи, бобовые и грибы</x:v>
      </x:c>
      <x:c r="J510" s="28" t="str">
        <x:v>ореховый, жареный, сладкий, землистый и какаоподобный</x:v>
      </x:c>
      <x:c r="K510" s="28" t="str">
        <x:v>зелёный, землистый или умами</x:v>
      </x:c>
      <x:c r="L510" s="28" t="str">
        <x:v>фильбертон, пиразины, фураны, альдегиды</x:v>
      </x:c>
      <x:c r="M510" s="28" t="str">
        <x:v>альдегиды, сернистые соединения</x:v>
      </x:c>
      <x:c r="N510" s="28" t="str">
        <x:v>прямое пересечение семейств не является единственным объяснением</x:v>
      </x:c>
      <x:c r="O510" s="28" t="str">
        <x:v>альдегиды</x:v>
      </x:c>
      <x:c r="P510" s="28" t="str">
        <x:v>общие ароматические соединения</x:v>
      </x:c>
      <x:c r="Q51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10" s="28" t="str">
        <x:v>минимальный</x:v>
      </x:c>
      <x:c r="S510" s="28" t="str">
        <x:v>высокожировая матрица с белком; эффективно переносит аромат в пралине и пастах</x:v>
      </x:c>
      <x:c r="T51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10" s="28" t="str">
        <x:v>Фундук имеет профиль «ореховый, жареный, сладкий, землистый и какаоподобный». Партнёр «зелёная фасоль»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510" s="28" t="str">
        <x:v>аллерген и чувствительность к прогорканию; пережаривание даёт дымную горечь</x:v>
      </x:c>
      <x:c r="W510" s="28" t="str">
        <x:v>соль, ваниль или карамель</x:v>
      </x:c>
      <x:c r="X510" s="28" t="str">
        <x:v>пралине, паста, выпечка, гарнир, соус, молочный или коктейльный компонент с зелёная фасоль</x:v>
      </x:c>
      <x:c r="Y510" s="28" t="str">
        <x:v>еда, десерты, соусы/маринады</x:v>
      </x:c>
      <x:c r="Z510" s="28" t="str">
        <x:v>Средняя</x:v>
      </x:c>
      <x:c r="AA510" s="28" t="str">
        <x:v>The Art &amp; Science of Foodpairing.pdf</x:v>
      </x:c>
      <x:c r="AB510" s="28" t="str">
        <x:v>The Art &amp; Science of Foodpairing.pdf: 332</x:v>
      </x:c>
      <x:c r="AC510" s="28" t="str">
        <x:v>Пара встречается как grid; научное объяснение сформировано по ароматическому профилю и пищевой матрице.</x:v>
      </x:c>
      <x:c r="AD510" s="28" t="n">
        <x:v>1</x:v>
      </x:c>
      <x:c r="AE510" s="28" t="n">
        <x:v>1</x:v>
      </x:c>
      <x:c r="AF510" s="28" t="n">
        <x:f>IF(Z510="Высокая",3,IF(Z510="Средняя",2,1))+AD510*2+MIN(AE510,3)</x:f>
        <x:v>5</x:v>
      </x:c>
    </x:row>
    <x:row r="511" ht="62" customHeight="1">
      <x:c r="A511" s="28" t="str">
        <x:v>NCT-0510</x:v>
      </x:c>
      <x:c r="B511" s="28" t="str">
        <x:v>фундук</x:v>
      </x:c>
      <x:c r="C511" s="28" t="str">
        <x:v>Напитки</x:v>
      </x:c>
      <x:c r="D511" s="28" t="str">
        <x:v>фундук</x:v>
      </x:c>
      <x:c r="E511" s="28" t="str">
        <x:v>hazelnut</x:v>
      </x:c>
      <x:c r="F511" s="28" t="str">
        <x:v>Орехи и семена</x:v>
      </x:c>
      <x:c r="G511" s="28" t="str">
        <x:v>зелёный чай</x:v>
      </x:c>
      <x:c r="H511" s="28" t="str">
        <x:v>matcha</x:v>
      </x:c>
      <x:c r="I511" s="28" t="str">
        <x:v>Чай</x:v>
      </x:c>
      <x:c r="J511" s="28" t="str">
        <x:v>ореховый, жареный, сладкий, землистый и какаоподобный</x:v>
      </x:c>
      <x:c r="K511" s="28" t="str">
        <x:v>зелёный, морской, травянистый, цветочный и слегка жареный; у матча — умами</x:v>
      </x:c>
      <x:c r="L511" s="28" t="str">
        <x:v>фильбертон, пиразины, фураны, альдегиды</x:v>
      </x:c>
      <x:c r="M511" s="28" t="str">
        <x:v>гексаналь, индол, катехины, линалоол, цис-3-гексенол</x:v>
      </x:c>
      <x:c r="N511" s="28" t="str">
        <x:v>прямое пересечение семейств не является единственным объяснением</x:v>
      </x:c>
      <x:c r="O511" s="28" t="str">
        <x:v>надежная общая ключевая молекула не подтверждена</x:v>
      </x:c>
      <x:c r="P511" s="28" t="str">
        <x:v>сенсорная комплементарность</x:v>
      </x:c>
      <x:c r="Q51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11" s="28" t="str">
        <x:v>минимальный</x:v>
      </x:c>
      <x:c r="S511" s="28" t="str">
        <x:v>высокожировая матрица с белком; эффективно переносит аромат в пралине и пастах Вода извлекает танины быстрее, чем гидрофобные ореховые и какаовые молекулы, поэтому полезна жировая или спиртовая мостовая фаза.</x:v>
      </x:c>
      <x:c r="T51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11" s="28" t="str">
        <x:v>Фундук имеет профиль «ореховый, жареный, сладкий, землистый и какаоподобный». Партнёр «зелёный чай» относится к группе «Чай» и даёт зелёный, морской, травянистый, цветочный и слегка жареный; у матча —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11" s="28" t="str">
        <x:v>аллерген и чувствительность к прогорканию; пережаривание даёт дымную горечь</x:v>
      </x:c>
      <x:c r="W511" s="28" t="str">
        <x:v>соль, ваниль или карамель</x:v>
      </x:c>
      <x:c r="X511" s="28" t="str">
        <x:v>пралине, паста, выпечка, гарнир, соус, молочный или коктейльный компонент с зелёный чай</x:v>
      </x:c>
      <x:c r="Y511" s="28" t="str">
        <x:v>напитки, десерты</x:v>
      </x:c>
      <x:c r="Z511" s="28" t="str">
        <x:v>Средняя</x:v>
      </x:c>
      <x:c r="AA511" s="28" t="str">
        <x:v>The Art &amp; Science of Foodpairing.pdf</x:v>
      </x:c>
      <x:c r="AB511" s="28" t="str">
        <x:v>The Art &amp; Science of Foodpairing.pdf: 332</x:v>
      </x:c>
      <x:c r="AC511" s="28" t="str">
        <x:v>Пара встречается как grid; научное объяснение сформировано по ароматическому профилю и пищевой матрице.</x:v>
      </x:c>
      <x:c r="AD511" s="28" t="n">
        <x:v>1</x:v>
      </x:c>
      <x:c r="AE511" s="28" t="n">
        <x:v>1</x:v>
      </x:c>
      <x:c r="AF511" s="28" t="n">
        <x:f>IF(Z511="Высокая",3,IF(Z511="Средняя",2,1))+AD511*2+MIN(AE511,3)</x:f>
        <x:v>5</x:v>
      </x:c>
    </x:row>
    <x:row r="512" ht="62" customHeight="1">
      <x:c r="A512" s="28" t="str">
        <x:v>NCT-0511</x:v>
      </x:c>
      <x:c r="B512" s="28" t="str">
        <x:v>фундук</x:v>
      </x:c>
      <x:c r="C512" s="28" t="str">
        <x:v>Универсальные</x:v>
      </x:c>
      <x:c r="D512" s="28" t="str">
        <x:v>фундук</x:v>
      </x:c>
      <x:c r="E512" s="28" t="str">
        <x:v>hazelnut</x:v>
      </x:c>
      <x:c r="F512" s="28" t="str">
        <x:v>Орехи и семена</x:v>
      </x:c>
      <x:c r="G512" s="28" t="str">
        <x:v>изюм</x:v>
      </x:c>
      <x:c r="H512" s="28" t="str">
        <x:v>raisin</x:v>
      </x:c>
      <x:c r="I512" s="28" t="str">
        <x:v>Прочее</x:v>
      </x:c>
      <x:c r="J512" s="28" t="str">
        <x:v>ореховый, жареный, сладкий, землистый и какаоподобный</x:v>
      </x:c>
      <x:c r="K512" s="28" t="str">
        <x:v>профиль зависит от конкретного продукта</x:v>
      </x:c>
      <x:c r="L512" s="28" t="str">
        <x:v>фильбертон, пиразины, фураны, альдегиды</x:v>
      </x:c>
      <x:c r="M512" s="28" t="str">
        <x:v>характерный профиль зависит от конкретного продукта</x:v>
      </x:c>
      <x:c r="N512" s="28" t="str">
        <x:v>прямое пересечение семейств не является единственным объяснением</x:v>
      </x:c>
      <x:c r="O512" s="28" t="str">
        <x:v>надежная общая ключевая молекула не подтверждена</x:v>
      </x:c>
      <x:c r="P512" s="28" t="str">
        <x:v>сенсорная комплементарность</x:v>
      </x:c>
      <x:c r="Q51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12" s="28" t="str">
        <x:v>минимальный</x:v>
      </x:c>
      <x:c r="S512" s="28" t="str">
        <x:v>высокожировая матрица с белком; эффективно переносит аромат в пралине и пастах</x:v>
      </x:c>
      <x:c r="T51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12" s="28" t="str">
        <x:v>Фундук имеет профиль «ореховый, жареный, сладкий, землистый и какаоподобный». Партнёр «изюм»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12" s="28" t="str">
        <x:v>аллерген и чувствительность к прогорканию; пережаривание даёт дымную горечь</x:v>
      </x:c>
      <x:c r="W512" s="28" t="str">
        <x:v>соль, ваниль или карамель</x:v>
      </x:c>
      <x:c r="X512" s="28" t="str">
        <x:v>пралине, паста, выпечка, гарнир, соус, молочный или коктейльный компонент с изюм</x:v>
      </x:c>
      <x:c r="Y512" s="28" t="str">
        <x:v>десерты</x:v>
      </x:c>
      <x:c r="Z512" s="28" t="str">
        <x:v>Средняя</x:v>
      </x:c>
      <x:c r="AA512" s="28" t="str">
        <x:v>The Art &amp; Science of Foodpairing.pdf</x:v>
      </x:c>
      <x:c r="AB512" s="28" t="str">
        <x:v>The Art &amp; Science of Foodpairing.pdf: 332</x:v>
      </x:c>
      <x:c r="AC512" s="28" t="str">
        <x:v>Пара встречается как grid; научное объяснение сформировано по ароматическому профилю и пищевой матрице.</x:v>
      </x:c>
      <x:c r="AD512" s="28" t="n">
        <x:v>1</x:v>
      </x:c>
      <x:c r="AE512" s="28" t="n">
        <x:v>1</x:v>
      </x:c>
      <x:c r="AF512" s="28" t="n">
        <x:f>IF(Z512="Высокая",3,IF(Z512="Средняя",2,1))+AD512*2+MIN(AE512,3)</x:f>
        <x:v>5</x:v>
      </x:c>
    </x:row>
    <x:row r="513" ht="62" customHeight="1">
      <x:c r="A513" s="28" t="str">
        <x:v>NCT-0512</x:v>
      </x:c>
      <x:c r="B513" s="28" t="str">
        <x:v>фундук</x:v>
      </x:c>
      <x:c r="C513" s="28" t="str">
        <x:v>Десерты и выпечка</x:v>
      </x:c>
      <x:c r="D513" s="28" t="str">
        <x:v>фундук</x:v>
      </x:c>
      <x:c r="E513" s="28" t="str">
        <x:v>Фундук | фундук</x:v>
      </x:c>
      <x:c r="F513" s="28" t="str">
        <x:v>Орехи и семена</x:v>
      </x:c>
      <x:c r="G513" s="28" t="str">
        <x:v>инжир</x:v>
      </x:c>
      <x:c r="H513" s="28" t="str">
        <x:v>Инжир | инжир</x:v>
      </x:c>
      <x:c r="I513" s="28" t="str">
        <x:v>Фрукты и ягоды</x:v>
      </x:c>
      <x:c r="J513" s="28" t="str">
        <x:v>ореховый, жареный, сладкий, землистый и какаоподобный</x:v>
      </x:c>
      <x:c r="K513" s="28" t="str">
        <x:v>фруктовый, цветочный и свежий</x:v>
      </x:c>
      <x:c r="L513" s="28" t="str">
        <x:v>фильбертон, пиразины, фураны, альдегиды</x:v>
      </x:c>
      <x:c r="M513" s="28" t="str">
        <x:v>альдегиды, эфиры</x:v>
      </x:c>
      <x:c r="N513" s="28" t="str">
        <x:v>прямое пересечение семейств не является единственным объяснением</x:v>
      </x:c>
      <x:c r="O513" s="28" t="str">
        <x:v>альдегиды</x:v>
      </x:c>
      <x:c r="P513" s="28" t="str">
        <x:v>общие ароматические соединения, контраст кислоты и жирной/горькой матрицы</x:v>
      </x:c>
      <x:c r="Q51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13" s="28" t="str">
        <x:v>минимальный</x:v>
      </x:c>
      <x:c r="S513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51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13" s="28" t="str">
        <x:v>Фундук имеет профиль «ореховый, жареный, сладкий, землистый и какаоподобный». Партнёр «инжир»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513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513" s="28" t="str">
        <x:v>ваниль, цитрус или молочный жир</x:v>
      </x:c>
      <x:c r="X513" s="28" t="str">
        <x:v>пралине, паста, выпечка, гарнир, соус, молочный или коктейльный компонент с инжир</x:v>
      </x:c>
      <x:c r="Y513" s="28" t="str">
        <x:v>десерты</x:v>
      </x:c>
      <x:c r="Z513" s="28" t="str">
        <x:v>Высокая</x:v>
      </x:c>
      <x:c r="AA513" s="28" t="str">
        <x:v>Таблица сочетания(1).pdf | Тезариус вкусов (Ники Сегнит)(1).pdf</x:v>
      </x:c>
      <x:c r="AB513" s="28" t="str">
        <x:v>Таблица сочетания(1).pdf: 8; Тезариус вкусов (Ники Сегнит)(1).pdf: 634, 896</x:v>
      </x:c>
      <x:c r="AC513" s="28" t="str">
        <x:v>Пара встречается как table, thesaurus; научное объяснение сформировано по ароматическому профилю и пищевой матрице.</x:v>
      </x:c>
      <x:c r="AD513" s="28" t="n">
        <x:v>2</x:v>
      </x:c>
      <x:c r="AE513" s="28" t="n">
        <x:v>3</x:v>
      </x:c>
      <x:c r="AF513" s="28" t="n">
        <x:f>IF(Z513="Высокая",3,IF(Z513="Средняя",2,1))+AD513*2+MIN(AE513,3)</x:f>
        <x:v>10</x:v>
      </x:c>
    </x:row>
    <x:row r="514" ht="62" customHeight="1">
      <x:c r="A514" s="28" t="str">
        <x:v>NCT-0513</x:v>
      </x:c>
      <x:c r="B514" s="28" t="str">
        <x:v>фундук</x:v>
      </x:c>
      <x:c r="C514" s="28" t="str">
        <x:v>Еда и соусы</x:v>
      </x:c>
      <x:c r="D514" s="28" t="str">
        <x:v>фундук</x:v>
      </x:c>
      <x:c r="E514" s="28" t="str">
        <x:v>hazelnut</x:v>
      </x:c>
      <x:c r="F514" s="28" t="str">
        <x:v>Орехи и семена</x:v>
      </x:c>
      <x:c r="G514" s="28" t="str">
        <x:v>кабачок</x:v>
      </x:c>
      <x:c r="H514" s="28" t="str">
        <x:v>courgette</x:v>
      </x:c>
      <x:c r="I514" s="28" t="str">
        <x:v>Овощи, бобовые и грибы</x:v>
      </x:c>
      <x:c r="J514" s="28" t="str">
        <x:v>ореховый, жареный, сладкий, землистый и какаоподобный</x:v>
      </x:c>
      <x:c r="K514" s="28" t="str">
        <x:v>зелёный, землистый или умами</x:v>
      </x:c>
      <x:c r="L514" s="28" t="str">
        <x:v>фильбертон, пиразины, фураны, альдегиды</x:v>
      </x:c>
      <x:c r="M514" s="28" t="str">
        <x:v>альдегиды, сернистые соединения</x:v>
      </x:c>
      <x:c r="N514" s="28" t="str">
        <x:v>прямое пересечение семейств не является единственным объяснением</x:v>
      </x:c>
      <x:c r="O514" s="28" t="str">
        <x:v>альдегиды</x:v>
      </x:c>
      <x:c r="P514" s="28" t="str">
        <x:v>общие ароматические соединения</x:v>
      </x:c>
      <x:c r="Q51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14" s="28" t="str">
        <x:v>минимальный</x:v>
      </x:c>
      <x:c r="S514" s="28" t="str">
        <x:v>высокожировая матрица с белком; эффективно переносит аромат в пралине и пастах</x:v>
      </x:c>
      <x:c r="T51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14" s="28" t="str">
        <x:v>Фундук имеет профиль «ореховый, жареный, сладкий, землистый и какаоподобный». Партнёр «кабачок»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514" s="28" t="str">
        <x:v>аллерген и чувствительность к прогорканию; пережаривание даёт дымную горечь</x:v>
      </x:c>
      <x:c r="W514" s="28" t="str">
        <x:v>соль, ваниль или карамель</x:v>
      </x:c>
      <x:c r="X514" s="28" t="str">
        <x:v>пралине, паста, выпечка, гарнир, соус, молочный или коктейльный компонент с кабачок</x:v>
      </x:c>
      <x:c r="Y514" s="28" t="str">
        <x:v>еда, десерты, соусы/маринады</x:v>
      </x:c>
      <x:c r="Z514" s="28" t="str">
        <x:v>Высокая</x:v>
      </x:c>
      <x:c r="AA514" s="28" t="str">
        <x:v>The Art &amp; Science of Foodpairing.pdf</x:v>
      </x:c>
      <x:c r="AB514" s="28" t="str">
        <x:v>The Art &amp; Science of Foodpairing.pdf: 332</x:v>
      </x:c>
      <x:c r="AC514" s="28" t="str">
        <x:v>Пара встречается как potential; научное объяснение сформировано по ароматическому профилю и пищевой матрице.</x:v>
      </x:c>
      <x:c r="AD514" s="28" t="n">
        <x:v>1</x:v>
      </x:c>
      <x:c r="AE514" s="28" t="n">
        <x:v>1</x:v>
      </x:c>
      <x:c r="AF514" s="28" t="n">
        <x:f>IF(Z514="Высокая",3,IF(Z514="Средняя",2,1))+AD514*2+MIN(AE514,3)</x:f>
        <x:v>6</x:v>
      </x:c>
    </x:row>
    <x:row r="515" ht="62" customHeight="1">
      <x:c r="A515" s="28" t="str">
        <x:v>NCT-0514</x:v>
      </x:c>
      <x:c r="B515" s="28" t="str">
        <x:v>фундук</x:v>
      </x:c>
      <x:c r="C515" s="28" t="str">
        <x:v>Еда и соусы</x:v>
      </x:c>
      <x:c r="D515" s="28" t="str">
        <x:v>фундук</x:v>
      </x:c>
      <x:c r="E515" s="28" t="str">
        <x:v>hazelnut | roasted hazelnut</x:v>
      </x:c>
      <x:c r="F515" s="28" t="str">
        <x:v>Орехи и семена</x:v>
      </x:c>
      <x:c r="G515" s="28" t="str">
        <x:v>картофель фри</x:v>
      </x:c>
      <x:c r="H515" s="28" t="str">
        <x:v>French fries | Frenchfries</x:v>
      </x:c>
      <x:c r="I515" s="28" t="str">
        <x:v>Овощи, бобовые и грибы</x:v>
      </x:c>
      <x:c r="J515" s="28" t="str">
        <x:v>ореховый, жареный, сладкий, землистый и какаоподобный</x:v>
      </x:c>
      <x:c r="K515" s="28" t="str">
        <x:v>зелёный, землистый или умами</x:v>
      </x:c>
      <x:c r="L515" s="28" t="str">
        <x:v>фильбертон, пиразины, фураны, альдегиды</x:v>
      </x:c>
      <x:c r="M515" s="28" t="str">
        <x:v>альдегиды, сернистые соединения</x:v>
      </x:c>
      <x:c r="N515" s="28" t="str">
        <x:v>прямое пересечение семейств не является единственным объяснением</x:v>
      </x:c>
      <x:c r="O515" s="28" t="str">
        <x:v>альдегиды</x:v>
      </x:c>
      <x:c r="P515" s="28" t="str">
        <x:v>общие ароматические соединения</x:v>
      </x:c>
      <x:c r="Q51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15" s="28" t="str">
        <x:v>минимальный</x:v>
      </x:c>
      <x:c r="S515" s="28" t="str">
        <x:v>высокожировая матрица с белком; эффективно переносит аромат в пралине и пастах</x:v>
      </x:c>
      <x:c r="T51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15" s="28" t="str">
        <x:v>Фундук имеет профиль «ореховый, жареный, сладкий, землистый и какаоподобный». Партнёр «картофель фри»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515" s="28" t="str">
        <x:v>аллерген и чувствительность к прогорканию; пережаривание даёт дымную горечь</x:v>
      </x:c>
      <x:c r="W515" s="28" t="str">
        <x:v>соль, ваниль или карамель</x:v>
      </x:c>
      <x:c r="X515" s="28" t="str">
        <x:v>пралине, паста, выпечка, гарнир, соус, молочный или коктейльный компонент с картофель фри</x:v>
      </x:c>
      <x:c r="Y515" s="28" t="str">
        <x:v>еда, десерты, соусы/маринады</x:v>
      </x:c>
      <x:c r="Z515" s="28" t="str">
        <x:v>Средняя</x:v>
      </x:c>
      <x:c r="AA515" s="28" t="str">
        <x:v>The Art &amp; Science of Foodpairing.pdf</x:v>
      </x:c>
      <x:c r="AB515" s="28" t="str">
        <x:v>The Art &amp; Science of Foodpairing.pdf: 196, 332</x:v>
      </x:c>
      <x:c r="AC515" s="28" t="str">
        <x:v>Пара встречается как grid; научное объяснение сформировано по ароматическому профилю и пищевой матрице.</x:v>
      </x:c>
      <x:c r="AD515" s="28" t="n">
        <x:v>1</x:v>
      </x:c>
      <x:c r="AE515" s="28" t="n">
        <x:v>3</x:v>
      </x:c>
      <x:c r="AF515" s="28" t="n">
        <x:f>IF(Z515="Высокая",3,IF(Z515="Средняя",2,1))+AD515*2+MIN(AE515,3)</x:f>
        <x:v>7</x:v>
      </x:c>
    </x:row>
    <x:row r="516" ht="62" customHeight="1">
      <x:c r="A516" s="28" t="str">
        <x:v>NCT-0515</x:v>
      </x:c>
      <x:c r="B516" s="28" t="str">
        <x:v>фундук</x:v>
      </x:c>
      <x:c r="C516" s="28" t="str">
        <x:v>Универсальные</x:v>
      </x:c>
      <x:c r="D516" s="28" t="str">
        <x:v>фундук</x:v>
      </x:c>
      <x:c r="E516" s="28" t="str">
        <x:v>hazelnut</x:v>
      </x:c>
      <x:c r="F516" s="28" t="str">
        <x:v>Орехи и семена</x:v>
      </x:c>
      <x:c r="G516" s="28" t="str">
        <x:v>кейл</x:v>
      </x:c>
      <x:c r="H516" s="28" t="str">
        <x:v>kale</x:v>
      </x:c>
      <x:c r="I516" s="28" t="str">
        <x:v>Прочее</x:v>
      </x:c>
      <x:c r="J516" s="28" t="str">
        <x:v>ореховый, жареный, сладкий, землистый и какаоподобный</x:v>
      </x:c>
      <x:c r="K516" s="28" t="str">
        <x:v>профиль зависит от конкретного продукта</x:v>
      </x:c>
      <x:c r="L516" s="28" t="str">
        <x:v>фильбертон, пиразины, фураны, альдегиды</x:v>
      </x:c>
      <x:c r="M516" s="28" t="str">
        <x:v>характерный профиль зависит от конкретного продукта</x:v>
      </x:c>
      <x:c r="N516" s="28" t="str">
        <x:v>прямое пересечение семейств не является единственным объяснением</x:v>
      </x:c>
      <x:c r="O516" s="28" t="str">
        <x:v>надежная общая ключевая молекула не подтверждена</x:v>
      </x:c>
      <x:c r="P516" s="28" t="str">
        <x:v>сенсорная комплементарность</x:v>
      </x:c>
      <x:c r="Q51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16" s="28" t="str">
        <x:v>минимальный</x:v>
      </x:c>
      <x:c r="S516" s="28" t="str">
        <x:v>высокожировая матрица с белком; эффективно переносит аромат в пралине и пастах</x:v>
      </x:c>
      <x:c r="T51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16" s="28" t="str">
        <x:v>Фундук имеет профиль «ореховый, жареный, сладкий, землистый и какаоподобный». Партнёр «кейл»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16" s="28" t="str">
        <x:v>аллерген и чувствительность к прогорканию; пережаривание даёт дымную горечь</x:v>
      </x:c>
      <x:c r="W516" s="28" t="str">
        <x:v>соль, ваниль или карамель</x:v>
      </x:c>
      <x:c r="X516" s="28" t="str">
        <x:v>пралине, паста, выпечка, гарнир, соус, молочный или коктейльный компонент с кейл</x:v>
      </x:c>
      <x:c r="Y516" s="28" t="str">
        <x:v>десерты</x:v>
      </x:c>
      <x:c r="Z516" s="28" t="str">
        <x:v>Средняя</x:v>
      </x:c>
      <x:c r="AA516" s="28" t="str">
        <x:v>The Art &amp; Science of Foodpairing.pdf</x:v>
      </x:c>
      <x:c r="AB516" s="28" t="str">
        <x:v>The Art &amp; Science of Foodpairing.pdf: 332</x:v>
      </x:c>
      <x:c r="AC516" s="28" t="str">
        <x:v>Пара встречается как grid; научное объяснение сформировано по ароматическому профилю и пищевой матрице.</x:v>
      </x:c>
      <x:c r="AD516" s="28" t="n">
        <x:v>1</x:v>
      </x:c>
      <x:c r="AE516" s="28" t="n">
        <x:v>1</x:v>
      </x:c>
      <x:c r="AF516" s="28" t="n">
        <x:f>IF(Z516="Высокая",3,IF(Z516="Средняя",2,1))+AD516*2+MIN(AE516,3)</x:f>
        <x:v>5</x:v>
      </x:c>
    </x:row>
    <x:row r="517" ht="62" customHeight="1">
      <x:c r="A517" s="28" t="str">
        <x:v>NCT-0516</x:v>
      </x:c>
      <x:c r="B517" s="28" t="str">
        <x:v>фундук</x:v>
      </x:c>
      <x:c r="C517" s="28" t="str">
        <x:v>Десерты и выпечка</x:v>
      </x:c>
      <x:c r="D517" s="28" t="str">
        <x:v>фундук</x:v>
      </x:c>
      <x:c r="E517" s="28" t="str">
        <x:v>hazelnut</x:v>
      </x:c>
      <x:c r="F517" s="28" t="str">
        <x:v>Орехи и семена</x:v>
      </x:c>
      <x:c r="G517" s="28" t="str">
        <x:v>киви</x:v>
      </x:c>
      <x:c r="H517" s="28" t="str">
        <x:v>kiwi</x:v>
      </x:c>
      <x:c r="I517" s="28" t="str">
        <x:v>Фрукты и ягоды</x:v>
      </x:c>
      <x:c r="J517" s="28" t="str">
        <x:v>ореховый, жареный, сладкий, землистый и какаоподобный</x:v>
      </x:c>
      <x:c r="K517" s="28" t="str">
        <x:v>фруктовый, цветочный и свежий</x:v>
      </x:c>
      <x:c r="L517" s="28" t="str">
        <x:v>фильбертон, пиразины, фураны, альдегиды</x:v>
      </x:c>
      <x:c r="M517" s="28" t="str">
        <x:v>альдегиды, эфиры</x:v>
      </x:c>
      <x:c r="N517" s="28" t="str">
        <x:v>прямое пересечение семейств не является единственным объяснением</x:v>
      </x:c>
      <x:c r="O517" s="28" t="str">
        <x:v>альдегиды</x:v>
      </x:c>
      <x:c r="P517" s="28" t="str">
        <x:v>общие ароматические соединения, контраст кислоты и жирной/горькой матрицы</x:v>
      </x:c>
      <x:c r="Q51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17" s="28" t="str">
        <x:v>минимальный</x:v>
      </x:c>
      <x:c r="S517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51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17" s="28" t="str">
        <x:v>Фундук имеет профиль «ореховый, жареный, сладкий, землистый и какаоподобный». Партнёр «киви»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517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517" s="28" t="str">
        <x:v>ваниль, цитрус или молочный жир</x:v>
      </x:c>
      <x:c r="X517" s="28" t="str">
        <x:v>пралине, паста, выпечка, гарнир, соус, молочный или коктейльный компонент с киви</x:v>
      </x:c>
      <x:c r="Y517" s="28" t="str">
        <x:v>десерты</x:v>
      </x:c>
      <x:c r="Z517" s="28" t="str">
        <x:v>Средняя</x:v>
      </x:c>
      <x:c r="AA517" s="28" t="str">
        <x:v>The Art &amp; Science of Foodpairing.pdf</x:v>
      </x:c>
      <x:c r="AB517" s="28" t="str">
        <x:v>The Art &amp; Science of Foodpairing.pdf: 332</x:v>
      </x:c>
      <x:c r="AC517" s="28" t="str">
        <x:v>Пара встречается как grid; научное объяснение сформировано по ароматическому профилю и пищевой матрице.</x:v>
      </x:c>
      <x:c r="AD517" s="28" t="n">
        <x:v>1</x:v>
      </x:c>
      <x:c r="AE517" s="28" t="n">
        <x:v>1</x:v>
      </x:c>
      <x:c r="AF517" s="28" t="n">
        <x:f>IF(Z517="Высокая",3,IF(Z517="Средняя",2,1))+AD517*2+MIN(AE517,3)</x:f>
        <x:v>5</x:v>
      </x:c>
    </x:row>
    <x:row r="518" ht="62" customHeight="1">
      <x:c r="A518" s="28" t="str">
        <x:v>NCT-0517</x:v>
      </x:c>
      <x:c r="B518" s="28" t="str">
        <x:v>фундук</x:v>
      </x:c>
      <x:c r="C518" s="28" t="str">
        <x:v>Десерты и выпечка</x:v>
      </x:c>
      <x:c r="D518" s="28" t="str">
        <x:v>фундук</x:v>
      </x:c>
      <x:c r="E518" s="28" t="str">
        <x:v>hazelnut</x:v>
      </x:c>
      <x:c r="F518" s="28" t="str">
        <x:v>Орехи и семена</x:v>
      </x:c>
      <x:c r="G518" s="28" t="str">
        <x:v>кленовый сироп</x:v>
      </x:c>
      <x:c r="H518" s="28" t="str">
        <x:v>maple syrup</x:v>
      </x:c>
      <x:c r="I518" s="28" t="str">
        <x:v>Выпечка, сахара и десерты</x:v>
      </x:c>
      <x:c r="J518" s="28" t="str">
        <x:v>ореховый, жареный, сладкий, землистый и какаоподобный</x:v>
      </x:c>
      <x:c r="K518" s="28" t="str">
        <x:v>сладкий, карамельный и жареный</x:v>
      </x:c>
      <x:c r="L518" s="28" t="str">
        <x:v>фильбертон, пиразины, фураны, альдегиды</x:v>
      </x:c>
      <x:c r="M518" s="28" t="str">
        <x:v>мальтол, пиразины, фураны</x:v>
      </x:c>
      <x:c r="N518" s="28" t="str">
        <x:v>жареный</x:v>
      </x:c>
      <x:c r="O518" s="28" t="str">
        <x:v>пиразины, фураны</x:v>
      </x:c>
      <x:c r="P518" s="28" t="str">
        <x:v>общие ароматические соединения, пересечение ароматических семейств, жареная химия и реакции Майяра</x:v>
      </x:c>
      <x:c r="Q51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18" s="28" t="str">
        <x:v>минимальный</x:v>
      </x:c>
      <x:c r="S518" s="28" t="str">
        <x:v>высокожировая матрица с белком; эффективно переносит аромат в пралине и пастах</x:v>
      </x:c>
      <x:c r="T51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18" s="28" t="str">
        <x:v>Фундук имеет профиль «ореховый, жареный, сладкий, землистый и какаоподобный».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V518" s="28" t="str">
        <x:v>аллерген и чувствительность к прогорканию; пережаривание даёт дымную горечь</x:v>
      </x:c>
      <x:c r="W518" s="28" t="str">
        <x:v>соль, ваниль или карамель</x:v>
      </x:c>
      <x:c r="X518" s="28" t="str">
        <x:v>пралине, паста, выпечка, гарнир, соус, молочный или коктейльный компонент с кленовый сироп</x:v>
      </x:c>
      <x:c r="Y518" s="28" t="str">
        <x:v>напитки, десерты</x:v>
      </x:c>
      <x:c r="Z518" s="28" t="str">
        <x:v>Средняя</x:v>
      </x:c>
      <x:c r="AA518" s="28" t="str">
        <x:v>The Art &amp; Science of Foodpairing.pdf</x:v>
      </x:c>
      <x:c r="AB518" s="28" t="str">
        <x:v>The Art &amp; Science of Foodpairing.pdf: 332</x:v>
      </x:c>
      <x:c r="AC518" s="28" t="str">
        <x:v>Пара встречается как grid; научное объяснение сформировано по ароматическому профилю и пищевой матрице.</x:v>
      </x:c>
      <x:c r="AD518" s="28" t="n">
        <x:v>1</x:v>
      </x:c>
      <x:c r="AE518" s="28" t="n">
        <x:v>1</x:v>
      </x:c>
      <x:c r="AF518" s="28" t="n">
        <x:f>IF(Z518="Высокая",3,IF(Z518="Средняя",2,1))+AD518*2+MIN(AE518,3)</x:f>
        <x:v>5</x:v>
      </x:c>
    </x:row>
    <x:row r="519" ht="62" customHeight="1">
      <x:c r="A519" s="28" t="str">
        <x:v>NCT-0518</x:v>
      </x:c>
      <x:c r="B519" s="28" t="str">
        <x:v>фундук</x:v>
      </x:c>
      <x:c r="C519" s="28" t="str">
        <x:v>Универсальные</x:v>
      </x:c>
      <x:c r="D519" s="28" t="str">
        <x:v>фундук</x:v>
      </x:c>
      <x:c r="E519" s="28" t="str">
        <x:v>Фундук | фундук</x:v>
      </x:c>
      <x:c r="F519" s="28" t="str">
        <x:v>Орехи и семена</x:v>
      </x:c>
      <x:c r="G519" s="28" t="str">
        <x:v>клубника</x:v>
      </x:c>
      <x:c r="H519" s="28" t="str">
        <x:v>Клубника | клубника</x:v>
      </x:c>
      <x:c r="I519" s="28" t="str">
        <x:v>Прочее</x:v>
      </x:c>
      <x:c r="J519" s="28" t="str">
        <x:v>ореховый, жареный, сладкий, землистый и какаоподобный</x:v>
      </x:c>
      <x:c r="K519" s="28" t="str">
        <x:v>зелёный, карамельный, фруктовый</x:v>
      </x:c>
      <x:c r="L519" s="28" t="str">
        <x:v>фильбертон, пиразины, фураны, альдегиды</x:v>
      </x:c>
      <x:c r="M519" s="28" t="str">
        <x:v>фуранеол, эфиры</x:v>
      </x:c>
      <x:c r="N519" s="28" t="str">
        <x:v>прямое пересечение семейств не является единственным объяснением</x:v>
      </x:c>
      <x:c r="O519" s="28" t="str">
        <x:v>надежная общая ключевая молекула не подтверждена</x:v>
      </x:c>
      <x:c r="P519" s="28" t="str">
        <x:v>сенсорная комплементарность</x:v>
      </x:c>
      <x:c r="Q51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19" s="28" t="str">
        <x:v>минимальный</x:v>
      </x:c>
      <x:c r="S519" s="28" t="str">
        <x:v>высокожировая матрица с белком; эффективно переносит аромат в пралине и пастах</x:v>
      </x:c>
      <x:c r="T51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19" s="28" t="str">
        <x:v>Фундук имеет профиль «ореховый, жареный, сладкий, землистый и какаоподобный». Партнёр «клубника» относится к группе «Прочее» и даёт зелёный, карамельный, фруктовый.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19" s="28" t="str">
        <x:v>аллерген и чувствительность к прогорканию; пережаривание даёт дымную горечь</x:v>
      </x:c>
      <x:c r="W519" s="28" t="str">
        <x:v>соль, ваниль или карамель</x:v>
      </x:c>
      <x:c r="X519" s="28" t="str">
        <x:v>пралине, паста, выпечка, гарнир, соус, молочный или коктейльный компонент с клубника</x:v>
      </x:c>
      <x:c r="Y519" s="28" t="str">
        <x:v>десерты</x:v>
      </x:c>
      <x:c r="Z519" s="28" t="str">
        <x:v>Высокая</x:v>
      </x:c>
      <x:c r="AA519" s="28" t="str">
        <x:v>Таблица сочетания(1).pdf | Тезариус вкусов (Ники Сегнит)(1).pdf</x:v>
      </x:c>
      <x:c r="AB519" s="28" t="str">
        <x:v>Таблица сочетания(1).pdf: 20; Тезариус вкусов (Ники Сегнит)(1).pdf: 635, 698</x:v>
      </x:c>
      <x:c r="AC519" s="28" t="str">
        <x:v>Пара встречается как table, thesaurus; научное объяснение сформировано по ароматическому профилю и пищевой матрице.</x:v>
      </x:c>
      <x:c r="AD519" s="28" t="n">
        <x:v>2</x:v>
      </x:c>
      <x:c r="AE519" s="28" t="n">
        <x:v>3</x:v>
      </x:c>
      <x:c r="AF519" s="28" t="n">
        <x:f>IF(Z519="Высокая",3,IF(Z519="Средняя",2,1))+AD519*2+MIN(AE519,3)</x:f>
        <x:v>10</x:v>
      </x:c>
    </x:row>
    <x:row r="520" ht="62" customHeight="1">
      <x:c r="A520" s="28" t="str">
        <x:v>NCT-0519</x:v>
      </x:c>
      <x:c r="B520" s="28" t="str">
        <x:v>фундук</x:v>
      </x:c>
      <x:c r="C520" s="28" t="str">
        <x:v>Универсальные</x:v>
      </x:c>
      <x:c r="D520" s="28" t="str">
        <x:v>фундук</x:v>
      </x:c>
      <x:c r="E520" s="28" t="str">
        <x:v>hazelnut | фундук</x:v>
      </x:c>
      <x:c r="F520" s="28" t="str">
        <x:v>Орехи и семена</x:v>
      </x:c>
      <x:c r="G520" s="28" t="str">
        <x:v>клюква</x:v>
      </x:c>
      <x:c r="H520" s="28" t="str">
        <x:v>cranberry | Клюква</x:v>
      </x:c>
      <x:c r="I520" s="28" t="str">
        <x:v>Прочее</x:v>
      </x:c>
      <x:c r="J520" s="28" t="str">
        <x:v>ореховый, жареный, сладкий, землистый и какаоподобный</x:v>
      </x:c>
      <x:c r="K520" s="28" t="str">
        <x:v>профиль зависит от конкретного продукта</x:v>
      </x:c>
      <x:c r="L520" s="28" t="str">
        <x:v>фильбертон, пиразины, фураны, альдегиды</x:v>
      </x:c>
      <x:c r="M520" s="28" t="str">
        <x:v>характерный профиль зависит от конкретного продукта</x:v>
      </x:c>
      <x:c r="N520" s="28" t="str">
        <x:v>прямое пересечение семейств не является единственным объяснением</x:v>
      </x:c>
      <x:c r="O520" s="28" t="str">
        <x:v>надежная общая ключевая молекула не подтверждена</x:v>
      </x:c>
      <x:c r="P520" s="28" t="str">
        <x:v>сенсорная комплементарность</x:v>
      </x:c>
      <x:c r="Q52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20" s="28" t="str">
        <x:v>минимальный</x:v>
      </x:c>
      <x:c r="S520" s="28" t="str">
        <x:v>высокожировая матрица с белком; эффективно переносит аромат в пралине и пастах</x:v>
      </x:c>
      <x:c r="T52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20" s="28" t="str">
        <x:v>Фундук имеет профиль «ореховый, жареный, сладкий, землистый и какаоподобный». Партнёр «клюква»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20" s="28" t="str">
        <x:v>аллерген и чувствительность к прогорканию; пережаривание даёт дымную горечь</x:v>
      </x:c>
      <x:c r="W520" s="28" t="str">
        <x:v>соль, ваниль или карамель</x:v>
      </x:c>
      <x:c r="X520" s="28" t="str">
        <x:v>пралине, паста, выпечка, гарнир, соус, молочный или коктейльный компонент с клюква</x:v>
      </x:c>
      <x:c r="Y520" s="28" t="str">
        <x:v>десерты</x:v>
      </x:c>
      <x:c r="Z520" s="28" t="str">
        <x:v>Высокая</x:v>
      </x:c>
      <x:c r="AA520" s="28" t="str">
        <x:v>The Art &amp; Science of Foodpairing.pdf | Таблица сочетания(1).pdf</x:v>
      </x:c>
      <x:c r="AB520" s="28" t="str">
        <x:v>The Art &amp; Science of Foodpairing.pdf: 332; Таблица сочетания(1).pdf: 6</x:v>
      </x:c>
      <x:c r="AC520" s="28" t="str">
        <x:v>Пара встречается как grid, table; научное объяснение сформировано по ароматическому профилю и пищевой матрице.</x:v>
      </x:c>
      <x:c r="AD520" s="28" t="n">
        <x:v>2</x:v>
      </x:c>
      <x:c r="AE520" s="28" t="n">
        <x:v>2</x:v>
      </x:c>
      <x:c r="AF520" s="28" t="n">
        <x:f>IF(Z520="Высокая",3,IF(Z520="Средняя",2,1))+AD520*2+MIN(AE520,3)</x:f>
        <x:v>9</x:v>
      </x:c>
    </x:row>
    <x:row r="521" ht="62" customHeight="1">
      <x:c r="A521" s="28" t="str">
        <x:v>NCT-0520</x:v>
      </x:c>
      <x:c r="B521" s="28" t="str">
        <x:v>фундук</x:v>
      </x:c>
      <x:c r="C521" s="28" t="str">
        <x:v>Универсальные</x:v>
      </x:c>
      <x:c r="D521" s="28" t="str">
        <x:v>фундук</x:v>
      </x:c>
      <x:c r="E521" s="28" t="str">
        <x:v>hazelnut</x:v>
      </x:c>
      <x:c r="F521" s="28" t="str">
        <x:v>Орехи и семена</x:v>
      </x:c>
      <x:c r="G521" s="28" t="str">
        <x:v>кокосовая вода</x:v>
      </x:c>
      <x:c r="H521" s="28" t="str">
        <x:v>coconut water</x:v>
      </x:c>
      <x:c r="I521" s="28" t="str">
        <x:v>Прочее</x:v>
      </x:c>
      <x:c r="J521" s="28" t="str">
        <x:v>ореховый, жареный, сладкий, землистый и какаоподобный</x:v>
      </x:c>
      <x:c r="K521" s="28" t="str">
        <x:v>лактонный, сливочный</x:v>
      </x:c>
      <x:c r="L521" s="28" t="str">
        <x:v>фильбертон, пиразины, фураны, альдегиды</x:v>
      </x:c>
      <x:c r="M521" s="28" t="str">
        <x:v>лактоны</x:v>
      </x:c>
      <x:c r="N521" s="28" t="str">
        <x:v>прямое пересечение семейств не является единственным объяснением</x:v>
      </x:c>
      <x:c r="O521" s="28" t="str">
        <x:v>надежная общая ключевая молекула не подтверждена</x:v>
      </x:c>
      <x:c r="P521" s="28" t="str">
        <x:v>сенсорная комплементарность</x:v>
      </x:c>
      <x:c r="Q52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21" s="28" t="str">
        <x:v>минимальный</x:v>
      </x:c>
      <x:c r="S521" s="28" t="str">
        <x:v>высокожировая матрица с белком; эффективно переносит аромат в пралине и пастах</x:v>
      </x:c>
      <x:c r="T52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21" s="28" t="str">
        <x:v>Фундук имеет профиль «ореховый, жареный, сладкий, землистый и какаоподобный». Партнёр «кокосовая вода» относится к группе «Прочее» и даёт лактонный, сливочный.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21" s="28" t="str">
        <x:v>аллерген и чувствительность к прогорканию; пережаривание даёт дымную горечь</x:v>
      </x:c>
      <x:c r="W521" s="28" t="str">
        <x:v>соль, ваниль или карамель</x:v>
      </x:c>
      <x:c r="X521" s="28" t="str">
        <x:v>пралине, паста, выпечка, гарнир, соус, молочный или коктейльный компонент с кокосовая вода</x:v>
      </x:c>
      <x:c r="Y521" s="28" t="str">
        <x:v>десерты</x:v>
      </x:c>
      <x:c r="Z521" s="28" t="str">
        <x:v>Средняя</x:v>
      </x:c>
      <x:c r="AA521" s="28" t="str">
        <x:v>The Art &amp; Science of Foodpairing.pdf</x:v>
      </x:c>
      <x:c r="AB521" s="28" t="str">
        <x:v>The Art &amp; Science of Foodpairing.pdf: 332</x:v>
      </x:c>
      <x:c r="AC521" s="28" t="str">
        <x:v>Пара встречается как grid; научное объяснение сформировано по ароматическому профилю и пищевой матрице.</x:v>
      </x:c>
      <x:c r="AD521" s="28" t="n">
        <x:v>1</x:v>
      </x:c>
      <x:c r="AE521" s="28" t="n">
        <x:v>1</x:v>
      </x:c>
      <x:c r="AF521" s="28" t="n">
        <x:f>IF(Z521="Высокая",3,IF(Z521="Средняя",2,1))+AD521*2+MIN(AE521,3)</x:f>
        <x:v>5</x:v>
      </x:c>
    </x:row>
    <x:row r="522" ht="62" customHeight="1">
      <x:c r="A522" s="28" t="str">
        <x:v>NCT-0521</x:v>
      </x:c>
      <x:c r="B522" s="28" t="str">
        <x:v>фундук</x:v>
      </x:c>
      <x:c r="C522" s="28" t="str">
        <x:v>Универсальные</x:v>
      </x:c>
      <x:c r="D522" s="28" t="str">
        <x:v>фундук</x:v>
      </x:c>
      <x:c r="E522" s="28" t="str">
        <x:v>hazelnut</x:v>
      </x:c>
      <x:c r="F522" s="28" t="str">
        <x:v>Орехи и семена</x:v>
      </x:c>
      <x:c r="G522" s="28" t="str">
        <x:v>корица и кассия</x:v>
      </x:c>
      <x:c r="H522" s="28" t="str">
        <x:v>cinnaman and cassia bark</x:v>
      </x:c>
      <x:c r="I522" s="28" t="str">
        <x:v>Специи</x:v>
      </x:c>
      <x:c r="J522" s="28" t="str">
        <x:v>ореховый, жареный, сладкий, землистый и какаоподобный</x:v>
      </x:c>
      <x:c r="K522" s="28" t="str">
        <x:v>древесный, пряный</x:v>
      </x:c>
      <x:c r="L522" s="28" t="str">
        <x:v>фильбертон, пиразины, фураны, альдегиды</x:v>
      </x:c>
      <x:c r="M522" s="28" t="str">
        <x:v>циннамальдегид, эвгенол</x:v>
      </x:c>
      <x:c r="N522" s="28" t="str">
        <x:v>прямое пересечение семейств не является единственным объяснением</x:v>
      </x:c>
      <x:c r="O522" s="28" t="str">
        <x:v>надежная общая ключевая молекула не подтверждена</x:v>
      </x:c>
      <x:c r="P522" s="28" t="str">
        <x:v>сенсорная комплементарность</x:v>
      </x:c>
      <x:c r="Q52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22" s="28" t="str">
        <x:v>минимальный</x:v>
      </x:c>
      <x:c r="S522" s="28" t="str">
        <x:v>высокожировая матрица с белком; эффективно переносит аромат в пралине и пастах</x:v>
      </x:c>
      <x:c r="T52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22" s="28" t="str">
        <x:v>Фундук имеет профиль «ореховый, жареный, сладкий, землистый и какаоподобный». Партнёр «корица и кассия» относится к группе «Специи» и даёт древесный, пряный.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22" s="28" t="str">
        <x:v>аллерген и чувствительность к прогорканию; пережаривание даёт дымную горечь</x:v>
      </x:c>
      <x:c r="W522" s="28" t="str">
        <x:v>ваниль, апельсин или мёд</x:v>
      </x:c>
      <x:c r="X522" s="28" t="str">
        <x:v>пралине, паста, выпечка, гарнир, соус, молочный или коктейльный компонент с корица и кассия</x:v>
      </x:c>
      <x:c r="Y522" s="28" t="str">
        <x:v>десерты</x:v>
      </x:c>
      <x:c r="Z522" s="28" t="str">
        <x:v>Средняя</x:v>
      </x:c>
      <x:c r="AA522" s="28" t="str">
        <x:v>The Art &amp; Science of Foodpairing.pdf</x:v>
      </x:c>
      <x:c r="AB522" s="28" t="str">
        <x:v>The Art &amp; Science of Foodpairing.pdf: 130</x:v>
      </x:c>
      <x:c r="AC522" s="28" t="str">
        <x:v>Пара встречается как grid; научное объяснение сформировано по ароматическому профилю и пищевой матрице.</x:v>
      </x:c>
      <x:c r="AD522" s="28" t="n">
        <x:v>1</x:v>
      </x:c>
      <x:c r="AE522" s="28" t="n">
        <x:v>1</x:v>
      </x:c>
      <x:c r="AF522" s="28" t="n">
        <x:f>IF(Z522="Высокая",3,IF(Z522="Средняя",2,1))+AD522*2+MIN(AE522,3)</x:f>
        <x:v>5</x:v>
      </x:c>
    </x:row>
    <x:row r="523" ht="62" customHeight="1">
      <x:c r="A523" s="28" t="str">
        <x:v>NCT-0522</x:v>
      </x:c>
      <x:c r="B523" s="28" t="str">
        <x:v>фундук</x:v>
      </x:c>
      <x:c r="C523" s="28" t="str">
        <x:v>Напитки</x:v>
      </x:c>
      <x:c r="D523" s="28" t="str">
        <x:v>фундук</x:v>
      </x:c>
      <x:c r="E523" s="28" t="str">
        <x:v>Фундук | фундук</x:v>
      </x:c>
      <x:c r="F523" s="28" t="str">
        <x:v>Орехи и семена</x:v>
      </x:c>
      <x:c r="G523" s="28" t="str">
        <x:v>кофе</x:v>
      </x:c>
      <x:c r="H523" s="28" t="str">
        <x:v>Кофе | кофе</x:v>
      </x:c>
      <x:c r="I523" s="28" t="str">
        <x:v>Кофе</x:v>
      </x:c>
      <x:c r="J523" s="28" t="str">
        <x:v>ореховый, жареный, сладкий, землистый и какаоподобный</x:v>
      </x:c>
      <x:c r="K523" s="28" t="str">
        <x:v>жареный, ореховый, карамельный, цветочный, фруктовый, фенольный и древесный</x:v>
      </x:c>
      <x:c r="L523" s="28" t="str">
        <x:v>фильбертон, пиразины, фураны, альдегиды</x:v>
      </x:c>
      <x:c r="M523" s="28" t="str">
        <x:v>2-фурфурилтиол, гваякол, диацетил, пиразины, фураны</x:v>
      </x:c>
      <x:c r="N523" s="28" t="str">
        <x:v>жареный, ореховый</x:v>
      </x:c>
      <x:c r="O523" s="28" t="str">
        <x:v>пиразины, фураны</x:v>
      </x:c>
      <x:c r="P523" s="28" t="str">
        <x:v>общие ароматические соединения, пересечение ароматических семейств, жареная химия и реакции Майяра</x:v>
      </x:c>
      <x:c r="Q52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23" s="28" t="str">
        <x:v>минимальный</x:v>
      </x:c>
      <x:c r="S523" s="28" t="str">
        <x:v>высокожировая матрица с белком; эффективно переносит аромат в пралине и пастах</x:v>
      </x:c>
      <x:c r="T52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23" s="28" t="str">
        <x:v>Фундук имеет профиль «ореховый, жареный, сладкий, землистый и какаоподобный».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ореховый; пиразины, фураны.</x:v>
      </x:c>
      <x:c r="V523" s="28" t="str">
        <x:v>аллерген и чувствительность к прогорканию; пережаривание даёт дымную горечь</x:v>
      </x:c>
      <x:c r="W523" s="28" t="str">
        <x:v>соль, ваниль или карамель</x:v>
      </x:c>
      <x:c r="X523" s="28" t="str">
        <x:v>пралине, паста, выпечка, гарнир, соус, молочный или коктейльный компонент с кофе</x:v>
      </x:c>
      <x:c r="Y523" s="28" t="str">
        <x:v>напитки, десерты</x:v>
      </x:c>
      <x:c r="Z523" s="28" t="str">
        <x:v>Высокая</x:v>
      </x:c>
      <x:c r="AA523" s="28" t="str">
        <x:v>Таблица сочетания(1).pdf | Тезариус вкусов (Ники Сегнит)(1).pdf</x:v>
      </x:c>
      <x:c r="AB523" s="28" t="str">
        <x:v>Таблица сочетания(1).pdf: 6; Тезариус вкусов (Ники Сегнит)(1).pdf: 47, 635</x:v>
      </x:c>
      <x:c r="AC523" s="28" t="str">
        <x:v>Пара встречается как table, thesaurus; научное объяснение сформировано по ароматическому профилю и пищевой матрице.</x:v>
      </x:c>
      <x:c r="AD523" s="28" t="n">
        <x:v>2</x:v>
      </x:c>
      <x:c r="AE523" s="28" t="n">
        <x:v>3</x:v>
      </x:c>
      <x:c r="AF523" s="28" t="n">
        <x:f>IF(Z523="Высокая",3,IF(Z523="Средняя",2,1))+AD523*2+MIN(AE523,3)</x:f>
        <x:v>10</x:v>
      </x:c>
    </x:row>
    <x:row r="524" ht="62" customHeight="1">
      <x:c r="A524" s="28" t="str">
        <x:v>NCT-0523</x:v>
      </x:c>
      <x:c r="B524" s="28" t="str">
        <x:v>фундук</x:v>
      </x:c>
      <x:c r="C524" s="28" t="str">
        <x:v>Универсальные</x:v>
      </x:c>
      <x:c r="D524" s="28" t="str">
        <x:v>фундук</x:v>
      </x:c>
      <x:c r="E524" s="28" t="str">
        <x:v>hazelnut</x:v>
      </x:c>
      <x:c r="F524" s="28" t="str">
        <x:v>Орехи и семена</x:v>
      </x:c>
      <x:c r="G524" s="28" t="str">
        <x:v>лепестки розы</x:v>
      </x:c>
      <x:c r="H524" s="28" t="str">
        <x:v>fresh edible rose petals</x:v>
      </x:c>
      <x:c r="I524" s="28" t="str">
        <x:v>Прочее</x:v>
      </x:c>
      <x:c r="J524" s="28" t="str">
        <x:v>ореховый, жареный, сладкий, землистый и какаоподобный</x:v>
      </x:c>
      <x:c r="K524" s="28" t="str">
        <x:v>профиль зависит от конкретного продукта</x:v>
      </x:c>
      <x:c r="L524" s="28" t="str">
        <x:v>фильбертон, пиразины, фураны, альдегиды</x:v>
      </x:c>
      <x:c r="M524" s="28" t="str">
        <x:v>характерный профиль зависит от конкретного продукта</x:v>
      </x:c>
      <x:c r="N524" s="28" t="str">
        <x:v>прямое пересечение семейств не является единственным объяснением</x:v>
      </x:c>
      <x:c r="O524" s="28" t="str">
        <x:v>надежная общая ключевая молекула не подтверждена</x:v>
      </x:c>
      <x:c r="P524" s="28" t="str">
        <x:v>сенсорная комплементарность</x:v>
      </x:c>
      <x:c r="Q52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24" s="28" t="str">
        <x:v>минимальный</x:v>
      </x:c>
      <x:c r="S524" s="28" t="str">
        <x:v>высокожировая матрица с белком; эффективно переносит аромат в пралине и пастах</x:v>
      </x:c>
      <x:c r="T52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24" s="28" t="str">
        <x:v>Фундук имеет профиль «ореховый, жареный, сладкий, землистый и какаоподобный». Партнёр «лепестки розы»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24" s="28" t="str">
        <x:v>аллерген и чувствительность к прогорканию; пережаривание даёт дымную горечь</x:v>
      </x:c>
      <x:c r="W524" s="28" t="str">
        <x:v>соль, ваниль или карамель</x:v>
      </x:c>
      <x:c r="X524" s="28" t="str">
        <x:v>пралине, паста, выпечка, гарнир, соус, молочный или коктейльный компонент с лепестки розы</x:v>
      </x:c>
      <x:c r="Y524" s="28" t="str">
        <x:v>десерты</x:v>
      </x:c>
      <x:c r="Z524" s="28" t="str">
        <x:v>Средняя</x:v>
      </x:c>
      <x:c r="AA524" s="28" t="str">
        <x:v>The Art &amp; Science of Foodpairing.pdf</x:v>
      </x:c>
      <x:c r="AB524" s="28" t="str">
        <x:v>The Art &amp; Science of Foodpairing.pdf: 332</x:v>
      </x:c>
      <x:c r="AC524" s="28" t="str">
        <x:v>Пара встречается как grid; научное объяснение сформировано по ароматическому профилю и пищевой матрице.</x:v>
      </x:c>
      <x:c r="AD524" s="28" t="n">
        <x:v>1</x:v>
      </x:c>
      <x:c r="AE524" s="28" t="n">
        <x:v>1</x:v>
      </x:c>
      <x:c r="AF524" s="28" t="n">
        <x:f>IF(Z524="Высокая",3,IF(Z524="Средняя",2,1))+AD524*2+MIN(AE524,3)</x:f>
        <x:v>5</x:v>
      </x:c>
    </x:row>
    <x:row r="525" ht="62" customHeight="1">
      <x:c r="A525" s="28" t="str">
        <x:v>NCT-0524</x:v>
      </x:c>
      <x:c r="B525" s="28" t="str">
        <x:v>фундук</x:v>
      </x:c>
      <x:c r="C525" s="28" t="str">
        <x:v>Десерты и выпечка</x:v>
      </x:c>
      <x:c r="D525" s="28" t="str">
        <x:v>фундук</x:v>
      </x:c>
      <x:c r="E525" s="28" t="str">
        <x:v>фундук</x:v>
      </x:c>
      <x:c r="F525" s="28" t="str">
        <x:v>Орехи и семена</x:v>
      </x:c>
      <x:c r="G525" s="28" t="str">
        <x:v>лимон</x:v>
      </x:c>
      <x:c r="H525" s="28" t="str">
        <x:v>Лимон</x:v>
      </x:c>
      <x:c r="I525" s="28" t="str">
        <x:v>Фрукты и ягоды</x:v>
      </x:c>
      <x:c r="J525" s="28" t="str">
        <x:v>ореховый, жареный, сладкий, землистый и какаоподобный</x:v>
      </x:c>
      <x:c r="K525" s="28" t="str">
        <x:v>кислый, цитрусовый</x:v>
      </x:c>
      <x:c r="L525" s="28" t="str">
        <x:v>фильбертон, пиразины, фураны, альдегиды</x:v>
      </x:c>
      <x:c r="M525" s="28" t="str">
        <x:v>лимонен, цитраль</x:v>
      </x:c>
      <x:c r="N525" s="28" t="str">
        <x:v>прямое пересечение семейств не является единственным объяснением</x:v>
      </x:c>
      <x:c r="O525" s="28" t="str">
        <x:v>надежная общая ключевая молекула не подтверждена</x:v>
      </x:c>
      <x:c r="P525" s="28" t="str">
        <x:v>контраст кислоты и жирной/горькой матрицы</x:v>
      </x:c>
      <x:c r="Q52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25" s="28" t="str">
        <x:v>минимальный</x:v>
      </x:c>
      <x:c r="S525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52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25" s="28" t="str">
        <x:v>Фундук имеет профиль «ореховый, жареный, сладкий, землистый и какаоподобный».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25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525" s="28" t="str">
        <x:v>ваниль, цитрус или молочный жир</x:v>
      </x:c>
      <x:c r="X525" s="28" t="str">
        <x:v>пралине, паста, выпечка, гарнир, соус, молочный или коктейльный компонент с лимон</x:v>
      </x:c>
      <x:c r="Y525" s="28" t="str">
        <x:v>десерты</x:v>
      </x:c>
      <x:c r="Z525" s="28" t="str">
        <x:v>Гипотеза / практическая</x:v>
      </x:c>
      <x:c r="AA525" s="28" t="str">
        <x:v>Таблица сочетания(1).pdf</x:v>
      </x:c>
      <x:c r="AB525" s="28" t="str">
        <x:v>Таблица сочетания(1).pdf: 11</x:v>
      </x:c>
      <x:c r="AC525" s="28" t="str">
        <x:v>Пара встречается как table; научное объяснение сформировано по ароматическому профилю и пищевой матрице.</x:v>
      </x:c>
      <x:c r="AD525" s="28" t="n">
        <x:v>1</x:v>
      </x:c>
      <x:c r="AE525" s="28" t="n">
        <x:v>1</x:v>
      </x:c>
      <x:c r="AF525" s="28" t="n">
        <x:f>IF(Z525="Высокая",3,IF(Z525="Средняя",2,1))+AD525*2+MIN(AE525,3)</x:f>
        <x:v>4</x:v>
      </x:c>
    </x:row>
    <x:row r="526" ht="62" customHeight="1">
      <x:c r="A526" s="28" t="str">
        <x:v>NCT-0525</x:v>
      </x:c>
      <x:c r="B526" s="28" t="str">
        <x:v>фундук</x:v>
      </x:c>
      <x:c r="C526" s="28" t="str">
        <x:v>Десерты и выпечка</x:v>
      </x:c>
      <x:c r="D526" s="28" t="str">
        <x:v>фундук</x:v>
      </x:c>
      <x:c r="E526" s="28" t="str">
        <x:v>hazelnut</x:v>
      </x:c>
      <x:c r="F526" s="28" t="str">
        <x:v>Орехи и семена</x:v>
      </x:c>
      <x:c r="G526" s="28" t="str">
        <x:v>личи</x:v>
      </x:c>
      <x:c r="H526" s="28" t="str">
        <x:v>lychee</x:v>
      </x:c>
      <x:c r="I526" s="28" t="str">
        <x:v>Фрукты и ягоды</x:v>
      </x:c>
      <x:c r="J526" s="28" t="str">
        <x:v>ореховый, жареный, сладкий, землистый и какаоподобный</x:v>
      </x:c>
      <x:c r="K526" s="28" t="str">
        <x:v>фруктовый, цветочный и свежий</x:v>
      </x:c>
      <x:c r="L526" s="28" t="str">
        <x:v>фильбертон, пиразины, фураны, альдегиды</x:v>
      </x:c>
      <x:c r="M526" s="28" t="str">
        <x:v>альдегиды, эфиры</x:v>
      </x:c>
      <x:c r="N526" s="28" t="str">
        <x:v>прямое пересечение семейств не является единственным объяснением</x:v>
      </x:c>
      <x:c r="O526" s="28" t="str">
        <x:v>альдегиды</x:v>
      </x:c>
      <x:c r="P526" s="28" t="str">
        <x:v>общие ароматические соединения, контраст кислоты и жирной/горькой матрицы</x:v>
      </x:c>
      <x:c r="Q52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26" s="28" t="str">
        <x:v>минимальный</x:v>
      </x:c>
      <x:c r="S526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52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26" s="28" t="str">
        <x:v>Фундук имеет профиль «ореховый, жареный, сладкий, землистый и какаоподобный». Партнёр «личи»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526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526" s="28" t="str">
        <x:v>ваниль, цитрус или молочный жир</x:v>
      </x:c>
      <x:c r="X526" s="28" t="str">
        <x:v>пралине, паста, выпечка, гарнир, соус, молочный или коктейльный компонент с личи</x:v>
      </x:c>
      <x:c r="Y526" s="28" t="str">
        <x:v>десерты</x:v>
      </x:c>
      <x:c r="Z526" s="28" t="str">
        <x:v>Средняя</x:v>
      </x:c>
      <x:c r="AA526" s="28" t="str">
        <x:v>The Art &amp; Science of Foodpairing.pdf</x:v>
      </x:c>
      <x:c r="AB526" s="28" t="str">
        <x:v>The Art &amp; Science of Foodpairing.pdf: 332</x:v>
      </x:c>
      <x:c r="AC526" s="28" t="str">
        <x:v>Пара встречается как grid; научное объяснение сформировано по ароматическому профилю и пищевой матрице.</x:v>
      </x:c>
      <x:c r="AD526" s="28" t="n">
        <x:v>1</x:v>
      </x:c>
      <x:c r="AE526" s="28" t="n">
        <x:v>1</x:v>
      </x:c>
      <x:c r="AF526" s="28" t="n">
        <x:f>IF(Z526="Высокая",3,IF(Z526="Средняя",2,1))+AD526*2+MIN(AE526,3)</x:f>
        <x:v>5</x:v>
      </x:c>
    </x:row>
    <x:row r="527" ht="62" customHeight="1">
      <x:c r="A527" s="28" t="str">
        <x:v>NCT-0526</x:v>
      </x:c>
      <x:c r="B527" s="28" t="str">
        <x:v>фундук</x:v>
      </x:c>
      <x:c r="C527" s="28" t="str">
        <x:v>Универсальные</x:v>
      </x:c>
      <x:c r="D527" s="28" t="str">
        <x:v>фундук</x:v>
      </x:c>
      <x:c r="E527" s="28" t="str">
        <x:v>hazelnut | Фундук | фундук</x:v>
      </x:c>
      <x:c r="F527" s="28" t="str">
        <x:v>Орехи и семена</x:v>
      </x:c>
      <x:c r="G527" s="28" t="str">
        <x:v>малина</x:v>
      </x:c>
      <x:c r="H527" s="28" t="str">
        <x:v>raspberry | Малина | малина</x:v>
      </x:c>
      <x:c r="I527" s="28" t="str">
        <x:v>Прочее</x:v>
      </x:c>
      <x:c r="J527" s="28" t="str">
        <x:v>ореховый, жареный, сладкий, землистый и какаоподобный</x:v>
      </x:c>
      <x:c r="K527" s="28" t="str">
        <x:v>цветочный, ягодный</x:v>
      </x:c>
      <x:c r="L527" s="28" t="str">
        <x:v>фильбертон, пиразины, фураны, альдегиды</x:v>
      </x:c>
      <x:c r="M527" s="28" t="str">
        <x:v>иононы, малиновый кетон</x:v>
      </x:c>
      <x:c r="N527" s="28" t="str">
        <x:v>прямое пересечение семейств не является единственным объяснением</x:v>
      </x:c>
      <x:c r="O527" s="28" t="str">
        <x:v>надежная общая ключевая молекула не подтверждена</x:v>
      </x:c>
      <x:c r="P527" s="28" t="str">
        <x:v>сенсорная комплементарность</x:v>
      </x:c>
      <x:c r="Q52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27" s="28" t="str">
        <x:v>минимальный</x:v>
      </x:c>
      <x:c r="S527" s="28" t="str">
        <x:v>высокожировая матрица с белком; эффективно переносит аромат в пралине и пастах</x:v>
      </x:c>
      <x:c r="T52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27" s="28" t="str">
        <x:v>Фундук имеет профиль «ореховый, жареный, сладкий, землистый и какаоподобный». Партнёр «малина» относится к группе «Прочее» и даёт цветочный, ягодный.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27" s="28" t="str">
        <x:v>аллерген и чувствительность к прогорканию; пережаривание даёт дымную горечь</x:v>
      </x:c>
      <x:c r="W527" s="28" t="str">
        <x:v>соль, ваниль или карамель</x:v>
      </x:c>
      <x:c r="X527" s="28" t="str">
        <x:v>пралине, паста, выпечка, гарнир, соус, молочный или коктейльный компонент с малина</x:v>
      </x:c>
      <x:c r="Y527" s="28" t="str">
        <x:v>десерты</x:v>
      </x:c>
      <x:c r="Z527" s="28" t="str">
        <x:v>Высокая</x:v>
      </x:c>
      <x:c r="AA527" s="28" t="str">
        <x:v>The Art &amp; Science of Foodpairing.pdf | Тезариус вкусов (Ники Сегнит)(1).pdf</x:v>
      </x:c>
      <x:c r="AB527" s="28" t="str">
        <x:v>The Art &amp; Science of Foodpairing.pdf: 332; Тезариус вкусов (Ники Сегнит)(1).pdf: 635, 889</x:v>
      </x:c>
      <x:c r="AC527" s="28" t="str">
        <x:v>Пара встречается как grid, thesaurus; научное объяснение сформировано по ароматическому профилю и пищевой матрице.</x:v>
      </x:c>
      <x:c r="AD527" s="28" t="n">
        <x:v>2</x:v>
      </x:c>
      <x:c r="AE527" s="28" t="n">
        <x:v>3</x:v>
      </x:c>
      <x:c r="AF527" s="28" t="n">
        <x:f>IF(Z527="Высокая",3,IF(Z527="Средняя",2,1))+AD527*2+MIN(AE527,3)</x:f>
        <x:v>10</x:v>
      </x:c>
    </x:row>
    <x:row r="528" ht="62" customHeight="1">
      <x:c r="A528" s="28" t="str">
        <x:v>NCT-0527</x:v>
      </x:c>
      <x:c r="B528" s="28" t="str">
        <x:v>фундук</x:v>
      </x:c>
      <x:c r="C528" s="28" t="str">
        <x:v>Еда и соусы</x:v>
      </x:c>
      <x:c r="D528" s="28" t="str">
        <x:v>фундук</x:v>
      </x:c>
      <x:c r="E528" s="28" t="str">
        <x:v>Фундук | фундук</x:v>
      </x:c>
      <x:c r="F528" s="28" t="str">
        <x:v>Орехи и семена</x:v>
      </x:c>
      <x:c r="G528" s="28" t="str">
        <x:v>морковь</x:v>
      </x:c>
      <x:c r="H528" s="28" t="str">
        <x:v>Морковь | морковь</x:v>
      </x:c>
      <x:c r="I528" s="28" t="str">
        <x:v>Овощи, бобовые и грибы</x:v>
      </x:c>
      <x:c r="J528" s="28" t="str">
        <x:v>ореховый, жареный, сладкий, землистый и какаоподобный</x:v>
      </x:c>
      <x:c r="K528" s="28" t="str">
        <x:v>зелёный, землистый или умами</x:v>
      </x:c>
      <x:c r="L528" s="28" t="str">
        <x:v>фильбертон, пиразины, фураны, альдегиды</x:v>
      </x:c>
      <x:c r="M528" s="28" t="str">
        <x:v>альдегиды, сернистые соединения</x:v>
      </x:c>
      <x:c r="N528" s="28" t="str">
        <x:v>прямое пересечение семейств не является единственным объяснением</x:v>
      </x:c>
      <x:c r="O528" s="28" t="str">
        <x:v>альдегиды</x:v>
      </x:c>
      <x:c r="P528" s="28" t="str">
        <x:v>общие ароматические соединения</x:v>
      </x:c>
      <x:c r="Q52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28" s="28" t="str">
        <x:v>минимальный</x:v>
      </x:c>
      <x:c r="S528" s="28" t="str">
        <x:v>высокожировая матрица с белком; эффективно переносит аромат в пралине и пастах</x:v>
      </x:c>
      <x:c r="T52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28" s="28" t="str">
        <x:v>Фундук имеет профиль «ореховый, жареный, сладкий, землистый и какаоподобный». Партнёр «морковь»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528" s="28" t="str">
        <x:v>аллерген и чувствительность к прогорканию; пережаривание даёт дымную горечь</x:v>
      </x:c>
      <x:c r="W528" s="28" t="str">
        <x:v>соль, ваниль или карамель</x:v>
      </x:c>
      <x:c r="X528" s="28" t="str">
        <x:v>пралине, паста, выпечка, гарнир, соус, молочный или коктейльный компонент с морковь</x:v>
      </x:c>
      <x:c r="Y528" s="28" t="str">
        <x:v>еда, десерты, соусы/маринады</x:v>
      </x:c>
      <x:c r="Z528" s="28" t="str">
        <x:v>Средняя</x:v>
      </x:c>
      <x:c r="AA528" s="28" t="str">
        <x:v>Тезариус вкусов (Ники Сегнит)(1).pdf</x:v>
      </x:c>
      <x:c r="AB528" s="28" t="str">
        <x:v>Тезариус вкусов (Ники Сегнит)(1).pdf: 607, 636</x:v>
      </x:c>
      <x:c r="AC528" s="28" t="str">
        <x:v>Пара встречается как thesaurus; научное объяснение сформировано по ароматическому профилю и пищевой матрице.</x:v>
      </x:c>
      <x:c r="AD528" s="28" t="n">
        <x:v>1</x:v>
      </x:c>
      <x:c r="AE528" s="28" t="n">
        <x:v>2</x:v>
      </x:c>
      <x:c r="AF528" s="28" t="n">
        <x:f>IF(Z528="Высокая",3,IF(Z528="Средняя",2,1))+AD528*2+MIN(AE528,3)</x:f>
        <x:v>6</x:v>
      </x:c>
    </x:row>
    <x:row r="529" ht="62" customHeight="1">
      <x:c r="A529" s="28" t="str">
        <x:v>NCT-0528</x:v>
      </x:c>
      <x:c r="B529" s="28" t="str">
        <x:v>фундук</x:v>
      </x:c>
      <x:c r="C529" s="28" t="str">
        <x:v>Десерты и выпечка</x:v>
      </x:c>
      <x:c r="D529" s="28" t="str">
        <x:v>фундук</x:v>
      </x:c>
      <x:c r="E529" s="28" t="str">
        <x:v>hazelnut</x:v>
      </x:c>
      <x:c r="F529" s="28" t="str">
        <x:v>Орехи и семена</x:v>
      </x:c>
      <x:c r="G529" s="28" t="str">
        <x:v>мускатный орех</x:v>
      </x:c>
      <x:c r="H529" s="28" t="str">
        <x:v>nutmeg</x:v>
      </x:c>
      <x:c r="I529" s="28" t="str">
        <x:v>Орехи и семена</x:v>
      </x:c>
      <x:c r="J529" s="28" t="str">
        <x:v>ореховый, жареный, сладкий, землистый и какаоподобный</x:v>
      </x:c>
      <x:c r="K529" s="28" t="str">
        <x:v>камфорный, ореховый, пряный</x:v>
      </x:c>
      <x:c r="L529" s="28" t="str">
        <x:v>фильбертон, пиразины, фураны, альдегиды</x:v>
      </x:c>
      <x:c r="M529" s="28" t="str">
        <x:v>пинены, сабинен</x:v>
      </x:c>
      <x:c r="N529" s="28" t="str">
        <x:v>ореховый</x:v>
      </x:c>
      <x:c r="O529" s="28" t="str">
        <x:v>надежная общая ключевая молекула не подтверждена</x:v>
      </x:c>
      <x:c r="P529" s="28" t="str">
        <x:v>пересечение ароматических семейств, жареная химия и реакции Майяра</x:v>
      </x:c>
      <x:c r="Q52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29" s="28" t="str">
        <x:v>минимальный</x:v>
      </x:c>
      <x:c r="S529" s="28" t="str">
        <x:v>высокожировая матрица с белком; эффективно переносит аромат в пралине и пастах</x:v>
      </x:c>
      <x:c r="T52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29" s="28" t="str">
        <x:v>Фундук имеет профиль «ореховый, жареный, сладкий, землистый и какаоподобный».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механизм не следует сводить к одной общей молекуле.</x:v>
      </x:c>
      <x:c r="V529" s="28" t="str">
        <x:v>аллерген и чувствительность к прогорканию; пережаривание даёт дымную горечь</x:v>
      </x:c>
      <x:c r="W529" s="28" t="str">
        <x:v>соль, ваниль или карамель</x:v>
      </x:c>
      <x:c r="X529" s="28" t="str">
        <x:v>пралине, паста, выпечка, гарнир, соус, молочный или коктейльный компонент с мускатный орех</x:v>
      </x:c>
      <x:c r="Y529" s="28" t="str">
        <x:v>десерты</x:v>
      </x:c>
      <x:c r="Z529" s="28" t="str">
        <x:v>Средняя</x:v>
      </x:c>
      <x:c r="AA529" s="28" t="str">
        <x:v>The Art &amp; Science of Foodpairing.pdf</x:v>
      </x:c>
      <x:c r="AB529" s="28" t="str">
        <x:v>The Art &amp; Science of Foodpairing.pdf: 332</x:v>
      </x:c>
      <x:c r="AC529" s="28" t="str">
        <x:v>Пара встречается как grid; научное объяснение сформировано по ароматическому профилю и пищевой матрице.</x:v>
      </x:c>
      <x:c r="AD529" s="28" t="n">
        <x:v>1</x:v>
      </x:c>
      <x:c r="AE529" s="28" t="n">
        <x:v>1</x:v>
      </x:c>
      <x:c r="AF529" s="28" t="n">
        <x:f>IF(Z529="Высокая",3,IF(Z529="Средняя",2,1))+AD529*2+MIN(AE529,3)</x:f>
        <x:v>5</x:v>
      </x:c>
    </x:row>
    <x:row r="530" ht="62" customHeight="1">
      <x:c r="A530" s="28" t="str">
        <x:v>NCT-0529</x:v>
      </x:c>
      <x:c r="B530" s="28" t="str">
        <x:v>фундук</x:v>
      </x:c>
      <x:c r="C530" s="28" t="str">
        <x:v>Универсальные</x:v>
      </x:c>
      <x:c r="D530" s="28" t="str">
        <x:v>фундук</x:v>
      </x:c>
      <x:c r="E530" s="28" t="str">
        <x:v>фундук</x:v>
      </x:c>
      <x:c r="F530" s="28" t="str">
        <x:v>Орехи и семена</x:v>
      </x:c>
      <x:c r="G530" s="28" t="str">
        <x:v>нектарин</x:v>
      </x:c>
      <x:c r="H530" s="28" t="str">
        <x:v>Нектарин</x:v>
      </x:c>
      <x:c r="I530" s="28" t="str">
        <x:v>Прочее</x:v>
      </x:c>
      <x:c r="J530" s="28" t="str">
        <x:v>ореховый, жареный, сладкий, землистый и какаоподобный</x:v>
      </x:c>
      <x:c r="K530" s="28" t="str">
        <x:v>профиль зависит от конкретного продукта</x:v>
      </x:c>
      <x:c r="L530" s="28" t="str">
        <x:v>фильбертон, пиразины, фураны, альдегиды</x:v>
      </x:c>
      <x:c r="M530" s="28" t="str">
        <x:v>характерный профиль зависит от конкретного продукта</x:v>
      </x:c>
      <x:c r="N530" s="28" t="str">
        <x:v>прямое пересечение семейств не является единственным объяснением</x:v>
      </x:c>
      <x:c r="O530" s="28" t="str">
        <x:v>надежная общая ключевая молекула не подтверждена</x:v>
      </x:c>
      <x:c r="P530" s="28" t="str">
        <x:v>сенсорная комплементарность</x:v>
      </x:c>
      <x:c r="Q53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30" s="28" t="str">
        <x:v>минимальный</x:v>
      </x:c>
      <x:c r="S530" s="28" t="str">
        <x:v>высокожировая матрица с белком; эффективно переносит аромат в пралине и пастах</x:v>
      </x:c>
      <x:c r="T53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30" s="28" t="str">
        <x:v>Фундук имеет профиль «ореховый, жареный, сладкий, землистый и какаоподобный». Партнёр «нектарин»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30" s="28" t="str">
        <x:v>аллерген и чувствительность к прогорканию; пережаривание даёт дымную горечь</x:v>
      </x:c>
      <x:c r="W530" s="28" t="str">
        <x:v>соль, ваниль или карамель</x:v>
      </x:c>
      <x:c r="X530" s="28" t="str">
        <x:v>пралине, паста, выпечка, гарнир, соус, молочный или коктейльный компонент с нектарин</x:v>
      </x:c>
      <x:c r="Y530" s="28" t="str">
        <x:v>десерты</x:v>
      </x:c>
      <x:c r="Z530" s="28" t="str">
        <x:v>Гипотеза / практическая</x:v>
      </x:c>
      <x:c r="AA530" s="28" t="str">
        <x:v>Таблица сочетания(1).pdf</x:v>
      </x:c>
      <x:c r="AB530" s="28" t="str">
        <x:v>Таблица сочетания(1).pdf: 14</x:v>
      </x:c>
      <x:c r="AC530" s="28" t="str">
        <x:v>Пара встречается как table; научное объяснение сформировано по ароматическому профилю и пищевой матрице.</x:v>
      </x:c>
      <x:c r="AD530" s="28" t="n">
        <x:v>1</x:v>
      </x:c>
      <x:c r="AE530" s="28" t="n">
        <x:v>1</x:v>
      </x:c>
      <x:c r="AF530" s="28" t="n">
        <x:f>IF(Z530="Высокая",3,IF(Z530="Средняя",2,1))+AD530*2+MIN(AE530,3)</x:f>
        <x:v>4</x:v>
      </x:c>
    </x:row>
    <x:row r="531" ht="62" customHeight="1">
      <x:c r="A531" s="28" t="str">
        <x:v>NCT-0530</x:v>
      </x:c>
      <x:c r="B531" s="28" t="str">
        <x:v>фундук</x:v>
      </x:c>
      <x:c r="C531" s="28" t="str">
        <x:v>Универсальные</x:v>
      </x:c>
      <x:c r="D531" s="28" t="str">
        <x:v>фундук</x:v>
      </x:c>
      <x:c r="E531" s="28" t="str">
        <x:v>hazelnut | roasted hazelnut</x:v>
      </x:c>
      <x:c r="F531" s="28" t="str">
        <x:v>Орехи и семена</x:v>
      </x:c>
      <x:c r="G531" s="28" t="str">
        <x:v>обжаренный корень цикория</x:v>
      </x:c>
      <x:c r="H531" s="28" t="str">
        <x:v>roasted chicory root | roasted chicoryroot</x:v>
      </x:c>
      <x:c r="I531" s="28" t="str">
        <x:v>Прочее</x:v>
      </x:c>
      <x:c r="J531" s="28" t="str">
        <x:v>ореховый, жареный, сладкий, землистый и какаоподобный</x:v>
      </x:c>
      <x:c r="K531" s="28" t="str">
        <x:v>профиль зависит от конкретного продукта</x:v>
      </x:c>
      <x:c r="L531" s="28" t="str">
        <x:v>фильбертон, пиразины, фураны, альдегиды</x:v>
      </x:c>
      <x:c r="M531" s="28" t="str">
        <x:v>характерный профиль зависит от конкретного продукта</x:v>
      </x:c>
      <x:c r="N531" s="28" t="str">
        <x:v>прямое пересечение семейств не является единственным объяснением</x:v>
      </x:c>
      <x:c r="O531" s="28" t="str">
        <x:v>надежная общая ключевая молекула не подтверждена</x:v>
      </x:c>
      <x:c r="P531" s="28" t="str">
        <x:v>сенсорная комплементарность</x:v>
      </x:c>
      <x:c r="Q53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31" s="28" t="str">
        <x:v>минимальный</x:v>
      </x:c>
      <x:c r="S531" s="28" t="str">
        <x:v>высокожировая матрица с белком; эффективно переносит аромат в пралине и пастах</x:v>
      </x:c>
      <x:c r="T53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31" s="28" t="str">
        <x:v>Фундук имеет профиль «ореховый, жареный, сладкий, землистый и какаоподобный». Партнёр «обжаренный корень цикория»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31" s="28" t="str">
        <x:v>аллерген и чувствительность к прогорканию; пережаривание даёт дымную горечь</x:v>
      </x:c>
      <x:c r="W531" s="28" t="str">
        <x:v>соль, ваниль или карамель</x:v>
      </x:c>
      <x:c r="X531" s="28" t="str">
        <x:v>пралине, паста, выпечка, гарнир, соус, молочный или коктейльный компонент с обжаренный корень цикория</x:v>
      </x:c>
      <x:c r="Y531" s="28" t="str">
        <x:v>десерты</x:v>
      </x:c>
      <x:c r="Z531" s="28" t="str">
        <x:v>Высокая</x:v>
      </x:c>
      <x:c r="AA531" s="28" t="str">
        <x:v>The Art &amp; Science of Foodpairing.pdf</x:v>
      </x:c>
      <x:c r="AB531" s="28" t="str">
        <x:v>The Art &amp; Science of Foodpairing.pdf: 332</x:v>
      </x:c>
      <x:c r="AC531" s="28" t="str">
        <x:v>Пара встречается как grid, potential; научное объяснение сформировано по ароматическому профилю и пищевой матрице.</x:v>
      </x:c>
      <x:c r="AD531" s="28" t="n">
        <x:v>1</x:v>
      </x:c>
      <x:c r="AE531" s="28" t="n">
        <x:v>2</x:v>
      </x:c>
      <x:c r="AF531" s="28" t="n">
        <x:f>IF(Z531="Высокая",3,IF(Z531="Средняя",2,1))+AD531*2+MIN(AE531,3)</x:f>
        <x:v>7</x:v>
      </x:c>
    </x:row>
    <x:row r="532" ht="62" customHeight="1">
      <x:c r="A532" s="28" t="str">
        <x:v>NCT-0531</x:v>
      </x:c>
      <x:c r="B532" s="28" t="str">
        <x:v>фундук</x:v>
      </x:c>
      <x:c r="C532" s="28" t="str">
        <x:v>Универсальные</x:v>
      </x:c>
      <x:c r="D532" s="28" t="str">
        <x:v>фундук</x:v>
      </x:c>
      <x:c r="E532" s="28" t="str">
        <x:v>hazelnut</x:v>
      </x:c>
      <x:c r="F532" s="28" t="str">
        <x:v>Орехи и семена</x:v>
      </x:c>
      <x:c r="G532" s="28" t="str">
        <x:v>пак-чой</x:v>
      </x:c>
      <x:c r="H532" s="28" t="str">
        <x:v>stir-fried pak choi</x:v>
      </x:c>
      <x:c r="I532" s="28" t="str">
        <x:v>Прочее</x:v>
      </x:c>
      <x:c r="J532" s="28" t="str">
        <x:v>ореховый, жареный, сладкий, землистый и какаоподобный</x:v>
      </x:c>
      <x:c r="K532" s="28" t="str">
        <x:v>профиль зависит от конкретного продукта</x:v>
      </x:c>
      <x:c r="L532" s="28" t="str">
        <x:v>фильбертон, пиразины, фураны, альдегиды</x:v>
      </x:c>
      <x:c r="M532" s="28" t="str">
        <x:v>характерный профиль зависит от конкретного продукта</x:v>
      </x:c>
      <x:c r="N532" s="28" t="str">
        <x:v>прямое пересечение семейств не является единственным объяснением</x:v>
      </x:c>
      <x:c r="O532" s="28" t="str">
        <x:v>надежная общая ключевая молекула не подтверждена</x:v>
      </x:c>
      <x:c r="P532" s="28" t="str">
        <x:v>сенсорная комплементарность</x:v>
      </x:c>
      <x:c r="Q53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32" s="28" t="str">
        <x:v>минимальный</x:v>
      </x:c>
      <x:c r="S532" s="28" t="str">
        <x:v>высокожировая матрица с белком; эффективно переносит аромат в пралине и пастах</x:v>
      </x:c>
      <x:c r="T53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32" s="28" t="str">
        <x:v>Фундук имеет профиль «ореховый, жареный, сладкий, землистый и какаоподобный». Партнёр «пак-чой»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32" s="28" t="str">
        <x:v>аллерген и чувствительность к прогорканию; пережаривание даёт дымную горечь</x:v>
      </x:c>
      <x:c r="W532" s="28" t="str">
        <x:v>соль, ваниль или карамель</x:v>
      </x:c>
      <x:c r="X532" s="28" t="str">
        <x:v>пралине, паста, выпечка, гарнир, соус, молочный или коктейльный компонент с пак-чой</x:v>
      </x:c>
      <x:c r="Y532" s="28" t="str">
        <x:v>десерты</x:v>
      </x:c>
      <x:c r="Z532" s="28" t="str">
        <x:v>Средняя</x:v>
      </x:c>
      <x:c r="AA532" s="28" t="str">
        <x:v>The Art &amp; Science of Foodpairing.pdf</x:v>
      </x:c>
      <x:c r="AB532" s="28" t="str">
        <x:v>The Art &amp; Science of Foodpairing.pdf: 332</x:v>
      </x:c>
      <x:c r="AC532" s="28" t="str">
        <x:v>Пара встречается как grid; научное объяснение сформировано по ароматическому профилю и пищевой матрице.</x:v>
      </x:c>
      <x:c r="AD532" s="28" t="n">
        <x:v>1</x:v>
      </x:c>
      <x:c r="AE532" s="28" t="n">
        <x:v>1</x:v>
      </x:c>
      <x:c r="AF532" s="28" t="n">
        <x:f>IF(Z532="Высокая",3,IF(Z532="Средняя",2,1))+AD532*2+MIN(AE532,3)</x:f>
        <x:v>5</x:v>
      </x:c>
    </x:row>
    <x:row r="533" ht="62" customHeight="1">
      <x:c r="A533" s="28" t="str">
        <x:v>NCT-0532</x:v>
      </x:c>
      <x:c r="B533" s="28" t="str">
        <x:v>фундук</x:v>
      </x:c>
      <x:c r="C533" s="28" t="str">
        <x:v>Универсальные</x:v>
      </x:c>
      <x:c r="D533" s="28" t="str">
        <x:v>фундук</x:v>
      </x:c>
      <x:c r="E533" s="28" t="str">
        <x:v>hazelnut</x:v>
      </x:c>
      <x:c r="F533" s="28" t="str">
        <x:v>Орехи и семена</x:v>
      </x:c>
      <x:c r="G533" s="28" t="str">
        <x:v>паприка</x:v>
      </x:c>
      <x:c r="H533" s="28" t="str">
        <x:v>paprika powder</x:v>
      </x:c>
      <x:c r="I533" s="28" t="str">
        <x:v>Прочее</x:v>
      </x:c>
      <x:c r="J533" s="28" t="str">
        <x:v>ореховый, жареный, сладкий, землистый и какаоподобный</x:v>
      </x:c>
      <x:c r="K533" s="28" t="str">
        <x:v>профиль зависит от конкретного продукта</x:v>
      </x:c>
      <x:c r="L533" s="28" t="str">
        <x:v>фильбертон, пиразины, фураны, альдегиды</x:v>
      </x:c>
      <x:c r="M533" s="28" t="str">
        <x:v>характерный профиль зависит от конкретного продукта</x:v>
      </x:c>
      <x:c r="N533" s="28" t="str">
        <x:v>прямое пересечение семейств не является единственным объяснением</x:v>
      </x:c>
      <x:c r="O533" s="28" t="str">
        <x:v>надежная общая ключевая молекула не подтверждена</x:v>
      </x:c>
      <x:c r="P533" s="28" t="str">
        <x:v>сенсорная комплементарность</x:v>
      </x:c>
      <x:c r="Q53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33" s="28" t="str">
        <x:v>минимальный</x:v>
      </x:c>
      <x:c r="S533" s="28" t="str">
        <x:v>высокожировая матрица с белком; эффективно переносит аромат в пралине и пастах</x:v>
      </x:c>
      <x:c r="T53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33" s="28" t="str">
        <x:v>Фундук имеет профиль «ореховый, жареный, сладкий, землистый и какаоподобный». Партнёр «паприка»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33" s="28" t="str">
        <x:v>аллерген и чувствительность к прогорканию; пережаривание даёт дымную горечь</x:v>
      </x:c>
      <x:c r="W533" s="28" t="str">
        <x:v>соль, ваниль или карамель</x:v>
      </x:c>
      <x:c r="X533" s="28" t="str">
        <x:v>пралине, паста, выпечка, гарнир, соус, молочный или коктейльный компонент с паприка</x:v>
      </x:c>
      <x:c r="Y533" s="28" t="str">
        <x:v>десерты</x:v>
      </x:c>
      <x:c r="Z533" s="28" t="str">
        <x:v>Средняя</x:v>
      </x:c>
      <x:c r="AA533" s="28" t="str">
        <x:v>The Art &amp; Science of Foodpairing.pdf</x:v>
      </x:c>
      <x:c r="AB533" s="28" t="str">
        <x:v>The Art &amp; Science of Foodpairing.pdf: 332</x:v>
      </x:c>
      <x:c r="AC533" s="28" t="str">
        <x:v>Пара встречается как grid; научное объяснение сформировано по ароматическому профилю и пищевой матрице.</x:v>
      </x:c>
      <x:c r="AD533" s="28" t="n">
        <x:v>1</x:v>
      </x:c>
      <x:c r="AE533" s="28" t="n">
        <x:v>1</x:v>
      </x:c>
      <x:c r="AF533" s="28" t="n">
        <x:f>IF(Z533="Высокая",3,IF(Z533="Средняя",2,1))+AD533*2+MIN(AE533,3)</x:f>
        <x:v>5</x:v>
      </x:c>
    </x:row>
    <x:row r="534" ht="62" customHeight="1">
      <x:c r="A534" s="28" t="str">
        <x:v>NCT-0533</x:v>
      </x:c>
      <x:c r="B534" s="28" t="str">
        <x:v>фундук</x:v>
      </x:c>
      <x:c r="C534" s="28" t="str">
        <x:v>Десерты и выпечка</x:v>
      </x:c>
      <x:c r="D534" s="28" t="str">
        <x:v>фундук</x:v>
      </x:c>
      <x:c r="E534" s="28" t="str">
        <x:v>фундук</x:v>
      </x:c>
      <x:c r="F534" s="28" t="str">
        <x:v>Орехи и семена</x:v>
      </x:c>
      <x:c r="G534" s="28" t="str">
        <x:v>персик</x:v>
      </x:c>
      <x:c r="H534" s="28" t="str">
        <x:v>Персик</x:v>
      </x:c>
      <x:c r="I534" s="28" t="str">
        <x:v>Фрукты и ягоды</x:v>
      </x:c>
      <x:c r="J534" s="28" t="str">
        <x:v>ореховый, жареный, сладкий, землистый и какаоподобный</x:v>
      </x:c>
      <x:c r="K534" s="28" t="str">
        <x:v>лактонный, фруктовый, цветочный</x:v>
      </x:c>
      <x:c r="L534" s="28" t="str">
        <x:v>фильбертон, пиразины, фураны, альдегиды</x:v>
      </x:c>
      <x:c r="M534" s="28" t="str">
        <x:v>лактоны, линалоол</x:v>
      </x:c>
      <x:c r="N534" s="28" t="str">
        <x:v>прямое пересечение семейств не является единственным объяснением</x:v>
      </x:c>
      <x:c r="O534" s="28" t="str">
        <x:v>надежная общая ключевая молекула не подтверждена</x:v>
      </x:c>
      <x:c r="P534" s="28" t="str">
        <x:v>контраст кислоты и жирной/горькой матрицы</x:v>
      </x:c>
      <x:c r="Q53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34" s="28" t="str">
        <x:v>минимальный</x:v>
      </x:c>
      <x:c r="S534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53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34" s="28" t="str">
        <x:v>Фундук имеет профиль «ореховый, жареный, сладкий, землистый и какаоподобный». Партнёр «персик» относится к группе «Фрукты и ягоды» и даёт лактонный, фруктовый, цветочный.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34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534" s="28" t="str">
        <x:v>ваниль, цитрус или молочный жир</x:v>
      </x:c>
      <x:c r="X534" s="28" t="str">
        <x:v>пралине, паста, выпечка, гарнир, соус, молочный или коктейльный компонент с персик</x:v>
      </x:c>
      <x:c r="Y534" s="28" t="str">
        <x:v>десерты</x:v>
      </x:c>
      <x:c r="Z534" s="28" t="str">
        <x:v>Гипотеза / практическая</x:v>
      </x:c>
      <x:c r="AA534" s="28" t="str">
        <x:v>Таблица сочетания(1).pdf</x:v>
      </x:c>
      <x:c r="AB534" s="28" t="str">
        <x:v>Таблица сочетания(1).pdf: 15</x:v>
      </x:c>
      <x:c r="AC534" s="28" t="str">
        <x:v>Пара встречается как table; научное объяснение сформировано по ароматическому профилю и пищевой матрице.</x:v>
      </x:c>
      <x:c r="AD534" s="28" t="n">
        <x:v>1</x:v>
      </x:c>
      <x:c r="AE534" s="28" t="n">
        <x:v>1</x:v>
      </x:c>
      <x:c r="AF534" s="28" t="n">
        <x:f>IF(Z534="Высокая",3,IF(Z534="Средняя",2,1))+AD534*2+MIN(AE534,3)</x:f>
        <x:v>4</x:v>
      </x:c>
    </x:row>
    <x:row r="535" ht="62" customHeight="1">
      <x:c r="A535" s="28" t="str">
        <x:v>NCT-0534</x:v>
      </x:c>
      <x:c r="B535" s="28" t="str">
        <x:v>фундук</x:v>
      </x:c>
      <x:c r="C535" s="28" t="str">
        <x:v>Универсальные</x:v>
      </x:c>
      <x:c r="D535" s="28" t="str">
        <x:v>фундук</x:v>
      </x:c>
      <x:c r="E535" s="28" t="str">
        <x:v>Фундук | фундук</x:v>
      </x:c>
      <x:c r="F535" s="28" t="str">
        <x:v>Орехи и семена</x:v>
      </x:c>
      <x:c r="G535" s="28" t="str">
        <x:v>розмарин</x:v>
      </x:c>
      <x:c r="H535" s="28" t="str">
        <x:v>Розмарин | розмарин</x:v>
      </x:c>
      <x:c r="I535" s="28" t="str">
        <x:v>Травы, цветы и листья</x:v>
      </x:c>
      <x:c r="J535" s="28" t="str">
        <x:v>ореховый, жареный, сладкий, землистый и какаоподобный</x:v>
      </x:c>
      <x:c r="K535" s="28" t="str">
        <x:v>зелёный, цветочный и терпеновый</x:v>
      </x:c>
      <x:c r="L535" s="28" t="str">
        <x:v>фильбертон, пиразины, фураны, альдегиды</x:v>
      </x:c>
      <x:c r="M535" s="28" t="str">
        <x:v>линалоол, терпены</x:v>
      </x:c>
      <x:c r="N535" s="28" t="str">
        <x:v>прямое пересечение семейств не является единственным объяснением</x:v>
      </x:c>
      <x:c r="O535" s="28" t="str">
        <x:v>надежная общая ключевая молекула не подтверждена</x:v>
      </x:c>
      <x:c r="P535" s="28" t="str">
        <x:v>сенсорная комплементарность</x:v>
      </x:c>
      <x:c r="Q53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35" s="28" t="str">
        <x:v>минимальный</x:v>
      </x:c>
      <x:c r="S535" s="28" t="str">
        <x:v>высокожировая матрица с белком; эффективно переносит аромат в пралине и пастах</x:v>
      </x:c>
      <x:c r="T53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35" s="28" t="str">
        <x:v>Фундук имеет профиль «ореховый, жареный, сладкий, землистый и какаоподобный». Партнёр «розмарин»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35" s="28" t="str">
        <x:v>аллерген и чувствительность к прогорканию; пережаривание даёт дымную горечь</x:v>
      </x:c>
      <x:c r="W535" s="28" t="str">
        <x:v>цитрус, мёд или сливки</x:v>
      </x:c>
      <x:c r="X535" s="28" t="str">
        <x:v>пралине, паста, выпечка, гарнир, соус, молочный или коктейльный компонент с розмарин</x:v>
      </x:c>
      <x:c r="Y535" s="28" t="str">
        <x:v>десерты</x:v>
      </x:c>
      <x:c r="Z535" s="28" t="str">
        <x:v>Средняя</x:v>
      </x:c>
      <x:c r="AA535" s="28" t="str">
        <x:v>Тезариус вкусов (Ники Сегнит)(1).pdf</x:v>
      </x:c>
      <x:c r="AB535" s="28" t="str">
        <x:v>Тезариус вкусов (Ники Сегнит)(1).pdf: 637, 840</x:v>
      </x:c>
      <x:c r="AC535" s="28" t="str">
        <x:v>Пара встречается как thesaurus; научное объяснение сформировано по ароматическому профилю и пищевой матрице.</x:v>
      </x:c>
      <x:c r="AD535" s="28" t="n">
        <x:v>1</x:v>
      </x:c>
      <x:c r="AE535" s="28" t="n">
        <x:v>2</x:v>
      </x:c>
      <x:c r="AF535" s="28" t="n">
        <x:f>IF(Z535="Высокая",3,IF(Z535="Средняя",2,1))+AD535*2+MIN(AE535,3)</x:f>
        <x:v>6</x:v>
      </x:c>
    </x:row>
    <x:row r="536" ht="62" customHeight="1">
      <x:c r="A536" s="28" t="str">
        <x:v>NCT-0535</x:v>
      </x:c>
      <x:c r="B536" s="28" t="str">
        <x:v>фундук</x:v>
      </x:c>
      <x:c r="C536" s="28" t="str">
        <x:v>Еда и соусы</x:v>
      </x:c>
      <x:c r="D536" s="28" t="str">
        <x:v>фундук</x:v>
      </x:c>
      <x:c r="E536" s="28" t="str">
        <x:v>hazelnut</x:v>
      </x:c>
      <x:c r="F536" s="28" t="str">
        <x:v>Орехи и семена</x:v>
      </x:c>
      <x:c r="G536" s="28" t="str">
        <x:v>свёкла</x:v>
      </x:c>
      <x:c r="H536" s="28" t="str">
        <x:v>pan-fried beetroot</x:v>
      </x:c>
      <x:c r="I536" s="28" t="str">
        <x:v>Овощи, бобовые и грибы</x:v>
      </x:c>
      <x:c r="J536" s="28" t="str">
        <x:v>ореховый, жареный, сладкий, землистый и какаоподобный</x:v>
      </x:c>
      <x:c r="K536" s="28" t="str">
        <x:v>землистый, сладкий</x:v>
      </x:c>
      <x:c r="L536" s="28" t="str">
        <x:v>фильбертон, пиразины, фураны, альдегиды</x:v>
      </x:c>
      <x:c r="M536" s="28" t="str">
        <x:v>геосмин</x:v>
      </x:c>
      <x:c r="N536" s="28" t="str">
        <x:v>прямое пересечение семейств не является единственным объяснением</x:v>
      </x:c>
      <x:c r="O536" s="28" t="str">
        <x:v>надежная общая ключевая молекула не подтверждена</x:v>
      </x:c>
      <x:c r="P536" s="28" t="str">
        <x:v>сенсорная комплементарность</x:v>
      </x:c>
      <x:c r="Q53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36" s="28" t="str">
        <x:v>минимальный</x:v>
      </x:c>
      <x:c r="S536" s="28" t="str">
        <x:v>высокожировая матрица с белком; эффективно переносит аромат в пралине и пастах</x:v>
      </x:c>
      <x:c r="T53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36" s="28" t="str">
        <x:v>Фундук имеет профиль «ореховый, жареный, сладкий, землистый и какаоподобный». Партнёр «свёкла» относится к группе «Овощи, бобовые и грибы» и даёт землистый, сладкий.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36" s="28" t="str">
        <x:v>аллерген и чувствительность к прогорканию; пережаривание даёт дымную горечь</x:v>
      </x:c>
      <x:c r="W536" s="28" t="str">
        <x:v>соль, ваниль или карамель</x:v>
      </x:c>
      <x:c r="X536" s="28" t="str">
        <x:v>пралине, паста, выпечка, гарнир, соус, молочный или коктейльный компонент с свёкла</x:v>
      </x:c>
      <x:c r="Y536" s="28" t="str">
        <x:v>еда, десерты, соусы/маринады</x:v>
      </x:c>
      <x:c r="Z536" s="28" t="str">
        <x:v>Средняя</x:v>
      </x:c>
      <x:c r="AA536" s="28" t="str">
        <x:v>The Art &amp; Science of Foodpairing.pdf</x:v>
      </x:c>
      <x:c r="AB536" s="28" t="str">
        <x:v>The Art &amp; Science of Foodpairing.pdf: 332</x:v>
      </x:c>
      <x:c r="AC536" s="28" t="str">
        <x:v>Пара встречается как grid; научное объяснение сформировано по ароматическому профилю и пищевой матрице.</x:v>
      </x:c>
      <x:c r="AD536" s="28" t="n">
        <x:v>1</x:v>
      </x:c>
      <x:c r="AE536" s="28" t="n">
        <x:v>1</x:v>
      </x:c>
      <x:c r="AF536" s="28" t="n">
        <x:f>IF(Z536="Высокая",3,IF(Z536="Средняя",2,1))+AD536*2+MIN(AE536,3)</x:f>
        <x:v>5</x:v>
      </x:c>
    </x:row>
    <x:row r="537" ht="62" customHeight="1">
      <x:c r="A537" s="28" t="str">
        <x:v>NCT-0536</x:v>
      </x:c>
      <x:c r="B537" s="28" t="str">
        <x:v>фундук</x:v>
      </x:c>
      <x:c r="C537" s="28" t="str">
        <x:v>Десерты и выпечка</x:v>
      </x:c>
      <x:c r="D537" s="28" t="str">
        <x:v>фундук</x:v>
      </x:c>
      <x:c r="E537" s="28" t="str">
        <x:v>фундук</x:v>
      </x:c>
      <x:c r="F537" s="28" t="str">
        <x:v>Орехи и семена</x:v>
      </x:c>
      <x:c r="G537" s="28" t="str">
        <x:v>слива</x:v>
      </x:c>
      <x:c r="H537" s="28" t="str">
        <x:v>Слива</x:v>
      </x:c>
      <x:c r="I537" s="28" t="str">
        <x:v>Фрукты и ягоды</x:v>
      </x:c>
      <x:c r="J537" s="28" t="str">
        <x:v>ореховый, жареный, сладкий, землистый и какаоподобный</x:v>
      </x:c>
      <x:c r="K537" s="28" t="str">
        <x:v>фруктовый, цветочный и свежий</x:v>
      </x:c>
      <x:c r="L537" s="28" t="str">
        <x:v>фильбертон, пиразины, фураны, альдегиды</x:v>
      </x:c>
      <x:c r="M537" s="28" t="str">
        <x:v>альдегиды, эфиры</x:v>
      </x:c>
      <x:c r="N537" s="28" t="str">
        <x:v>прямое пересечение семейств не является единственным объяснением</x:v>
      </x:c>
      <x:c r="O537" s="28" t="str">
        <x:v>альдегиды</x:v>
      </x:c>
      <x:c r="P537" s="28" t="str">
        <x:v>общие ароматические соединения, контраст кислоты и жирной/горькой матрицы</x:v>
      </x:c>
      <x:c r="Q53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37" s="28" t="str">
        <x:v>минимальный</x:v>
      </x:c>
      <x:c r="S537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53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37" s="28" t="str">
        <x:v>Фундук имеет профиль «ореховый, жареный, сладкий, землистый и какаоподобный». Партнёр «слива»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537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537" s="28" t="str">
        <x:v>ваниль, цитрус или молочный жир</x:v>
      </x:c>
      <x:c r="X537" s="28" t="str">
        <x:v>пралине, паста, выпечка, гарнир, соус, молочный или коктейльный компонент с слива</x:v>
      </x:c>
      <x:c r="Y537" s="28" t="str">
        <x:v>десерты</x:v>
      </x:c>
      <x:c r="Z537" s="28" t="str">
        <x:v>Гипотеза / практическая</x:v>
      </x:c>
      <x:c r="AA537" s="28" t="str">
        <x:v>Таблица сочетания(1).pdf</x:v>
      </x:c>
      <x:c r="AB537" s="28" t="str">
        <x:v>Таблица сочетания(1).pdf: 17</x:v>
      </x:c>
      <x:c r="AC537" s="28" t="str">
        <x:v>Пара встречается как table; научное объяснение сформировано по ароматическому профилю и пищевой матрице.</x:v>
      </x:c>
      <x:c r="AD537" s="28" t="n">
        <x:v>1</x:v>
      </x:c>
      <x:c r="AE537" s="28" t="n">
        <x:v>1</x:v>
      </x:c>
      <x:c r="AF537" s="28" t="n">
        <x:f>IF(Z537="Высокая",3,IF(Z537="Средняя",2,1))+AD537*2+MIN(AE537,3)</x:f>
        <x:v>4</x:v>
      </x:c>
    </x:row>
    <x:row r="538" ht="62" customHeight="1">
      <x:c r="A538" s="28" t="str">
        <x:v>NCT-0537</x:v>
      </x:c>
      <x:c r="B538" s="28" t="str">
        <x:v>фундук</x:v>
      </x:c>
      <x:c r="C538" s="28" t="str">
        <x:v>Универсальные</x:v>
      </x:c>
      <x:c r="D538" s="28" t="str">
        <x:v>фундук</x:v>
      </x:c>
      <x:c r="E538" s="28" t="str">
        <x:v>hazelnut</x:v>
      </x:c>
      <x:c r="F538" s="28" t="str">
        <x:v>Орехи и семена</x:v>
      </x:c>
      <x:c r="G538" s="28" t="str">
        <x:v>сыр</x:v>
      </x:c>
      <x:c r="H538" s="28" t="str">
        <x:v>cheese</x:v>
      </x:c>
      <x:c r="I538" s="28" t="str">
        <x:v>Молочные продукты и сыры</x:v>
      </x:c>
      <x:c r="J538" s="28" t="str">
        <x:v>ореховый, жареный, сладкий, землистый и какаоподобный</x:v>
      </x:c>
      <x:c r="K538" s="28" t="str">
        <x:v>молочный, умами, ферментированный</x:v>
      </x:c>
      <x:c r="L538" s="28" t="str">
        <x:v>фильбертон, пиразины, фураны, альдегиды</x:v>
      </x:c>
      <x:c r="M538" s="28" t="str">
        <x:v>диацетил, жирные кислоты</x:v>
      </x:c>
      <x:c r="N538" s="28" t="str">
        <x:v>прямое пересечение семейств не является единственным объяснением</x:v>
      </x:c>
      <x:c r="O538" s="28" t="str">
        <x:v>надежная общая ключевая молекула не подтверждена</x:v>
      </x:c>
      <x:c r="P538" s="28" t="str">
        <x:v>жировая экстракция и связывание полифенолов белком</x:v>
      </x:c>
      <x:c r="Q53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38" s="28" t="str">
        <x:v>минимальный</x:v>
      </x:c>
      <x:c r="S538" s="28" t="str">
        <x:v>высокожировая матрица с белком; эффективно переносит аромат в пралине и пастах Совпадающие жирные фазы облегчают перенос аромата, но могут сделать продукт тяжёлым.</x:v>
      </x:c>
      <x:c r="T53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38" s="28" t="str">
        <x:v>Фундук имеет профиль «ореховый, жареный, сладкий, землистый и какаоподобный». Партнёр «сыр»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38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W538" s="28" t="str">
        <x:v>мёд, карамель или фруктовая кислота</x:v>
      </x:c>
      <x:c r="X538" s="28" t="str">
        <x:v>пралине, паста, выпечка, гарнир, соус, молочный или коктейльный компонент с сыр</x:v>
      </x:c>
      <x:c r="Y538" s="28" t="str">
        <x:v>десерты</x:v>
      </x:c>
      <x:c r="Z538" s="28" t="str">
        <x:v>Высокая</x:v>
      </x:c>
      <x:c r="AA538" s="28" t="str">
        <x:v>The Art &amp; Science of Foodpairing.pdf</x:v>
      </x:c>
      <x:c r="AB538" s="28" t="str">
        <x:v>The Art &amp; Science of Foodpairing.pdf: 333</x:v>
      </x:c>
      <x:c r="AC538" s="28" t="str">
        <x:v>Пара встречается как potential; научное объяснение сформировано по ароматическому профилю и пищевой матрице.</x:v>
      </x:c>
      <x:c r="AD538" s="28" t="n">
        <x:v>1</x:v>
      </x:c>
      <x:c r="AE538" s="28" t="n">
        <x:v>1</x:v>
      </x:c>
      <x:c r="AF538" s="28" t="n">
        <x:f>IF(Z538="Высокая",3,IF(Z538="Средняя",2,1))+AD538*2+MIN(AE538,3)</x:f>
        <x:v>6</x:v>
      </x:c>
    </x:row>
    <x:row r="539" ht="62" customHeight="1">
      <x:c r="A539" s="28" t="str">
        <x:v>NCT-0538</x:v>
      </x:c>
      <x:c r="B539" s="28" t="str">
        <x:v>фундук</x:v>
      </x:c>
      <x:c r="C539" s="28" t="str">
        <x:v>Напитки</x:v>
      </x:c>
      <x:c r="D539" s="28" t="str">
        <x:v>фундук</x:v>
      </x:c>
      <x:c r="E539" s="28" t="str">
        <x:v>hazelnut</x:v>
      </x:c>
      <x:c r="F539" s="28" t="str">
        <x:v>Орехи и семена</x:v>
      </x:c>
      <x:c r="G539" s="28" t="str">
        <x:v>торфяной виски</x:v>
      </x:c>
      <x:c r="H539" s="28" t="str">
        <x:v>peated whisky</x:v>
      </x:c>
      <x:c r="I539" s="28" t="str">
        <x:v>Алкогольные напитки</x:v>
      </x:c>
      <x:c r="J539" s="28" t="str">
        <x:v>ореховый, жареный, сладкий, землистый и какаоподобный</x:v>
      </x:c>
      <x:c r="K539" s="28" t="str">
        <x:v>спиртовой, фруктовый или древесный</x:v>
      </x:c>
      <x:c r="L539" s="28" t="str">
        <x:v>фильбертон, пиразины, фураны, альдегиды</x:v>
      </x:c>
      <x:c r="M539" s="28" t="str">
        <x:v>альдегиды, эфиры</x:v>
      </x:c>
      <x:c r="N539" s="28" t="str">
        <x:v>прямое пересечение семейств не является единственным объяснением</x:v>
      </x:c>
      <x:c r="O539" s="28" t="str">
        <x:v>альдегиды</x:v>
      </x:c>
      <x:c r="P539" s="28" t="str">
        <x:v>общие ароматические соединения</x:v>
      </x:c>
      <x:c r="Q53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39" s="28" t="str">
        <x:v>минимальный</x:v>
      </x:c>
      <x:c r="S539" s="28" t="str">
        <x:v>высокожировая матрица с белком; эффективно переносит аромат в пралине и пастах Этанол эффективно извлекает терпены, фенолы и жареные молекулы; время контакта нужно ограничивать.</x:v>
      </x:c>
      <x:c r="T53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39" s="28" t="str">
        <x:v>Фундук имеет профиль «ореховый, жареный, сладкий, землистый и какаоподобный». Партнёр «торфяной виски» относится к группе «Алкогольные напитки» и даёт спиртовой, фруктовый или древесный.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539" s="28" t="str">
        <x:v>аллерген и чувствительность к прогорканию; пережаривание даёт дымную горечь</x:v>
      </x:c>
      <x:c r="W539" s="28" t="str">
        <x:v>соль, ваниль или карамель</x:v>
      </x:c>
      <x:c r="X539" s="28" t="str">
        <x:v>пралине, паста, выпечка, гарнир, соус, молочный или коктейльный компонент с торфяной виски</x:v>
      </x:c>
      <x:c r="Y539" s="28" t="str">
        <x:v>напитки, десерты</x:v>
      </x:c>
      <x:c r="Z539" s="28" t="str">
        <x:v>Средняя</x:v>
      </x:c>
      <x:c r="AA539" s="28" t="str">
        <x:v>The Art &amp; Science of Foodpairing.pdf</x:v>
      </x:c>
      <x:c r="AB539" s="28" t="str">
        <x:v>The Art &amp; Science of Foodpairing.pdf: 332</x:v>
      </x:c>
      <x:c r="AC539" s="28" t="str">
        <x:v>Пара встречается как grid; научное объяснение сформировано по ароматическому профилю и пищевой матрице.</x:v>
      </x:c>
      <x:c r="AD539" s="28" t="n">
        <x:v>1</x:v>
      </x:c>
      <x:c r="AE539" s="28" t="n">
        <x:v>1</x:v>
      </x:c>
      <x:c r="AF539" s="28" t="n">
        <x:f>IF(Z539="Высокая",3,IF(Z539="Средняя",2,1))+AD539*2+MIN(AE539,3)</x:f>
        <x:v>5</x:v>
      </x:c>
    </x:row>
    <x:row r="540" ht="62" customHeight="1">
      <x:c r="A540" s="28" t="str">
        <x:v>NCT-0539</x:v>
      </x:c>
      <x:c r="B540" s="28" t="str">
        <x:v>фундук</x:v>
      </x:c>
      <x:c r="C540" s="28" t="str">
        <x:v>Еда и соусы</x:v>
      </x:c>
      <x:c r="D540" s="28" t="str">
        <x:v>фундук</x:v>
      </x:c>
      <x:c r="E540" s="28" t="str">
        <x:v>hazelnut</x:v>
      </x:c>
      <x:c r="F540" s="28" t="str">
        <x:v>Орехи и семена</x:v>
      </x:c>
      <x:c r="G540" s="28" t="str">
        <x:v>тёмный соевый соус</x:v>
      </x:c>
      <x:c r="H540" s="28" t="str">
        <x:v>dark soy sauce</x:v>
      </x:c>
      <x:c r="I540" s="28" t="str">
        <x:v>Ферментированные продукты и соусы</x:v>
      </x:c>
      <x:c r="J540" s="28" t="str">
        <x:v>ореховый, жареный, сладкий, землистый и какаоподобный</x:v>
      </x:c>
      <x:c r="K540" s="28" t="str">
        <x:v>жареный, умами, ферментированный</x:v>
      </x:c>
      <x:c r="L540" s="28" t="str">
        <x:v>фильбертон, пиразины, фураны, альдегиды</x:v>
      </x:c>
      <x:c r="M540" s="28" t="str">
        <x:v>пиразины, фураны, эфиры</x:v>
      </x:c>
      <x:c r="N540" s="28" t="str">
        <x:v>жареный</x:v>
      </x:c>
      <x:c r="O540" s="28" t="str">
        <x:v>пиразины, фураны</x:v>
      </x:c>
      <x:c r="P540" s="28" t="str">
        <x:v>общие ароматические соединения, пересечение ароматических семейств, солёно-умами контраст</x:v>
      </x:c>
      <x:c r="Q54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40" s="28" t="str">
        <x:v>минимальный</x:v>
      </x:c>
      <x:c r="S540" s="28" t="str">
        <x:v>высокожировая матрица с белком; эффективно переносит аромат в пралине и пастах</x:v>
      </x:c>
      <x:c r="T54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40" s="28" t="str">
        <x:v>Фундук имеет профиль «ореховый, жареный, сладкий, землистый и какаоподобный». Партнёр «тёмный 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V540" s="28" t="str">
        <x:v>аллерген и чувствительность к прогорканию; пережаривание даёт дымную горечь</x:v>
      </x:c>
      <x:c r="W540" s="28" t="str">
        <x:v>карамелизированный лук, грибы или сливочное масло</x:v>
      </x:c>
      <x:c r="X540" s="28" t="str">
        <x:v>пралине, паста, выпечка, гарнир, соус, молочный или коктейльный компонент с тёмный соевый соус</x:v>
      </x:c>
      <x:c r="Y540" s="28" t="str">
        <x:v>еда, десерты, соусы/маринады</x:v>
      </x:c>
      <x:c r="Z540" s="28" t="str">
        <x:v>Средняя</x:v>
      </x:c>
      <x:c r="AA540" s="28" t="str">
        <x:v>The Art &amp; Science of Foodpairing.pdf</x:v>
      </x:c>
      <x:c r="AB540" s="28" t="str">
        <x:v>The Art &amp; Science of Foodpairing.pdf: 332</x:v>
      </x:c>
      <x:c r="AC540" s="28" t="str">
        <x:v>Пара встречается как grid; научное объяснение сформировано по ароматическому профилю и пищевой матрице.</x:v>
      </x:c>
      <x:c r="AD540" s="28" t="n">
        <x:v>1</x:v>
      </x:c>
      <x:c r="AE540" s="28" t="n">
        <x:v>1</x:v>
      </x:c>
      <x:c r="AF540" s="28" t="n">
        <x:f>IF(Z540="Высокая",3,IF(Z540="Средняя",2,1))+AD540*2+MIN(AE540,3)</x:f>
        <x:v>5</x:v>
      </x:c>
    </x:row>
    <x:row r="541" ht="62" customHeight="1">
      <x:c r="A541" s="28" t="str">
        <x:v>NCT-0540</x:v>
      </x:c>
      <x:c r="B541" s="28" t="str">
        <x:v>фундук</x:v>
      </x:c>
      <x:c r="C541" s="28" t="str">
        <x:v>Универсальные</x:v>
      </x:c>
      <x:c r="D541" s="28" t="str">
        <x:v>фундук</x:v>
      </x:c>
      <x:c r="E541" s="28" t="str">
        <x:v>фундук</x:v>
      </x:c>
      <x:c r="F541" s="28" t="str">
        <x:v>Орехи и семена</x:v>
      </x:c>
      <x:c r="G541" s="28" t="str">
        <x:v>финик</x:v>
      </x:c>
      <x:c r="H541" s="28" t="str">
        <x:v>Финик</x:v>
      </x:c>
      <x:c r="I541" s="28" t="str">
        <x:v>Прочее</x:v>
      </x:c>
      <x:c r="J541" s="28" t="str">
        <x:v>ореховый, жареный, сладкий, землистый и какаоподобный</x:v>
      </x:c>
      <x:c r="K541" s="28" t="str">
        <x:v>профиль зависит от конкретного продукта</x:v>
      </x:c>
      <x:c r="L541" s="28" t="str">
        <x:v>фильбертон, пиразины, фураны, альдегиды</x:v>
      </x:c>
      <x:c r="M541" s="28" t="str">
        <x:v>характерный профиль зависит от конкретного продукта</x:v>
      </x:c>
      <x:c r="N541" s="28" t="str">
        <x:v>прямое пересечение семейств не является единственным объяснением</x:v>
      </x:c>
      <x:c r="O541" s="28" t="str">
        <x:v>надежная общая ключевая молекула не подтверждена</x:v>
      </x:c>
      <x:c r="P541" s="28" t="str">
        <x:v>сенсорная комплементарность</x:v>
      </x:c>
      <x:c r="Q54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41" s="28" t="str">
        <x:v>минимальный</x:v>
      </x:c>
      <x:c r="S541" s="28" t="str">
        <x:v>высокожировая матрица с белком; эффективно переносит аромат в пралине и пастах</x:v>
      </x:c>
      <x:c r="T54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41" s="28" t="str">
        <x:v>Фундук имеет профиль «ореховый, жареный, сладкий, землистый и какаоподобный». Партнёр «финик»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41" s="28" t="str">
        <x:v>аллерген и чувствительность к прогорканию; пережаривание даёт дымную горечь</x:v>
      </x:c>
      <x:c r="W541" s="28" t="str">
        <x:v>соль, ваниль или карамель</x:v>
      </x:c>
      <x:c r="X541" s="28" t="str">
        <x:v>пралине, паста, выпечка, гарнир, соус, молочный или коктейльный компонент с финик</x:v>
      </x:c>
      <x:c r="Y541" s="28" t="str">
        <x:v>десерты</x:v>
      </x:c>
      <x:c r="Z541" s="28" t="str">
        <x:v>Гипотеза / практическая</x:v>
      </x:c>
      <x:c r="AA541" s="28" t="str">
        <x:v>Таблица сочетания(1).pdf</x:v>
      </x:c>
      <x:c r="AB541" s="28" t="str">
        <x:v>Таблица сочетания(1).pdf: 7</x:v>
      </x:c>
      <x:c r="AC541" s="28" t="str">
        <x:v>Пара встречается как table; научное объяснение сформировано по ароматическому профилю и пищевой матрице.</x:v>
      </x:c>
      <x:c r="AD541" s="28" t="n">
        <x:v>1</x:v>
      </x:c>
      <x:c r="AE541" s="28" t="n">
        <x:v>1</x:v>
      </x:c>
      <x:c r="AF541" s="28" t="n">
        <x:f>IF(Z541="Высокая",3,IF(Z541="Средняя",2,1))+AD541*2+MIN(AE541,3)</x:f>
        <x:v>4</x:v>
      </x:c>
    </x:row>
    <x:row r="542" ht="62" customHeight="1">
      <x:c r="A542" s="28" t="str">
        <x:v>NCT-0541</x:v>
      </x:c>
      <x:c r="B542" s="28" t="str">
        <x:v>фундук</x:v>
      </x:c>
      <x:c r="C542" s="28" t="str">
        <x:v>Универсальные</x:v>
      </x:c>
      <x:c r="D542" s="28" t="str">
        <x:v>фундук</x:v>
      </x:c>
      <x:c r="E542" s="28" t="str">
        <x:v>hazelnut</x:v>
      </x:c>
      <x:c r="F542" s="28" t="str">
        <x:v>Орехи и семена</x:v>
      </x:c>
      <x:c r="G542" s="28" t="str">
        <x:v>цесарка</x:v>
      </x:c>
      <x:c r="H542" s="28" t="str">
        <x:v>pan-fried guinea fowl</x:v>
      </x:c>
      <x:c r="I542" s="28" t="str">
        <x:v>Прочее</x:v>
      </x:c>
      <x:c r="J542" s="28" t="str">
        <x:v>ореховый, жареный, сладкий, землистый и какаоподобный</x:v>
      </x:c>
      <x:c r="K542" s="28" t="str">
        <x:v>профиль зависит от конкретного продукта</x:v>
      </x:c>
      <x:c r="L542" s="28" t="str">
        <x:v>фильбертон, пиразины, фураны, альдегиды</x:v>
      </x:c>
      <x:c r="M542" s="28" t="str">
        <x:v>характерный профиль зависит от конкретного продукта</x:v>
      </x:c>
      <x:c r="N542" s="28" t="str">
        <x:v>прямое пересечение семейств не является единственным объяснением</x:v>
      </x:c>
      <x:c r="O542" s="28" t="str">
        <x:v>надежная общая ключевая молекула не подтверждена</x:v>
      </x:c>
      <x:c r="P542" s="28" t="str">
        <x:v>сенсорная комплементарность</x:v>
      </x:c>
      <x:c r="Q542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42" s="28" t="str">
        <x:v>минимальный</x:v>
      </x:c>
      <x:c r="S542" s="28" t="str">
        <x:v>высокожировая матрица с белком; эффективно переносит аромат в пралине и пастах</x:v>
      </x:c>
      <x:c r="T54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42" s="28" t="str">
        <x:v>Фундук имеет профиль «ореховый, жареный, сладкий, землистый и какаоподобный». Партнёр «цесарка»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42" s="28" t="str">
        <x:v>аллерген и чувствительность к прогорканию; пережаривание даёт дымную горечь</x:v>
      </x:c>
      <x:c r="W542" s="28" t="str">
        <x:v>соль, ваниль или карамель</x:v>
      </x:c>
      <x:c r="X542" s="28" t="str">
        <x:v>пралине, паста, выпечка, гарнир, соус, молочный или коктейльный компонент с цесарка</x:v>
      </x:c>
      <x:c r="Y542" s="28" t="str">
        <x:v>десерты</x:v>
      </x:c>
      <x:c r="Z542" s="28" t="str">
        <x:v>Средняя</x:v>
      </x:c>
      <x:c r="AA542" s="28" t="str">
        <x:v>The Art &amp; Science of Foodpairing.pdf</x:v>
      </x:c>
      <x:c r="AB542" s="28" t="str">
        <x:v>The Art &amp; Science of Foodpairing.pdf: 332</x:v>
      </x:c>
      <x:c r="AC542" s="28" t="str">
        <x:v>Пара встречается как grid; научное объяснение сформировано по ароматическому профилю и пищевой матрице.</x:v>
      </x:c>
      <x:c r="AD542" s="28" t="n">
        <x:v>1</x:v>
      </x:c>
      <x:c r="AE542" s="28" t="n">
        <x:v>1</x:v>
      </x:c>
      <x:c r="AF542" s="28" t="n">
        <x:f>IF(Z542="Высокая",3,IF(Z542="Средняя",2,1))+AD542*2+MIN(AE542,3)</x:f>
        <x:v>5</x:v>
      </x:c>
    </x:row>
    <x:row r="543" ht="62" customHeight="1">
      <x:c r="A543" s="28" t="str">
        <x:v>NCT-0542</x:v>
      </x:c>
      <x:c r="B543" s="28" t="str">
        <x:v>фундук</x:v>
      </x:c>
      <x:c r="C543" s="28" t="str">
        <x:v>Универсальные</x:v>
      </x:c>
      <x:c r="D543" s="28" t="str">
        <x:v>фундук</x:v>
      </x:c>
      <x:c r="E543" s="28" t="str">
        <x:v>Фундук | фундук</x:v>
      </x:c>
      <x:c r="F543" s="28" t="str">
        <x:v>Орехи и семена</x:v>
      </x:c>
      <x:c r="G543" s="28" t="str">
        <x:v>цыпленок</x:v>
      </x:c>
      <x:c r="H543" s="28" t="str">
        <x:v>Цыпленок | цыпленок</x:v>
      </x:c>
      <x:c r="I543" s="28" t="str">
        <x:v>Прочее</x:v>
      </x:c>
      <x:c r="J543" s="28" t="str">
        <x:v>ореховый, жареный, сладкий, землистый и какаоподобный</x:v>
      </x:c>
      <x:c r="K543" s="28" t="str">
        <x:v>профиль зависит от конкретного продукта</x:v>
      </x:c>
      <x:c r="L543" s="28" t="str">
        <x:v>фильбертон, пиразины, фураны, альдегиды</x:v>
      </x:c>
      <x:c r="M543" s="28" t="str">
        <x:v>характерный профиль зависит от конкретного продукта</x:v>
      </x:c>
      <x:c r="N543" s="28" t="str">
        <x:v>прямое пересечение семейств не является единственным объяснением</x:v>
      </x:c>
      <x:c r="O543" s="28" t="str">
        <x:v>надежная общая ключевая молекула не подтверждена</x:v>
      </x:c>
      <x:c r="P543" s="28" t="str">
        <x:v>сенсорная комплементарность</x:v>
      </x:c>
      <x:c r="Q543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43" s="28" t="str">
        <x:v>минимальный</x:v>
      </x:c>
      <x:c r="S543" s="28" t="str">
        <x:v>высокожировая матрица с белком; эффективно переносит аромат в пралине и пастах</x:v>
      </x:c>
      <x:c r="T54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43" s="28" t="str">
        <x:v>Фундук имеет профиль «ореховый, жареный, сладкий, землистый и какаоподобный». Партнёр «цыпленок»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43" s="28" t="str">
        <x:v>аллерген и чувствительность к прогорканию; пережаривание даёт дымную горечь</x:v>
      </x:c>
      <x:c r="W543" s="28" t="str">
        <x:v>соль, ваниль или карамель</x:v>
      </x:c>
      <x:c r="X543" s="28" t="str">
        <x:v>пралине, паста, выпечка, гарнир, соус, молочный или коктейльный компонент с цыпленок</x:v>
      </x:c>
      <x:c r="Y543" s="28" t="str">
        <x:v>десерты</x:v>
      </x:c>
      <x:c r="Z543" s="28" t="str">
        <x:v>Средняя</x:v>
      </x:c>
      <x:c r="AA543" s="28" t="str">
        <x:v>Тезариус вкусов (Ники Сегнит)(1).pdf</x:v>
      </x:c>
      <x:c r="AB543" s="28" t="str">
        <x:v>Тезариус вкусов (Ники Сегнит)(1).pdf: 74, 637</x:v>
      </x:c>
      <x:c r="AC543" s="28" t="str">
        <x:v>Пара встречается как thesaurus; научное объяснение сформировано по ароматическому профилю и пищевой матрице.</x:v>
      </x:c>
      <x:c r="AD543" s="28" t="n">
        <x:v>1</x:v>
      </x:c>
      <x:c r="AE543" s="28" t="n">
        <x:v>2</x:v>
      </x:c>
      <x:c r="AF543" s="28" t="n">
        <x:f>IF(Z543="Высокая",3,IF(Z543="Средняя",2,1))+AD543*2+MIN(AE543,3)</x:f>
        <x:v>6</x:v>
      </x:c>
    </x:row>
    <x:row r="544" ht="62" customHeight="1">
      <x:c r="A544" s="28" t="str">
        <x:v>NCT-0543</x:v>
      </x:c>
      <x:c r="B544" s="28" t="str">
        <x:v>фундук</x:v>
      </x:c>
      <x:c r="C544" s="28" t="str">
        <x:v>Еда и соусы</x:v>
      </x:c>
      <x:c r="D544" s="28" t="str">
        <x:v>фундук</x:v>
      </x:c>
      <x:c r="E544" s="28" t="str">
        <x:v>Фундук | фундук</x:v>
      </x:c>
      <x:c r="F544" s="28" t="str">
        <x:v>Орехи и семена</x:v>
      </x:c>
      <x:c r="G544" s="28" t="str">
        <x:v>черная икра</x:v>
      </x:c>
      <x:c r="H544" s="28" t="str">
        <x:v>Черная икра | черная икра</x:v>
      </x:c>
      <x:c r="I544" s="28" t="str">
        <x:v>Рыба и морепродукты</x:v>
      </x:c>
      <x:c r="J544" s="28" t="str">
        <x:v>ореховый, жареный, сладкий, землистый и какаоподобный</x:v>
      </x:c>
      <x:c r="K544" s="28" t="str">
        <x:v>морской, солоноватый и умами</x:v>
      </x:c>
      <x:c r="L544" s="28" t="str">
        <x:v>фильбертон, пиразины, фураны, альдегиды</x:v>
      </x:c>
      <x:c r="M544" s="28" t="str">
        <x:v>альдегиды, амины</x:v>
      </x:c>
      <x:c r="N544" s="28" t="str">
        <x:v>прямое пересечение семейств не является единственным объяснением</x:v>
      </x:c>
      <x:c r="O544" s="28" t="str">
        <x:v>альдегиды</x:v>
      </x:c>
      <x:c r="P544" s="28" t="str">
        <x:v>общие ароматические соединения, солёно-умами контраст</x:v>
      </x:c>
      <x:c r="Q544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44" s="28" t="str">
        <x:v>минимальный</x:v>
      </x:c>
      <x:c r="S544" s="28" t="str">
        <x:v>высокожировая матрица с белком; эффективно переносит аромат в пралине и пастах</x:v>
      </x:c>
      <x:c r="T54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44" s="28" t="str">
        <x:v>Фундук имеет профиль «ореховый, жареный, сладкий, землистый и какаоподобный». Партнёр «черная икра»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544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W544" s="28" t="str">
        <x:v>соль, соевый соус, коричневое масло или специя</x:v>
      </x:c>
      <x:c r="X544" s="28" t="str">
        <x:v>пралине, паста, выпечка, гарнир, соус, молочный или коктейльный компонент с черная икра</x:v>
      </x:c>
      <x:c r="Y544" s="28" t="str">
        <x:v>еда, десерты, соусы/маринады</x:v>
      </x:c>
      <x:c r="Z544" s="28" t="str">
        <x:v>Средняя</x:v>
      </x:c>
      <x:c r="AA544" s="28" t="str">
        <x:v>Тезариус вкусов (Ники Сегнит)(1).pdf</x:v>
      </x:c>
      <x:c r="AB544" s="28" t="str">
        <x:v>Тезариус вкусов (Ники Сегнит)(1).pdf: 408, 638</x:v>
      </x:c>
      <x:c r="AC544" s="28" t="str">
        <x:v>Пара встречается как thesaurus; научное объяснение сформировано по ароматическому профилю и пищевой матрице.</x:v>
      </x:c>
      <x:c r="AD544" s="28" t="n">
        <x:v>1</x:v>
      </x:c>
      <x:c r="AE544" s="28" t="n">
        <x:v>2</x:v>
      </x:c>
      <x:c r="AF544" s="28" t="n">
        <x:f>IF(Z544="Высокая",3,IF(Z544="Средняя",2,1))+AD544*2+MIN(AE544,3)</x:f>
        <x:v>6</x:v>
      </x:c>
    </x:row>
    <x:row r="545" ht="62" customHeight="1">
      <x:c r="A545" s="28" t="str">
        <x:v>NCT-0544</x:v>
      </x:c>
      <x:c r="B545" s="28" t="str">
        <x:v>фундук</x:v>
      </x:c>
      <x:c r="C545" s="28" t="str">
        <x:v>Десерты и выпечка</x:v>
      </x:c>
      <x:c r="D545" s="28" t="str">
        <x:v>фундук</x:v>
      </x:c>
      <x:c r="E545" s="28" t="str">
        <x:v>фундук</x:v>
      </x:c>
      <x:c r="F545" s="28" t="str">
        <x:v>Орехи и семена</x:v>
      </x:c>
      <x:c r="G545" s="28" t="str">
        <x:v>чернослив</x:v>
      </x:c>
      <x:c r="H545" s="28" t="str">
        <x:v>Чернослив</x:v>
      </x:c>
      <x:c r="I545" s="28" t="str">
        <x:v>Фрукты и ягоды</x:v>
      </x:c>
      <x:c r="J545" s="28" t="str">
        <x:v>ореховый, жареный, сладкий, землистый и какаоподобный</x:v>
      </x:c>
      <x:c r="K545" s="28" t="str">
        <x:v>фруктовый, цветочный и свежий</x:v>
      </x:c>
      <x:c r="L545" s="28" t="str">
        <x:v>фильбертон, пиразины, фураны, альдегиды</x:v>
      </x:c>
      <x:c r="M545" s="28" t="str">
        <x:v>альдегиды, эфиры</x:v>
      </x:c>
      <x:c r="N545" s="28" t="str">
        <x:v>прямое пересечение семейств не является единственным объяснением</x:v>
      </x:c>
      <x:c r="O545" s="28" t="str">
        <x:v>альдегиды</x:v>
      </x:c>
      <x:c r="P545" s="28" t="str">
        <x:v>общие ароматические соединения, контраст кислоты и жирной/горькой матрицы</x:v>
      </x:c>
      <x:c r="Q545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45" s="28" t="str">
        <x:v>минимальный</x:v>
      </x:c>
      <x:c r="S545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54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45" s="28" t="str">
        <x:v>Фундук имеет профиль «ореховый, жареный, сладкий, землистый и какаоподобный». Партнёр «чернослив»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545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545" s="28" t="str">
        <x:v>ваниль, цитрус или молочный жир</x:v>
      </x:c>
      <x:c r="X545" s="28" t="str">
        <x:v>пралине, паста, выпечка, гарнир, соус, молочный или коктейльный компонент с чернослив</x:v>
      </x:c>
      <x:c r="Y545" s="28" t="str">
        <x:v>десерты</x:v>
      </x:c>
      <x:c r="Z545" s="28" t="str">
        <x:v>Гипотеза / практическая</x:v>
      </x:c>
      <x:c r="AA545" s="28" t="str">
        <x:v>Таблица сочетания(1).pdf</x:v>
      </x:c>
      <x:c r="AB545" s="28" t="str">
        <x:v>Таблица сочетания(1).pdf: 18</x:v>
      </x:c>
      <x:c r="AC545" s="28" t="str">
        <x:v>Пара встречается как table; научное объяснение сформировано по ароматическому профилю и пищевой матрице.</x:v>
      </x:c>
      <x:c r="AD545" s="28" t="n">
        <x:v>1</x:v>
      </x:c>
      <x:c r="AE545" s="28" t="n">
        <x:v>1</x:v>
      </x:c>
      <x:c r="AF545" s="28" t="n">
        <x:f>IF(Z545="Высокая",3,IF(Z545="Средняя",2,1))+AD545*2+MIN(AE545,3)</x:f>
        <x:v>4</x:v>
      </x:c>
    </x:row>
    <x:row r="546" ht="62" customHeight="1">
      <x:c r="A546" s="28" t="str">
        <x:v>NCT-0545</x:v>
      </x:c>
      <x:c r="B546" s="28" t="str">
        <x:v>фундук</x:v>
      </x:c>
      <x:c r="C546" s="28" t="str">
        <x:v>Еда и соусы</x:v>
      </x:c>
      <x:c r="D546" s="28" t="str">
        <x:v>фундук</x:v>
      </x:c>
      <x:c r="E546" s="28" t="str">
        <x:v>Фундук | фундук</x:v>
      </x:c>
      <x:c r="F546" s="28" t="str">
        <x:v>Орехи и семена</x:v>
      </x:c>
      <x:c r="G546" s="28" t="str">
        <x:v>чеснок</x:v>
      </x:c>
      <x:c r="H546" s="28" t="str">
        <x:v>Чеснок | чеснок</x:v>
      </x:c>
      <x:c r="I546" s="28" t="str">
        <x:v>Овощи, бобовые и грибы</x:v>
      </x:c>
      <x:c r="J546" s="28" t="str">
        <x:v>ореховый, жареный, сладкий, землистый и какаоподобный</x:v>
      </x:c>
      <x:c r="K546" s="28" t="str">
        <x:v>зелёный, землистый или умами</x:v>
      </x:c>
      <x:c r="L546" s="28" t="str">
        <x:v>фильбертон, пиразины, фураны, альдегиды</x:v>
      </x:c>
      <x:c r="M546" s="28" t="str">
        <x:v>альдегиды, сернистые соединения</x:v>
      </x:c>
      <x:c r="N546" s="28" t="str">
        <x:v>прямое пересечение семейств не является единственным объяснением</x:v>
      </x:c>
      <x:c r="O546" s="28" t="str">
        <x:v>альдегиды</x:v>
      </x:c>
      <x:c r="P546" s="28" t="str">
        <x:v>общие ароматические соединения</x:v>
      </x:c>
      <x:c r="Q546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46" s="28" t="str">
        <x:v>минимальный</x:v>
      </x:c>
      <x:c r="S546" s="28" t="str">
        <x:v>высокожировая матрица с белком; эффективно переносит аромат в пралине и пастах</x:v>
      </x:c>
      <x:c r="T54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46" s="28" t="str">
        <x:v>Фундук имеет профиль «ореховый, жареный, сладкий, землистый и какаоподобный». Партнёр «чеснок»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546" s="28" t="str">
        <x:v>аллерген и чувствительность к прогорканию; пережаривание даёт дымную горечь</x:v>
      </x:c>
      <x:c r="W546" s="28" t="str">
        <x:v>соль, ваниль или карамель</x:v>
      </x:c>
      <x:c r="X546" s="28" t="str">
        <x:v>пралине, паста, выпечка, гарнир, соус, молочный или коктейльный компонент с чеснок</x:v>
      </x:c>
      <x:c r="Y546" s="28" t="str">
        <x:v>еда, десерты, соусы/маринады</x:v>
      </x:c>
      <x:c r="Z546" s="28" t="str">
        <x:v>Средняя</x:v>
      </x:c>
      <x:c r="AA546" s="28" t="str">
        <x:v>Тезариус вкусов (Ники Сегнит)(1).pdf</x:v>
      </x:c>
      <x:c r="AB546" s="28" t="str">
        <x:v>Тезариус вкусов (Ники Сегнит)(1).pdf: 299, 377, 638</x:v>
      </x:c>
      <x:c r="AC546" s="28" t="str">
        <x:v>Пара встречается как thesaurus; научное объяснение сформировано по ароматическому профилю и пищевой матрице.</x:v>
      </x:c>
      <x:c r="AD546" s="28" t="n">
        <x:v>1</x:v>
      </x:c>
      <x:c r="AE546" s="28" t="n">
        <x:v>3</x:v>
      </x:c>
      <x:c r="AF546" s="28" t="n">
        <x:f>IF(Z546="Высокая",3,IF(Z546="Средняя",2,1))+AD546*2+MIN(AE546,3)</x:f>
        <x:v>7</x:v>
      </x:c>
    </x:row>
    <x:row r="547" ht="62" customHeight="1">
      <x:c r="A547" s="28" t="str">
        <x:v>NCT-0546</x:v>
      </x:c>
      <x:c r="B547" s="28" t="str">
        <x:v>фундук</x:v>
      </x:c>
      <x:c r="C547" s="28" t="str">
        <x:v>Напитки</x:v>
      </x:c>
      <x:c r="D547" s="28" t="str">
        <x:v>фундук</x:v>
      </x:c>
      <x:c r="E547" s="28" t="str">
        <x:v>hazelnut</x:v>
      </x:c>
      <x:c r="F547" s="28" t="str">
        <x:v>Орехи и семена</x:v>
      </x:c>
      <x:c r="G547" s="28" t="str">
        <x:v>чёрный чай</x:v>
      </x:c>
      <x:c r="H547" s="28" t="str">
        <x:v>black tea</x:v>
      </x:c>
      <x:c r="I547" s="28" t="str">
        <x:v>Чай</x:v>
      </x:c>
      <x:c r="J547" s="28" t="str">
        <x:v>ореховый, жареный, сладкий, землистый и какаоподобный</x:v>
      </x:c>
      <x:c r="K547" s="28" t="str">
        <x:v>мальтовый, цветочный, фруктовый, древесный и слегка дымный</x:v>
      </x:c>
      <x:c r="L547" s="28" t="str">
        <x:v>фильбертон, пиразины, фураны, альдегиды</x:v>
      </x:c>
      <x:c r="M547" s="28" t="str">
        <x:v>3-метилбутаналь, гераниол, линалол, теафлавины, фенольные соединения</x:v>
      </x:c>
      <x:c r="N547" s="28" t="str">
        <x:v>прямое пересечение семейств не является единственным объяснением</x:v>
      </x:c>
      <x:c r="O547" s="28" t="str">
        <x:v>надежная общая ключевая молекула не подтверждена</x:v>
      </x:c>
      <x:c r="P547" s="28" t="str">
        <x:v>сенсорная комплементарность</x:v>
      </x:c>
      <x:c r="Q547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47" s="28" t="str">
        <x:v>минимальный</x:v>
      </x:c>
      <x:c r="S547" s="28" t="str">
        <x:v>высокожировая матрица с белком; эффективно переносит аромат в пралине и пастах Вода извлекает танины быстрее, чем гидрофобные ореховые и какаовые молекулы, поэтому полезна жировая или спиртовая мостовая фаза.</x:v>
      </x:c>
      <x:c r="T54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47" s="28" t="str">
        <x:v>Фундук имеет профиль «ореховый, жареный, сладкий, землистый и какаоподобный». Партнёр «чёрный чай» относится к группе «Чай» и даёт мальтовый, цветочный, фруктовый, древесный и слегка дымный.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47" s="28" t="str">
        <x:v>аллерген и чувствительность к прогорканию; пережаривание даёт дымную горечь</x:v>
      </x:c>
      <x:c r="W547" s="28" t="str">
        <x:v>соль, ваниль или карамель</x:v>
      </x:c>
      <x:c r="X547" s="28" t="str">
        <x:v>пралине, паста, выпечка, гарнир, соус, молочный или коктейльный компонент с чёрный чай</x:v>
      </x:c>
      <x:c r="Y547" s="28" t="str">
        <x:v>напитки, десерты</x:v>
      </x:c>
      <x:c r="Z547" s="28" t="str">
        <x:v>Средняя</x:v>
      </x:c>
      <x:c r="AA547" s="28" t="str">
        <x:v>The Art &amp; Science of Foodpairing.pdf</x:v>
      </x:c>
      <x:c r="AB547" s="28" t="str">
        <x:v>The Art &amp; Science of Foodpairing.pdf: 332</x:v>
      </x:c>
      <x:c r="AC547" s="28" t="str">
        <x:v>Пара встречается как grid; научное объяснение сформировано по ароматическому профилю и пищевой матрице.</x:v>
      </x:c>
      <x:c r="AD547" s="28" t="n">
        <x:v>1</x:v>
      </x:c>
      <x:c r="AE547" s="28" t="n">
        <x:v>1</x:v>
      </x:c>
      <x:c r="AF547" s="28" t="n">
        <x:f>IF(Z547="Высокая",3,IF(Z547="Средняя",2,1))+AD547*2+MIN(AE547,3)</x:f>
        <x:v>5</x:v>
      </x:c>
    </x:row>
    <x:row r="548" ht="62" customHeight="1">
      <x:c r="A548" s="28" t="str">
        <x:v>NCT-0547</x:v>
      </x:c>
      <x:c r="B548" s="28" t="str">
        <x:v>фундук</x:v>
      </x:c>
      <x:c r="C548" s="28" t="str">
        <x:v>Универсальные</x:v>
      </x:c>
      <x:c r="D548" s="28" t="str">
        <x:v>фундук</x:v>
      </x:c>
      <x:c r="E548" s="28" t="str">
        <x:v>hazelnut</x:v>
      </x:c>
      <x:c r="F548" s="28" t="str">
        <x:v>Орехи и семена</x:v>
      </x:c>
      <x:c r="G548" s="28" t="str">
        <x:v>шисо</x:v>
      </x:c>
      <x:c r="H548" s="28" t="str">
        <x:v>shiso leaf</x:v>
      </x:c>
      <x:c r="I548" s="28" t="str">
        <x:v>Травы, цветы и листья</x:v>
      </x:c>
      <x:c r="J548" s="28" t="str">
        <x:v>ореховый, жареный, сладкий, землистый и какаоподобный</x:v>
      </x:c>
      <x:c r="K548" s="28" t="str">
        <x:v>зелёный, цветочный и терпеновый</x:v>
      </x:c>
      <x:c r="L548" s="28" t="str">
        <x:v>фильбертон, пиразины, фураны, альдегиды</x:v>
      </x:c>
      <x:c r="M548" s="28" t="str">
        <x:v>линалоол, терпены</x:v>
      </x:c>
      <x:c r="N548" s="28" t="str">
        <x:v>прямое пересечение семейств не является единственным объяснением</x:v>
      </x:c>
      <x:c r="O548" s="28" t="str">
        <x:v>надежная общая ключевая молекула не подтверждена</x:v>
      </x:c>
      <x:c r="P548" s="28" t="str">
        <x:v>сенсорная комплементарность</x:v>
      </x:c>
      <x:c r="Q548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48" s="28" t="str">
        <x:v>минимальный</x:v>
      </x:c>
      <x:c r="S548" s="28" t="str">
        <x:v>высокожировая матрица с белком; эффективно переносит аромат в пралине и пастах</x:v>
      </x:c>
      <x:c r="T54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48" s="28" t="str">
        <x:v>Фундук имеет профиль «ореховый, жареный, сладкий, землистый и какаоподобный». Партнёр «шисо»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V548" s="28" t="str">
        <x:v>аллерген и чувствительность к прогорканию; пережаривание даёт дымную горечь</x:v>
      </x:c>
      <x:c r="W548" s="28" t="str">
        <x:v>цитрус, мёд или сливки</x:v>
      </x:c>
      <x:c r="X548" s="28" t="str">
        <x:v>пралине, паста, выпечка, гарнир, соус, молочный или коктейльный компонент с шисо</x:v>
      </x:c>
      <x:c r="Y548" s="28" t="str">
        <x:v>десерты</x:v>
      </x:c>
      <x:c r="Z548" s="28" t="str">
        <x:v>Средняя</x:v>
      </x:c>
      <x:c r="AA548" s="28" t="str">
        <x:v>The Art &amp; Science of Foodpairing.pdf</x:v>
      </x:c>
      <x:c r="AB548" s="28" t="str">
        <x:v>The Art &amp; Science of Foodpairing.pdf: 332</x:v>
      </x:c>
      <x:c r="AC548" s="28" t="str">
        <x:v>Пара встречается как grid; научное объяснение сформировано по ароматическому профилю и пищевой матрице.</x:v>
      </x:c>
      <x:c r="AD548" s="28" t="n">
        <x:v>1</x:v>
      </x:c>
      <x:c r="AE548" s="28" t="n">
        <x:v>1</x:v>
      </x:c>
      <x:c r="AF548" s="28" t="n">
        <x:f>IF(Z548="Высокая",3,IF(Z548="Средняя",2,1))+AD548*2+MIN(AE548,3)</x:f>
        <x:v>5</x:v>
      </x:c>
    </x:row>
    <x:row r="549" ht="62" customHeight="1">
      <x:c r="A549" s="28" t="str">
        <x:v>NCT-0548</x:v>
      </x:c>
      <x:c r="B549" s="28" t="str">
        <x:v>фундук</x:v>
      </x:c>
      <x:c r="C549" s="28" t="str">
        <x:v>Десерты и выпечка</x:v>
      </x:c>
      <x:c r="D549" s="28" t="str">
        <x:v>фундук</x:v>
      </x:c>
      <x:c r="E549" s="28" t="str">
        <x:v>hazelnut | Фундук | фундук</x:v>
      </x:c>
      <x:c r="F549" s="28" t="str">
        <x:v>Орехи и семена</x:v>
      </x:c>
      <x:c r="G549" s="28" t="str">
        <x:v>шоколад</x:v>
      </x:c>
      <x:c r="H549" s="28" t="str">
        <x:v>dark chocolate | Шоколад | шоколад</x:v>
      </x:c>
      <x:c r="I549" s="28" t="str">
        <x:v>Какао и шоколад</x:v>
      </x:c>
      <x:c r="J549" s="28" t="str">
        <x:v>ореховый, жареный, сладкий, землистый и какаоподобный</x:v>
      </x:c>
      <x:c r="K549" s="28" t="str">
        <x:v>жареный, какаовый, фруктовый, цветочный, древесный и пряный; профиль зависит от происхождения и обжарки</x:v>
      </x:c>
      <x:c r="L549" s="28" t="str">
        <x:v>фильбертон, пиразины, фураны, альдегиды</x:v>
      </x:c>
      <x:c r="M549" s="28" t="str">
        <x:v>альдегиды, пиразины, теобромин, фураны, эфиры</x:v>
      </x:c>
      <x:c r="N549" s="28" t="str">
        <x:v>жареный, какаовый</x:v>
      </x:c>
      <x:c r="O549" s="28" t="str">
        <x:v>альдегиды, пиразины, фураны</x:v>
      </x:c>
      <x:c r="P549" s="28" t="str">
        <x:v>общие ароматические соединения, пересечение ароматических семейств, жареная химия и реакции Майяра</x:v>
      </x:c>
      <x:c r="Q549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49" s="28" t="str">
        <x:v>минимальный</x:v>
      </x:c>
      <x:c r="S549" s="28" t="str">
        <x:v>высокожировая матрица с белком; эффективно переносит аромат в пралине и пастах</x:v>
      </x:c>
      <x:c r="T54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49" s="28" t="str">
        <x:v>Фундук имеет профиль «ореховый, жареный, сладкий, землистый и какаоподобный».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какаовый; альдегиды, пиразины, фураны.</x:v>
      </x:c>
      <x:c r="V549" s="28" t="str">
        <x:v>аллерген и чувствительность к прогорканию; пережаривание даёт дымную горечь</x:v>
      </x:c>
      <x:c r="W549" s="28" t="str">
        <x:v>соль, ваниль или карамель</x:v>
      </x:c>
      <x:c r="X549" s="28" t="str">
        <x:v>пралине, паста, выпечка, гарнир, соус, молочный или коктейльный компонент с шоколад</x:v>
      </x:c>
      <x:c r="Y549" s="28" t="str">
        <x:v>десерты</x:v>
      </x:c>
      <x:c r="Z549" s="28" t="str">
        <x:v>Высокая</x:v>
      </x:c>
      <x:c r="AA549" s="28" t="str">
        <x:v>The Art &amp; Science of Foodpairing.pdf | Таблица сочетания(1).pdf | Тезариус вкусов (Ники Сегнит)(1).pdf</x:v>
      </x:c>
      <x:c r="AB549" s="28" t="str">
        <x:v>The Art &amp; Science of Foodpairing.pdf: 332; Таблица сочетания(1).pdf: 5; Тезариус вкусов (Ники Сегнит)(1).pdf: 36, 639</x:v>
      </x:c>
      <x:c r="AC549" s="28" t="str">
        <x:v>Пара встречается как grid, table, thesaurus; научное объяснение сформировано по ароматическому профилю и пищевой матрице.</x:v>
      </x:c>
      <x:c r="AD549" s="28" t="n">
        <x:v>3</x:v>
      </x:c>
      <x:c r="AE549" s="28" t="n">
        <x:v>4</x:v>
      </x:c>
      <x:c r="AF549" s="28" t="n">
        <x:f>IF(Z549="Высокая",3,IF(Z549="Средняя",2,1))+AD549*2+MIN(AE549,3)</x:f>
        <x:v>12</x:v>
      </x:c>
    </x:row>
    <x:row r="550" ht="62" customHeight="1">
      <x:c r="A550" s="28" t="str">
        <x:v>NCT-0549</x:v>
      </x:c>
      <x:c r="B550" s="28" t="str">
        <x:v>фундук</x:v>
      </x:c>
      <x:c r="C550" s="28" t="str">
        <x:v>Десерты и выпечка</x:v>
      </x:c>
      <x:c r="D550" s="28" t="str">
        <x:v>фундук</x:v>
      </x:c>
      <x:c r="E550" s="28" t="str">
        <x:v>Фундук | фундук</x:v>
      </x:c>
      <x:c r="F550" s="28" t="str">
        <x:v>Орехи и семена</x:v>
      </x:c>
      <x:c r="G550" s="28" t="str">
        <x:v>яблоко</x:v>
      </x:c>
      <x:c r="H550" s="28" t="str">
        <x:v>Яблоко | яблоко</x:v>
      </x:c>
      <x:c r="I550" s="28" t="str">
        <x:v>Фрукты и ягоды</x:v>
      </x:c>
      <x:c r="J550" s="28" t="str">
        <x:v>ореховый, жареный, сладкий, землистый и какаоподобный</x:v>
      </x:c>
      <x:c r="K550" s="28" t="str">
        <x:v>фруктовый, цветочный и свежий</x:v>
      </x:c>
      <x:c r="L550" s="28" t="str">
        <x:v>фильбертон, пиразины, фураны, альдегиды</x:v>
      </x:c>
      <x:c r="M550" s="28" t="str">
        <x:v>альдегиды, эфиры</x:v>
      </x:c>
      <x:c r="N550" s="28" t="str">
        <x:v>прямое пересечение семейств не является единственным объяснением</x:v>
      </x:c>
      <x:c r="O550" s="28" t="str">
        <x:v>альдегиды</x:v>
      </x:c>
      <x:c r="P550" s="28" t="str">
        <x:v>общие ароматические соединения, контраст кислоты и жирной/горькой матрицы</x:v>
      </x:c>
      <x:c r="Q550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50" s="28" t="str">
        <x:v>минимальный</x:v>
      </x:c>
      <x:c r="S550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55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50" s="28" t="str">
        <x:v>Фундук имеет профиль «ореховый, жареный, сладкий, землистый и какаоподобный». Партнёр «яблоко»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550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550" s="28" t="str">
        <x:v>ваниль, цитрус или молочный жир</x:v>
      </x:c>
      <x:c r="X550" s="28" t="str">
        <x:v>пралине, паста, выпечка, гарнир, соус, молочный или коктейльный компонент с яблоко</x:v>
      </x:c>
      <x:c r="Y550" s="28" t="str">
        <x:v>десерты</x:v>
      </x:c>
      <x:c r="Z550" s="28" t="str">
        <x:v>Высокая</x:v>
      </x:c>
      <x:c r="AA550" s="28" t="str">
        <x:v>Таблица сочетания(1).pdf | Тезариус вкусов (Ники Сегнит)(1).pdf</x:v>
      </x:c>
      <x:c r="AB550" s="28" t="str">
        <x:v>Таблица сочетания(1).pdf: 1; Тезариус вкусов (Ники Сегнит)(1).pdf: 639, 717</x:v>
      </x:c>
      <x:c r="AC550" s="28" t="str">
        <x:v>Пара встречается как table, thesaurus; научное объяснение сформировано по ароматическому профилю и пищевой матрице.</x:v>
      </x:c>
      <x:c r="AD550" s="28" t="n">
        <x:v>2</x:v>
      </x:c>
      <x:c r="AE550" s="28" t="n">
        <x:v>4</x:v>
      </x:c>
      <x:c r="AF550" s="28" t="n">
        <x:f>IF(Z550="Высокая",3,IF(Z550="Средняя",2,1))+AD550*2+MIN(AE550,3)</x:f>
        <x:v>10</x:v>
      </x:c>
    </x:row>
    <x:row r="551" ht="62" customHeight="1">
      <x:c r="A551" s="28" t="str">
        <x:v>NCT-0550</x:v>
      </x:c>
      <x:c r="B551" s="28" t="str">
        <x:v>фундук</x:v>
      </x:c>
      <x:c r="C551" s="28" t="str">
        <x:v>Десерты и выпечка</x:v>
      </x:c>
      <x:c r="D551" s="28" t="str">
        <x:v>фундук</x:v>
      </x:c>
      <x:c r="E551" s="28" t="str">
        <x:v>фундук</x:v>
      </x:c>
      <x:c r="F551" s="28" t="str">
        <x:v>Орехи и семена</x:v>
      </x:c>
      <x:c r="G551" s="28" t="str">
        <x:v>ягоды годжи</x:v>
      </x:c>
      <x:c r="H551" s="28" t="str">
        <x:v>Ягоды годжи</x:v>
      </x:c>
      <x:c r="I551" s="28" t="str">
        <x:v>Фрукты и ягоды</x:v>
      </x:c>
      <x:c r="J551" s="28" t="str">
        <x:v>ореховый, жареный, сладкий, землистый и какаоподобный</x:v>
      </x:c>
      <x:c r="K551" s="28" t="str">
        <x:v>фруктовый, цветочный и свежий</x:v>
      </x:c>
      <x:c r="L551" s="28" t="str">
        <x:v>фильбертон, пиразины, фураны, альдегиды</x:v>
      </x:c>
      <x:c r="M551" s="28" t="str">
        <x:v>альдегиды, эфиры</x:v>
      </x:c>
      <x:c r="N551" s="28" t="str">
        <x:v>прямое пересечение семейств не является единственным объяснением</x:v>
      </x:c>
      <x:c r="O551" s="28" t="str">
        <x:v>альдегиды</x:v>
      </x:c>
      <x:c r="P551" s="28" t="str">
        <x:v>общие ароматические соединения, контраст кислоты и жирной/горькой матрицы</x:v>
      </x:c>
      <x:c r="Q551" s="28" t="str">
        <x:v>Жирность и мягкая сладость ореха округляют кислоту и горечь партнёра; соль, карамель и умами усиливают жареный профиль.</x:v>
      </x:c>
      <x:c r="R551" s="28" t="str">
        <x:v>минимальный</x:v>
      </x:c>
      <x:c r="S551" s="28" t="str">
        <x:v>высокожировая матрица с белком; эффективно переносит аромат в пралине и пастах Водная фруктовая фаза требует эмульсии или мелкого измельчения, если орех или шоколад вводится как паста.</x:v>
      </x:c>
      <x:c r="T55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U551" s="28" t="str">
        <x:v>Фундук имеет профиль «ореховый, жареный, сладкий, землистый и какаоподобный». Партнёр «ягоды годжи»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V551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W551" s="28" t="str">
        <x:v>ваниль, цитрус или молочный жир</x:v>
      </x:c>
      <x:c r="X551" s="28" t="str">
        <x:v>пралине, паста, выпечка, гарнир, соус, молочный или коктейльный компонент с ягоды годжи</x:v>
      </x:c>
      <x:c r="Y551" s="28" t="str">
        <x:v>десерты</x:v>
      </x:c>
      <x:c r="Z551" s="28" t="str">
        <x:v>Гипотеза / практическая</x:v>
      </x:c>
      <x:c r="AA551" s="28" t="str">
        <x:v>Таблица сочетания(1).pdf</x:v>
      </x:c>
      <x:c r="AB551" s="28" t="str">
        <x:v>Таблица сочетания(1).pdf: 8</x:v>
      </x:c>
      <x:c r="AC551" s="28" t="str">
        <x:v>Пара встречается как table; научное объяснение сформировано по ароматическому профилю и пищевой матрице.</x:v>
      </x:c>
      <x:c r="AD551" s="28" t="n">
        <x:v>1</x:v>
      </x:c>
      <x:c r="AE551" s="28" t="n">
        <x:v>1</x:v>
      </x:c>
      <x:c r="AF551" s="28" t="n">
        <x:f>IF(Z551="Высокая",3,IF(Z551="Средняя",2,1))+AD551*2+MIN(AE551,3)</x:f>
        <x:v>4</x:v>
      </x:c>
    </x:row>
    <x:row r="552" ht="62" customHeight="1">
      <x:c r="A552" s="28" t="str">
        <x:v>NCT-0551</x:v>
      </x:c>
      <x:c r="B552" s="28" t="str">
        <x:v>чёрный чай</x:v>
      </x:c>
      <x:c r="C552" s="28" t="str">
        <x:v>Еда и соусы</x:v>
      </x:c>
      <x:c r="D552" s="28" t="str">
        <x:v>чёрный чай</x:v>
      </x:c>
      <x:c r="E552" s="28" t="str">
        <x:v>Darjeeling tea</x:v>
      </x:c>
      <x:c r="F552" s="28" t="str">
        <x:v>Чай</x:v>
      </x:c>
      <x:c r="G552" s="28" t="str">
        <x:v>bacon</x:v>
      </x:c>
      <x:c r="H552" s="28" t="str">
        <x:v>bacon</x:v>
      </x:c>
      <x:c r="I552" s="28" t="str">
        <x:v>Мясо и птица</x:v>
      </x:c>
      <x:c r="J552" s="28" t="str">
        <x:v>мальтовый, цветочный, фруктовый, древесный и слегка дымный</x:v>
      </x:c>
      <x:c r="K552" s="28" t="str">
        <x:v>жареный, мясной и умами</x:v>
      </x:c>
      <x:c r="L552" s="28" t="str">
        <x:v>линалол, гераниол, 3-метилбутаналь, теафлавины, фенольные соединения</x:v>
      </x:c>
      <x:c r="M552" s="28" t="str">
        <x:v>пиразины, сернистые соединения</x:v>
      </x:c>
      <x:c r="N552" s="28" t="str">
        <x:v>прямое пересечение семейств не является единственным объяснением</x:v>
      </x:c>
      <x:c r="O552" s="28" t="str">
        <x:v>надежная общая ключевая молекула не подтверждена</x:v>
      </x:c>
      <x:c r="P552" s="28" t="str">
        <x:v>жареная химия и реакции Майяра, солёно-умами контраст</x:v>
      </x:c>
      <x:c r="Q552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552" s="28" t="str">
        <x:v>сухость и вяжущее ощущение из-за полифенолов</x:v>
      </x:c>
      <x:c r="S552" s="28" t="str">
        <x:v>водный настой с полифенолами и кофеином; молочные белки могут связывать танины</x:v>
      </x:c>
      <x:c r="T552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552" s="28" t="str">
        <x:v>Чёрный чай имеет профиль «мальтовый, цветочный, фруктовый, древесный и слегка дымный». Партнёр «bacon»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552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W552" s="28" t="str">
        <x:v>соль, соевый соус, коричневое масло или специя</x:v>
      </x:c>
      <x:c r="X552" s="28" t="str">
        <x:v>чайный настой, холодный чай, кордиал, молочный пунш, десерт или соус с bacon</x:v>
      </x:c>
      <x:c r="Y552" s="28" t="str">
        <x:v>напитки, еда, соусы/маринады</x:v>
      </x:c>
      <x:c r="Z552" s="28" t="str">
        <x:v>Высокая</x:v>
      </x:c>
      <x:c r="AA552" s="28" t="str">
        <x:v>The Art &amp; Science of Foodpairing.pdf</x:v>
      </x:c>
      <x:c r="AB552" s="28" t="str">
        <x:v>The Art &amp; Science of Foodpairing.pdf: 362</x:v>
      </x:c>
      <x:c r="AC552" s="28" t="str">
        <x:v>Пара встречается как classic; научное объяснение сформировано по ароматическому профилю и пищевой матрице.</x:v>
      </x:c>
      <x:c r="AD552" s="28" t="n">
        <x:v>1</x:v>
      </x:c>
      <x:c r="AE552" s="28" t="n">
        <x:v>1</x:v>
      </x:c>
      <x:c r="AF552" s="28" t="n">
        <x:f>IF(Z552="Высокая",3,IF(Z552="Средняя",2,1))+AD552*2+MIN(AE552,3)</x:f>
        <x:v>6</x:v>
      </x:c>
    </x:row>
    <x:row r="553" ht="62" customHeight="1">
      <x:c r="A553" s="28" t="str">
        <x:v>NCT-0552</x:v>
      </x:c>
      <x:c r="B553" s="28" t="str">
        <x:v>чёрный чай</x:v>
      </x:c>
      <x:c r="C553" s="28" t="str">
        <x:v>Еда и соусы</x:v>
      </x:c>
      <x:c r="D553" s="28" t="str">
        <x:v>чёрный чай</x:v>
      </x:c>
      <x:c r="E553" s="28" t="str">
        <x:v>Darjeeling tea</x:v>
      </x:c>
      <x:c r="F553" s="28" t="str">
        <x:v>Чай</x:v>
      </x:c>
      <x:c r="G553" s="28" t="str">
        <x:v>balsamic vinegar</x:v>
      </x:c>
      <x:c r="H553" s="28" t="str">
        <x:v>balsamic vinegar</x:v>
      </x:c>
      <x:c r="I553" s="28" t="str">
        <x:v>Ферментированные продукты и соусы</x:v>
      </x:c>
      <x:c r="J553" s="28" t="str">
        <x:v>мальтовый, цветочный, фруктовый, древесный и слегка дымный</x:v>
      </x:c>
      <x:c r="K553" s="28" t="str">
        <x:v>ферментированный, умами и сложный</x:v>
      </x:c>
      <x:c r="L553" s="28" t="str">
        <x:v>линалол, гераниол, 3-метилбутаналь, теафлавины, фенольные соединения</x:v>
      </x:c>
      <x:c r="M553" s="28" t="str">
        <x:v>пиразины, фураны, эфиры</x:v>
      </x:c>
      <x:c r="N553" s="28" t="str">
        <x:v>прямое пересечение семейств не является единственным объяснением</x:v>
      </x:c>
      <x:c r="O553" s="28" t="str">
        <x:v>надежная общая ключевая молекула не подтверждена</x:v>
      </x:c>
      <x:c r="P553" s="28" t="str">
        <x:v>солёно-умами контраст</x:v>
      </x:c>
      <x:c r="Q553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553" s="28" t="str">
        <x:v>сухость и вяжущее ощущение из-за полифенолов</x:v>
      </x:c>
      <x:c r="S553" s="28" t="str">
        <x:v>водный настой с полифенолами и кофеином; молочные белки могут связывать танины</x:v>
      </x:c>
      <x:c r="T553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553" s="28" t="str">
        <x:v>Чёрный чай имеет профиль «мальтовый, цветочный, фруктовый, древесный и слегка дымный». Партнёр «balsamic vinegar» относится к группе «Ферментированные продукты и соусы» и даёт ферментированный, умами и сложный.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553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W553" s="28" t="str">
        <x:v>карамелизированный лук, грибы или сливочное масло</x:v>
      </x:c>
      <x:c r="X553" s="28" t="str">
        <x:v>чайный настой, холодный чай, кордиал, молочный пунш, десерт или соус с balsamic vinegar</x:v>
      </x:c>
      <x:c r="Y553" s="28" t="str">
        <x:v>напитки, еда, соусы/маринады</x:v>
      </x:c>
      <x:c r="Z553" s="28" t="str">
        <x:v>Средняя</x:v>
      </x:c>
      <x:c r="AA553" s="28" t="str">
        <x:v>The Art &amp; Science of Foodpairing.pdf</x:v>
      </x:c>
      <x:c r="AB553" s="28" t="str">
        <x:v>The Art &amp; Science of Foodpairing.pdf: 316</x:v>
      </x:c>
      <x:c r="AC553" s="28" t="str">
        <x:v>Пара встречается как grid; научное объяснение сформировано по ароматическому профилю и пищевой матрице.</x:v>
      </x:c>
      <x:c r="AD553" s="28" t="n">
        <x:v>1</x:v>
      </x:c>
      <x:c r="AE553" s="28" t="n">
        <x:v>1</x:v>
      </x:c>
      <x:c r="AF553" s="28" t="n">
        <x:f>IF(Z553="Высокая",3,IF(Z553="Средняя",2,1))+AD553*2+MIN(AE553,3)</x:f>
        <x:v>5</x:v>
      </x:c>
    </x:row>
    <x:row r="554" ht="62" customHeight="1">
      <x:c r="A554" s="28" t="str">
        <x:v>NCT-0553</x:v>
      </x:c>
      <x:c r="B554" s="28" t="str">
        <x:v>чёрный чай</x:v>
      </x:c>
      <x:c r="C554" s="28" t="str">
        <x:v>Универсальные</x:v>
      </x:c>
      <x:c r="D554" s="28" t="str">
        <x:v>чёрный чай</x:v>
      </x:c>
      <x:c r="E554" s="28" t="str">
        <x:v>black tea</x:v>
      </x:c>
      <x:c r="F554" s="28" t="str">
        <x:v>Чай</x:v>
      </x:c>
      <x:c r="G554" s="28" t="str">
        <x:v>blue cheese</x:v>
      </x:c>
      <x:c r="H554" s="28" t="str">
        <x:v>blue cheese</x:v>
      </x:c>
      <x:c r="I554" s="28" t="str">
        <x:v>Молочные продукты и сыры</x:v>
      </x:c>
      <x:c r="J554" s="28" t="str">
        <x:v>мальтовый, цветочный, фруктовый, древесный и слегка дымный</x:v>
      </x:c>
      <x:c r="K554" s="28" t="str">
        <x:v>молочный, сливочный и ферментированный</x:v>
      </x:c>
      <x:c r="L554" s="28" t="str">
        <x:v>линалол, гераниол, 3-метилбутаналь, теафлавины, фенольные соединения</x:v>
      </x:c>
      <x:c r="M554" s="28" t="str">
        <x:v>диацетил, жирные кислоты, лактоны</x:v>
      </x:c>
      <x:c r="N554" s="28" t="str">
        <x:v>прямое пересечение семейств не является единственным объяснением</x:v>
      </x:c>
      <x:c r="O554" s="28" t="str">
        <x:v>надежная общая ключевая молекула не подтверждена</x:v>
      </x:c>
      <x:c r="P554" s="28" t="str">
        <x:v>жировая экстракция и связывание полифенолов белком</x:v>
      </x:c>
      <x:c r="Q554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554" s="28" t="str">
        <x:v>сухость и вяжущее ощущение из-за полифенолов</x:v>
      </x:c>
      <x:c r="S554" s="28" t="str">
        <x:v>водный настой с полифенолами и кофеином; молочные белки могут связывать танины Совпадающие жирные фазы облегчают перенос аромата, но могут сделать продукт тяжёлым.</x:v>
      </x:c>
      <x:c r="T554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554" s="28" t="str">
        <x:v>Чёрный чай имеет профиль «мальтовый, цветочный, фруктовый, древесный и слегка дымный». Партнёр «blue cheese»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554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терпкость; жир способен приглушить тонкую ароматику; белок связывает полифенолы</x:v>
      </x:c>
      <x:c r="W554" s="28" t="str">
        <x:v>мёд, карамель или фруктовая кислота</x:v>
      </x:c>
      <x:c r="X554" s="28" t="str">
        <x:v>чайный настой, холодный чай, кордиал, молочный пунш, десерт или соус с blue cheese</x:v>
      </x:c>
      <x:c r="Y554" s="28" t="str">
        <x:v>напитки, десерты</x:v>
      </x:c>
      <x:c r="Z554" s="28" t="str">
        <x:v>Средняя</x:v>
      </x:c>
      <x:c r="AA554" s="28" t="str">
        <x:v>The Art &amp; Science of Foodpairing.pdf</x:v>
      </x:c>
      <x:c r="AB554" s="28" t="str">
        <x:v>The Art &amp; Science of Foodpairing.pdf: 164</x:v>
      </x:c>
      <x:c r="AC554" s="28" t="str">
        <x:v>Пара встречается как grid; научное объяснение сформировано по ароматическому профилю и пищевой матрице.</x:v>
      </x:c>
      <x:c r="AD554" s="28" t="n">
        <x:v>1</x:v>
      </x:c>
      <x:c r="AE554" s="28" t="n">
        <x:v>1</x:v>
      </x:c>
      <x:c r="AF554" s="28" t="n">
        <x:f>IF(Z554="Высокая",3,IF(Z554="Средняя",2,1))+AD554*2+MIN(AE554,3)</x:f>
        <x:v>5</x:v>
      </x:c>
    </x:row>
    <x:row r="555" ht="62" customHeight="1">
      <x:c r="A555" s="28" t="str">
        <x:v>NCT-0554</x:v>
      </x:c>
      <x:c r="B555" s="28" t="str">
        <x:v>чёрный чай</x:v>
      </x:c>
      <x:c r="C555" s="28" t="str">
        <x:v>Напитки</x:v>
      </x:c>
      <x:c r="D555" s="28" t="str">
        <x:v>чёрный чай</x:v>
      </x:c>
      <x:c r="E555" s="28" t="str">
        <x:v>black tea</x:v>
      </x:c>
      <x:c r="F555" s="28" t="str">
        <x:v>Чай</x:v>
      </x:c>
      <x:c r="G555" s="28" t="str">
        <x:v>cognac</x:v>
      </x:c>
      <x:c r="H555" s="28" t="str">
        <x:v>cognac</x:v>
      </x:c>
      <x:c r="I555" s="28" t="str">
        <x:v>Алкогольные напитки</x:v>
      </x:c>
      <x:c r="J555" s="28" t="str">
        <x:v>мальтовый, цветочный, фруктовый, древесный и слегка дымный</x:v>
      </x:c>
      <x:c r="K555" s="28" t="str">
        <x:v>спиртовой, фруктовый или древесный</x:v>
      </x:c>
      <x:c r="L555" s="28" t="str">
        <x:v>линалол, гераниол, 3-метилбутаналь, теафлавины, фенольные соединения</x:v>
      </x:c>
      <x:c r="M555" s="28" t="str">
        <x:v>альдегиды, эфиры</x:v>
      </x:c>
      <x:c r="N555" s="28" t="str">
        <x:v>древесный</x:v>
      </x:c>
      <x:c r="O555" s="28" t="str">
        <x:v>надежная общая ключевая молекула не подтверждена</x:v>
      </x:c>
      <x:c r="P555" s="28" t="str">
        <x:v>пересечение ароматических семейств</x:v>
      </x:c>
      <x:c r="Q555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555" s="28" t="str">
        <x:v>сухость и вяжущее ощущение из-за полифенолов</x:v>
      </x:c>
      <x:c r="S555" s="28" t="str">
        <x:v>водный настой с полифенолами и кофеином; молочные белки могут связывать танины Этанол эффективно извлекает терпены, фенолы и жареные молекулы; время контакта нужно ограничивать.</x:v>
      </x:c>
      <x:c r="T555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555" s="28" t="str">
        <x:v>Чёрный чай имеет профиль «мальтовый, цветочный, фруктовый, древесный и слегка дымный». Партнёр «cognac» относится к группе «Алкогольные напитки» и даёт спиртовой, фруктовый или древесный. Профили пересекаются в семействах: древесный Полифенолы создают терпкость, поэтому сахар, жир, соль или умами могут смягчить сухость; чрезмерно танинный партнёр, наоборот, её усиливает. Итог: древесный; механизм не следует сводить к одной общей молекуле.</x:v>
      </x:c>
      <x:c r="V555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W555" s="28" t="str">
        <x:v>соль, ваниль или карамель</x:v>
      </x:c>
      <x:c r="X555" s="28" t="str">
        <x:v>чайный настой, холодный чай, кордиал, молочный пунш, десерт или соус с cognac</x:v>
      </x:c>
      <x:c r="Y555" s="28" t="str">
        <x:v>напитки</x:v>
      </x:c>
      <x:c r="Z555" s="28" t="str">
        <x:v>Средняя</x:v>
      </x:c>
      <x:c r="AA555" s="28" t="str">
        <x:v>The Art &amp; Science of Foodpairing.pdf</x:v>
      </x:c>
      <x:c r="AB555" s="28" t="str">
        <x:v>The Art &amp; Science of Foodpairing.pdf: 123</x:v>
      </x:c>
      <x:c r="AC555" s="28" t="str">
        <x:v>Пара встречается как grid; научное объяснение сформировано по ароматическому профилю и пищевой матрице.</x:v>
      </x:c>
      <x:c r="AD555" s="28" t="n">
        <x:v>1</x:v>
      </x:c>
      <x:c r="AE555" s="28" t="n">
        <x:v>1</x:v>
      </x:c>
      <x:c r="AF555" s="28" t="n">
        <x:f>IF(Z555="Высокая",3,IF(Z555="Средняя",2,1))+AD555*2+MIN(AE555,3)</x:f>
        <x:v>5</x:v>
      </x:c>
    </x:row>
    <x:row r="556" ht="62" customHeight="1">
      <x:c r="A556" s="28" t="str">
        <x:v>NCT-0555</x:v>
      </x:c>
      <x:c r="B556" s="28" t="str">
        <x:v>чёрный чай</x:v>
      </x:c>
      <x:c r="C556" s="28" t="str">
        <x:v>Еда и соусы</x:v>
      </x:c>
      <x:c r="D556" s="28" t="str">
        <x:v>чёрный чай</x:v>
      </x:c>
      <x:c r="E556" s="28" t="str">
        <x:v>Darjeeling tea</x:v>
      </x:c>
      <x:c r="F556" s="28" t="str">
        <x:v>Чай</x:v>
      </x:c>
      <x:c r="G556" s="28" t="str">
        <x:v>garlic</x:v>
      </x:c>
      <x:c r="H556" s="28" t="str">
        <x:v>garlic</x:v>
      </x:c>
      <x:c r="I556" s="28" t="str">
        <x:v>Овощи, бобовые и грибы</x:v>
      </x:c>
      <x:c r="J556" s="28" t="str">
        <x:v>мальтовый, цветочный, фруктовый, древесный и слегка дымный</x:v>
      </x:c>
      <x:c r="K556" s="28" t="str">
        <x:v>зелёный, землистый или умами</x:v>
      </x:c>
      <x:c r="L556" s="28" t="str">
        <x:v>линалол, гераниол, 3-метилбутаналь, теафлавины, фенольные соединения</x:v>
      </x:c>
      <x:c r="M556" s="28" t="str">
        <x:v>альдегиды, сернистые соединения</x:v>
      </x:c>
      <x:c r="N556" s="28" t="str">
        <x:v>прямое пересечение семейств не является единственным объяснением</x:v>
      </x:c>
      <x:c r="O556" s="28" t="str">
        <x:v>надежная общая ключевая молекула не подтверждена</x:v>
      </x:c>
      <x:c r="P556" s="28" t="str">
        <x:v>сенсорная комплементарность</x:v>
      </x:c>
      <x:c r="Q556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556" s="28" t="str">
        <x:v>сухость и вяжущее ощущение из-за полифенолов</x:v>
      </x:c>
      <x:c r="S556" s="28" t="str">
        <x:v>водный настой с полифенолами и кофеином; молочные белки могут связывать танины</x:v>
      </x:c>
      <x:c r="T556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556" s="28" t="str">
        <x:v>Чёрный чай имеет профиль «мальтовый, цветочный, фруктовый, древесный и слегка дымный». Партнёр «garlic» относится к группе «Овощи, бобовые и грибы» и даёт зелёный, землистый или умами.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556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W556" s="28" t="str">
        <x:v>соль, ваниль или карамель</x:v>
      </x:c>
      <x:c r="X556" s="28" t="str">
        <x:v>чайный настой, холодный чай, кордиал, молочный пунш, десерт или соус с garlic</x:v>
      </x:c>
      <x:c r="Y556" s="28" t="str">
        <x:v>напитки, еда, соусы/маринады</x:v>
      </x:c>
      <x:c r="Z556" s="28" t="str">
        <x:v>Средняя</x:v>
      </x:c>
      <x:c r="AA556" s="28" t="str">
        <x:v>The Art &amp; Science of Foodpairing.pdf</x:v>
      </x:c>
      <x:c r="AB556" s="28" t="str">
        <x:v>The Art &amp; Science of Foodpairing.pdf: 113</x:v>
      </x:c>
      <x:c r="AC556" s="28" t="str">
        <x:v>Пара встречается как grid; научное объяснение сформировано по ароматическому профилю и пищевой матрице.</x:v>
      </x:c>
      <x:c r="AD556" s="28" t="n">
        <x:v>1</x:v>
      </x:c>
      <x:c r="AE556" s="28" t="n">
        <x:v>1</x:v>
      </x:c>
      <x:c r="AF556" s="28" t="n">
        <x:f>IF(Z556="Высокая",3,IF(Z556="Средняя",2,1))+AD556*2+MIN(AE556,3)</x:f>
        <x:v>5</x:v>
      </x:c>
    </x:row>
    <x:row r="557" ht="62" customHeight="1">
      <x:c r="A557" s="28" t="str">
        <x:v>NCT-0556</x:v>
      </x:c>
      <x:c r="B557" s="28" t="str">
        <x:v>чёрный чай</x:v>
      </x:c>
      <x:c r="C557" s="28" t="str">
        <x:v>Еда и соусы</x:v>
      </x:c>
      <x:c r="D557" s="28" t="str">
        <x:v>чёрный чай</x:v>
      </x:c>
      <x:c r="E557" s="28" t="str">
        <x:v>black tea</x:v>
      </x:c>
      <x:c r="F557" s="28" t="str">
        <x:v>Чай</x:v>
      </x:c>
      <x:c r="G557" s="28" t="str">
        <x:v>lberico ham</x:v>
      </x:c>
      <x:c r="H557" s="28" t="str">
        <x:v>lberico ham</x:v>
      </x:c>
      <x:c r="I557" s="28" t="str">
        <x:v>Мясо и птица</x:v>
      </x:c>
      <x:c r="J557" s="28" t="str">
        <x:v>мальтовый, цветочный, фруктовый, древесный и слегка дымный</x:v>
      </x:c>
      <x:c r="K557" s="28" t="str">
        <x:v>жареный, мясной и умами</x:v>
      </x:c>
      <x:c r="L557" s="28" t="str">
        <x:v>линалол, гераниол, 3-метилбутаналь, теафлавины, фенольные соединения</x:v>
      </x:c>
      <x:c r="M557" s="28" t="str">
        <x:v>пиразины, сернистые соединения</x:v>
      </x:c>
      <x:c r="N557" s="28" t="str">
        <x:v>прямое пересечение семейств не является единственным объяснением</x:v>
      </x:c>
      <x:c r="O557" s="28" t="str">
        <x:v>надежная общая ключевая молекула не подтверждена</x:v>
      </x:c>
      <x:c r="P557" s="28" t="str">
        <x:v>жареная химия и реакции Майяра, солёно-умами контраст</x:v>
      </x:c>
      <x:c r="Q557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557" s="28" t="str">
        <x:v>сухость и вяжущее ощущение из-за полифенолов</x:v>
      </x:c>
      <x:c r="S557" s="28" t="str">
        <x:v>водный настой с полифенолами и кофеином; молочные белки могут связывать танины</x:v>
      </x:c>
      <x:c r="T557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557" s="28" t="str">
        <x:v>Чёрный чай имеет профиль «мальтовый, цветочный, фруктовый, древесный и слегка дымный». Партнёр «lberico ham»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557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W557" s="28" t="str">
        <x:v>соль, соевый соус, коричневое масло или специя</x:v>
      </x:c>
      <x:c r="X557" s="28" t="str">
        <x:v>чайный настой, холодный чай, кордиал, молочный пунш, десерт или соус с lberico ham</x:v>
      </x:c>
      <x:c r="Y557" s="28" t="str">
        <x:v>напитки, еда, соусы/маринады</x:v>
      </x:c>
      <x:c r="Z557" s="28" t="str">
        <x:v>Средняя</x:v>
      </x:c>
      <x:c r="AA557" s="28" t="str">
        <x:v>The Art &amp; Science of Foodpairing.pdf</x:v>
      </x:c>
      <x:c r="AB557" s="28" t="str">
        <x:v>The Art &amp; Science of Foodpairing.pdf: 278</x:v>
      </x:c>
      <x:c r="AC557" s="28" t="str">
        <x:v>Пара встречается как grid; научное объяснение сформировано по ароматическому профилю и пищевой матрице.</x:v>
      </x:c>
      <x:c r="AD557" s="28" t="n">
        <x:v>1</x:v>
      </x:c>
      <x:c r="AE557" s="28" t="n">
        <x:v>1</x:v>
      </x:c>
      <x:c r="AF557" s="28" t="n">
        <x:f>IF(Z557="Высокая",3,IF(Z557="Средняя",2,1))+AD557*2+MIN(AE557,3)</x:f>
        <x:v>5</x:v>
      </x:c>
    </x:row>
    <x:row r="558" ht="62" customHeight="1">
      <x:c r="A558" s="28" t="str">
        <x:v>NCT-0557</x:v>
      </x:c>
      <x:c r="B558" s="28" t="str">
        <x:v>чёрный чай</x:v>
      </x:c>
      <x:c r="C558" s="28" t="str">
        <x:v>Еда и соусы</x:v>
      </x:c>
      <x:c r="D558" s="28" t="str">
        <x:v>чёрный чай</x:v>
      </x:c>
      <x:c r="E558" s="28" t="str">
        <x:v>smoked black tea</x:v>
      </x:c>
      <x:c r="F558" s="28" t="str">
        <x:v>Чай</x:v>
      </x:c>
      <x:c r="G558" s="28" t="str">
        <x:v>meat</x:v>
      </x:c>
      <x:c r="H558" s="28" t="str">
        <x:v>meat</x:v>
      </x:c>
      <x:c r="I558" s="28" t="str">
        <x:v>Мясо и птица</x:v>
      </x:c>
      <x:c r="J558" s="28" t="str">
        <x:v>мальтовый, цветочный, фруктовый, древесный и слегка дымный</x:v>
      </x:c>
      <x:c r="K558" s="28" t="str">
        <x:v>жареный, мясной и умами</x:v>
      </x:c>
      <x:c r="L558" s="28" t="str">
        <x:v>линалол, гераниол, 3-метилбутаналь, теафлавины, фенольные соединения</x:v>
      </x:c>
      <x:c r="M558" s="28" t="str">
        <x:v>пиразины, сернистые соединения</x:v>
      </x:c>
      <x:c r="N558" s="28" t="str">
        <x:v>прямое пересечение семейств не является единственным объяснением</x:v>
      </x:c>
      <x:c r="O558" s="28" t="str">
        <x:v>надежная общая ключевая молекула не подтверждена</x:v>
      </x:c>
      <x:c r="P558" s="28" t="str">
        <x:v>жареная химия и реакции Майяра, солёно-умами контраст</x:v>
      </x:c>
      <x:c r="Q558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558" s="28" t="str">
        <x:v>сухость и вяжущее ощущение из-за полифенолов</x:v>
      </x:c>
      <x:c r="S558" s="28" t="str">
        <x:v>водный настой с полифенолами и кофеином; молочные белки могут связывать танины</x:v>
      </x:c>
      <x:c r="T558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558" s="28" t="str">
        <x:v>Чёрный чай имеет профиль «мальтовый, цветочный, фруктовый, древесный и слегка дымный». Партнёр «meat»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558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W558" s="28" t="str">
        <x:v>соль, соевый соус, коричневое масло или специя</x:v>
      </x:c>
      <x:c r="X558" s="28" t="str">
        <x:v>чайный настой, холодный чай, кордиал, молочный пунш, десерт или соус с meat</x:v>
      </x:c>
      <x:c r="Y558" s="28" t="str">
        <x:v>напитки, еда, соусы/маринады</x:v>
      </x:c>
      <x:c r="Z558" s="28" t="str">
        <x:v>Средняя</x:v>
      </x:c>
      <x:c r="AA558" s="28" t="str">
        <x:v>The Art &amp; Science of Foodpairing.pdf</x:v>
      </x:c>
      <x:c r="AB558" s="28" t="str">
        <x:v>The Art &amp; Science of Foodpairing.pdf: 186</x:v>
      </x:c>
      <x:c r="AC558" s="28" t="str">
        <x:v>Пара встречается как grid; научное объяснение сформировано по ароматическому профилю и пищевой матрице.</x:v>
      </x:c>
      <x:c r="AD558" s="28" t="n">
        <x:v>1</x:v>
      </x:c>
      <x:c r="AE558" s="28" t="n">
        <x:v>1</x:v>
      </x:c>
      <x:c r="AF558" s="28" t="n">
        <x:f>IF(Z558="Высокая",3,IF(Z558="Средняя",2,1))+AD558*2+MIN(AE558,3)</x:f>
        <x:v>5</x:v>
      </x:c>
    </x:row>
    <x:row r="559" ht="62" customHeight="1">
      <x:c r="A559" s="28" t="str">
        <x:v>NCT-0558</x:v>
      </x:c>
      <x:c r="B559" s="28" t="str">
        <x:v>чёрный чай</x:v>
      </x:c>
      <x:c r="C559" s="28" t="str">
        <x:v>Десерты и выпечка</x:v>
      </x:c>
      <x:c r="D559" s="28" t="str">
        <x:v>чёрный чай</x:v>
      </x:c>
      <x:c r="E559" s="28" t="str">
        <x:v>black tea</x:v>
      </x:c>
      <x:c r="F559" s="28" t="str">
        <x:v>Чай</x:v>
      </x:c>
      <x:c r="G559" s="28" t="str">
        <x:v>myrtle berry</x:v>
      </x:c>
      <x:c r="H559" s="28" t="str">
        <x:v>myrtle berry</x:v>
      </x:c>
      <x:c r="I559" s="28" t="str">
        <x:v>Фрукты и ягоды</x:v>
      </x:c>
      <x:c r="J559" s="28" t="str">
        <x:v>мальтовый, цветочный, фруктовый, древесный и слегка дымный</x:v>
      </x:c>
      <x:c r="K559" s="28" t="str">
        <x:v>фруктовый, цветочный и свежий</x:v>
      </x:c>
      <x:c r="L559" s="28" t="str">
        <x:v>линалол, гераниол, 3-метилбутаналь, теафлавины, фенольные соединения</x:v>
      </x:c>
      <x:c r="M559" s="28" t="str">
        <x:v>альдегиды, эфиры</x:v>
      </x:c>
      <x:c r="N559" s="28" t="str">
        <x:v>цветочный</x:v>
      </x:c>
      <x:c r="O559" s="28" t="str">
        <x:v>надежная общая ключевая молекула не подтверждена</x:v>
      </x:c>
      <x:c r="P559" s="28" t="str">
        <x:v>пересечение ароматических семейств, контраст кислоты и жирной/горькой матрицы</x:v>
      </x:c>
      <x:c r="Q559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559" s="28" t="str">
        <x:v>сухость и вяжущее ощущение из-за полифенолов</x:v>
      </x:c>
      <x:c r="S559" s="28" t="str">
        <x:v>водный настой с полифенолами и кофеином; молочные белки могут связывать танины Водная фруктовая фаза требует эмульсии или мелкого измельчения, если орех или шоколад вводится как паста.</x:v>
      </x:c>
      <x:c r="T559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559" s="28" t="str">
        <x:v>Чёрный чай имеет профиль «мальтовый, цветочный, фруктовый, древесный и слегка дымный». Партнёр «myrtle berry»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V559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W559" s="28" t="str">
        <x:v>ваниль, цитрус или молочный жир</x:v>
      </x:c>
      <x:c r="X559" s="28" t="str">
        <x:v>чайный настой, холодный чай, кордиал, молочный пунш, десерт или соус с myrtle berry</x:v>
      </x:c>
      <x:c r="Y559" s="28" t="str">
        <x:v>напитки, десерты</x:v>
      </x:c>
      <x:c r="Z559" s="28" t="str">
        <x:v>Высокая</x:v>
      </x:c>
      <x:c r="AA559" s="28" t="str">
        <x:v>The Art &amp; Science of Foodpairing.pdf</x:v>
      </x:c>
      <x:c r="AB559" s="28" t="str">
        <x:v>The Art &amp; Science of Foodpairing.pdf: 364</x:v>
      </x:c>
      <x:c r="AC559" s="28" t="str">
        <x:v>Пара встречается как potential; научное объяснение сформировано по ароматическому профилю и пищевой матрице.</x:v>
      </x:c>
      <x:c r="AD559" s="28" t="n">
        <x:v>1</x:v>
      </x:c>
      <x:c r="AE559" s="28" t="n">
        <x:v>1</x:v>
      </x:c>
      <x:c r="AF559" s="28" t="n">
        <x:f>IF(Z559="Высокая",3,IF(Z559="Средняя",2,1))+AD559*2+MIN(AE559,3)</x:f>
        <x:v>6</x:v>
      </x:c>
    </x:row>
    <x:row r="560" ht="62" customHeight="1">
      <x:c r="A560" s="28" t="str">
        <x:v>NCT-0559</x:v>
      </x:c>
      <x:c r="B560" s="28" t="str">
        <x:v>чёрный чай</x:v>
      </x:c>
      <x:c r="C560" s="28" t="str">
        <x:v>Напитки</x:v>
      </x:c>
      <x:c r="D560" s="28" t="str">
        <x:v>чёрный чай</x:v>
      </x:c>
      <x:c r="E560" s="28" t="str">
        <x:v>black tea</x:v>
      </x:c>
      <x:c r="F560" s="28" t="str">
        <x:v>Чай</x:v>
      </x:c>
      <x:c r="G560" s="28" t="str">
        <x:v>tea</x:v>
      </x:c>
      <x:c r="H560" s="28" t="str">
        <x:v>tea</x:v>
      </x:c>
      <x:c r="I560" s="28" t="str">
        <x:v>Чай</x:v>
      </x:c>
      <x:c r="J560" s="28" t="str">
        <x:v>мальтовый, цветочный, фруктовый, древесный и слегка дымный</x:v>
      </x:c>
      <x:c r="K560" s="28" t="str">
        <x:v>цветочный, древесный или зелёный</x:v>
      </x:c>
      <x:c r="L560" s="28" t="str">
        <x:v>линалол, гераниол, 3-метилбутаналь, теафлавины, фенольные соединения</x:v>
      </x:c>
      <x:c r="M560" s="28" t="str">
        <x:v>линалоол, полифенолы</x:v>
      </x:c>
      <x:c r="N560" s="28" t="str">
        <x:v>древесный, цветочный</x:v>
      </x:c>
      <x:c r="O560" s="28" t="str">
        <x:v>надежная общая ключевая молекула не подтверждена</x:v>
      </x:c>
      <x:c r="P560" s="28" t="str">
        <x:v>пересечение ароматических семейств</x:v>
      </x:c>
      <x:c r="Q560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560" s="28" t="str">
        <x:v>сухость и вяжущее ощущение из-за полифенолов</x:v>
      </x:c>
      <x:c r="S560" s="28" t="str">
        <x:v>водный настой с полифенолами и кофеином; молочные белки могут связывать танины Вода извлекает танины быстрее, чем гидрофобные ореховые и какаовые молекулы, поэтому полезна жировая или спиртовая мостовая фаза.</x:v>
      </x:c>
      <x:c r="T560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560" s="28" t="str">
        <x:v>Чёрный чай имеет профиль «мальтовый, цветочный, фруктовый, древесный и слегка дымный». Партнёр «tea» относится к группе «Чай» и даёт цветочный, древесный или зелёный. Профили пересекаются в семействах: древесный, цветочный Полифенолы создают терпкость, поэтому сахар, жир, соль или умами могут смягчить сухость; чрезмерно танинный партнёр, наоборот, её усиливает. Итог: древесный, цветочный; механизм не следует сводить к одной общей молекуле.</x:v>
      </x:c>
      <x:c r="V560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W560" s="28" t="str">
        <x:v>соль, ваниль или карамель</x:v>
      </x:c>
      <x:c r="X560" s="28" t="str">
        <x:v>чайный настой, холодный чай, кордиал, молочный пунш, десерт или соус с tea</x:v>
      </x:c>
      <x:c r="Y560" s="28" t="str">
        <x:v>напитки</x:v>
      </x:c>
      <x:c r="Z560" s="28" t="str">
        <x:v>Средняя</x:v>
      </x:c>
      <x:c r="AA560" s="28" t="str">
        <x:v>The Art &amp; Science of Foodpairing.pdf</x:v>
      </x:c>
      <x:c r="AB560" s="28" t="str">
        <x:v>The Art &amp; Science of Foodpairing.pdf: 365</x:v>
      </x:c>
      <x:c r="AC560" s="28" t="str">
        <x:v>Пара встречается как grid; научное объяснение сформировано по ароматическому профилю и пищевой матрице.</x:v>
      </x:c>
      <x:c r="AD560" s="28" t="n">
        <x:v>1</x:v>
      </x:c>
      <x:c r="AE560" s="28" t="n">
        <x:v>1</x:v>
      </x:c>
      <x:c r="AF560" s="28" t="n">
        <x:f>IF(Z560="Высокая",3,IF(Z560="Средняя",2,1))+AD560*2+MIN(AE560,3)</x:f>
        <x:v>5</x:v>
      </x:c>
    </x:row>
    <x:row r="561" ht="62" customHeight="1">
      <x:c r="A561" s="28" t="str">
        <x:v>NCT-0560</x:v>
      </x:c>
      <x:c r="B561" s="28" t="str">
        <x:v>чёрный чай</x:v>
      </x:c>
      <x:c r="C561" s="28" t="str">
        <x:v>Десерты и выпечка</x:v>
      </x:c>
      <x:c r="D561" s="28" t="str">
        <x:v>чёрный чай</x:v>
      </x:c>
      <x:c r="E561" s="28" t="str">
        <x:v>black tea</x:v>
      </x:c>
      <x:c r="F561" s="28" t="str">
        <x:v>Чай</x:v>
      </x:c>
      <x:c r="G561" s="28" t="str">
        <x:v>грейпфрут</x:v>
      </x:c>
      <x:c r="H561" s="28" t="str">
        <x:v>grapefruit</x:v>
      </x:c>
      <x:c r="I561" s="28" t="str">
        <x:v>Фрукты и ягоды</x:v>
      </x:c>
      <x:c r="J561" s="28" t="str">
        <x:v>мальтовый, цветочный, фруктовый, древесный и слегка дымный</x:v>
      </x:c>
      <x:c r="K561" s="28" t="str">
        <x:v>фруктовый, цветочный и свежий</x:v>
      </x:c>
      <x:c r="L561" s="28" t="str">
        <x:v>линалол, гераниол, 3-метилбутаналь, теафлавины, фенольные соединения</x:v>
      </x:c>
      <x:c r="M561" s="28" t="str">
        <x:v>альдегиды, эфиры</x:v>
      </x:c>
      <x:c r="N561" s="28" t="str">
        <x:v>цветочный</x:v>
      </x:c>
      <x:c r="O561" s="28" t="str">
        <x:v>надежная общая ключевая молекула не подтверждена</x:v>
      </x:c>
      <x:c r="P561" s="28" t="str">
        <x:v>пересечение ароматических семейств, контраст кислоты и жирной/горькой матрицы</x:v>
      </x:c>
      <x:c r="Q561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561" s="28" t="str">
        <x:v>сухость и вяжущее ощущение из-за полифенолов</x:v>
      </x:c>
      <x:c r="S561" s="28" t="str">
        <x:v>водный настой с полифенолами и кофеином; молочные белки могут связывать танины Водная фруктовая фаза требует эмульсии или мелкого измельчения, если орех или шоколад вводится как паста.</x:v>
      </x:c>
      <x:c r="T561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561" s="28" t="str">
        <x:v>Чёрный чай имеет профиль «мальтовый, цветочный, фруктовый, древесный и слегка дымный». Партнёр «грейпфрут»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V561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W561" s="28" t="str">
        <x:v>ваниль, цитрус или молочный жир</x:v>
      </x:c>
      <x:c r="X561" s="28" t="str">
        <x:v>чайный настой, холодный чай, кордиал, молочный пунш, десерт или соус с грейпфрут</x:v>
      </x:c>
      <x:c r="Y561" s="28" t="str">
        <x:v>напитки, десерты</x:v>
      </x:c>
      <x:c r="Z561" s="28" t="str">
        <x:v>Высокая</x:v>
      </x:c>
      <x:c r="AA561" s="28" t="str">
        <x:v>The Art &amp; Science of Foodpairing.pdf</x:v>
      </x:c>
      <x:c r="AB561" s="28" t="str">
        <x:v>The Art &amp; Science of Foodpairing.pdf: 359</x:v>
      </x:c>
      <x:c r="AC561" s="28" t="str">
        <x:v>Пара встречается как potential; научное объяснение сформировано по ароматическому профилю и пищевой матрице.</x:v>
      </x:c>
      <x:c r="AD561" s="28" t="n">
        <x:v>1</x:v>
      </x:c>
      <x:c r="AE561" s="28" t="n">
        <x:v>1</x:v>
      </x:c>
      <x:c r="AF561" s="28" t="n">
        <x:f>IF(Z561="Высокая",3,IF(Z561="Средняя",2,1))+AD561*2+MIN(AE561,3)</x:f>
        <x:v>6</x:v>
      </x:c>
    </x:row>
    <x:row r="562" ht="62" customHeight="1">
      <x:c r="A562" s="28" t="str">
        <x:v>NCT-0561</x:v>
      </x:c>
      <x:c r="B562" s="28" t="str">
        <x:v>чёрный чай</x:v>
      </x:c>
      <x:c r="C562" s="28" t="str">
        <x:v>Универсальные</x:v>
      </x:c>
      <x:c r="D562" s="28" t="str">
        <x:v>чёрный чай</x:v>
      </x:c>
      <x:c r="E562" s="28" t="str">
        <x:v>black tea</x:v>
      </x:c>
      <x:c r="F562" s="28" t="str">
        <x:v>Чай</x:v>
      </x:c>
      <x:c r="G562" s="28" t="str">
        <x:v>жасмин</x:v>
      </x:c>
      <x:c r="H562" s="28" t="str">
        <x:v>Jasmine blossom</x:v>
      </x:c>
      <x:c r="I562" s="28" t="str">
        <x:v>Травы, цветы и листья</x:v>
      </x:c>
      <x:c r="J562" s="28" t="str">
        <x:v>мальтовый, цветочный, фруктовый, древесный и слегка дымный</x:v>
      </x:c>
      <x:c r="K562" s="28" t="str">
        <x:v>животный, цветочный</x:v>
      </x:c>
      <x:c r="L562" s="28" t="str">
        <x:v>линалол, гераниол, 3-метилбутаналь, теафлавины, фенольные соединения</x:v>
      </x:c>
      <x:c r="M562" s="28" t="str">
        <x:v>бензилацетат, индол, линалоол</x:v>
      </x:c>
      <x:c r="N562" s="28" t="str">
        <x:v>цветочный</x:v>
      </x:c>
      <x:c r="O562" s="28" t="str">
        <x:v>надежная общая ключевая молекула не подтверждена</x:v>
      </x:c>
      <x:c r="P562" s="28" t="str">
        <x:v>пересечение ароматических семейств</x:v>
      </x:c>
      <x:c r="Q562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562" s="28" t="str">
        <x:v>сухость и вяжущее ощущение из-за полифенолов</x:v>
      </x:c>
      <x:c r="S562" s="28" t="str">
        <x:v>водный настой с полифенолами и кофеином; молочные белки могут связывать танины</x:v>
      </x:c>
      <x:c r="T562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562" s="28" t="str">
        <x:v>Чёрный чай имеет профиль «мальтовый, цветочный, фруктовый, древесный и слегка дымный». Партнёр «жасмин» относится к группе «Травы, цветы и листья» и даёт животный, цветочный. Профили пересекаются в семействах: цветочный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V562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W562" s="28" t="str">
        <x:v>цитрус, мёд или сливки</x:v>
      </x:c>
      <x:c r="X562" s="28" t="str">
        <x:v>чайный настой, холодный чай, кордиал, молочный пунш, десерт или соус с жасмин</x:v>
      </x:c>
      <x:c r="Y562" s="28" t="str">
        <x:v>напитки</x:v>
      </x:c>
      <x:c r="Z562" s="28" t="str">
        <x:v>Средняя</x:v>
      </x:c>
      <x:c r="AA562" s="28" t="str">
        <x:v>The Art &amp; Science of Foodpairing.pdf</x:v>
      </x:c>
      <x:c r="AB562" s="28" t="str">
        <x:v>The Art &amp; Science of Foodpairing.pdf: 210</x:v>
      </x:c>
      <x:c r="AC562" s="28" t="str">
        <x:v>Пара встречается как grid; научное объяснение сформировано по ароматическому профилю и пищевой матрице.</x:v>
      </x:c>
      <x:c r="AD562" s="28" t="n">
        <x:v>1</x:v>
      </x:c>
      <x:c r="AE562" s="28" t="n">
        <x:v>1</x:v>
      </x:c>
      <x:c r="AF562" s="28" t="n">
        <x:f>IF(Z562="Высокая",3,IF(Z562="Средняя",2,1))+AD562*2+MIN(AE562,3)</x:f>
        <x:v>5</x:v>
      </x:c>
    </x:row>
    <x:row r="563" ht="62" customHeight="1">
      <x:c r="A563" s="28" t="str">
        <x:v>NCT-0562</x:v>
      </x:c>
      <x:c r="B563" s="28" t="str">
        <x:v>чёрный чай</x:v>
      </x:c>
      <x:c r="C563" s="28" t="str">
        <x:v>Универсальные</x:v>
      </x:c>
      <x:c r="D563" s="28" t="str">
        <x:v>чёрный чай</x:v>
      </x:c>
      <x:c r="E563" s="28" t="str">
        <x:v>black tea</x:v>
      </x:c>
      <x:c r="F563" s="28" t="str">
        <x:v>Чай</x:v>
      </x:c>
      <x:c r="G563" s="28" t="str">
        <x:v>кардамон</x:v>
      </x:c>
      <x:c r="H563" s="28" t="str">
        <x:v>cardamom</x:v>
      </x:c>
      <x:c r="I563" s="28" t="str">
        <x:v>Специи</x:v>
      </x:c>
      <x:c r="J563" s="28" t="str">
        <x:v>мальтовый, цветочный, фруктовый, древесный и слегка дымный</x:v>
      </x:c>
      <x:c r="K563" s="28" t="str">
        <x:v>камфорный, цветочный, цитрусовый</x:v>
      </x:c>
      <x:c r="L563" s="28" t="str">
        <x:v>линалол, гераниол, 3-метилбутаналь, теафлавины, фенольные соединения</x:v>
      </x:c>
      <x:c r="M563" s="28" t="str">
        <x:v>1,8-цинеол, линалоол</x:v>
      </x:c>
      <x:c r="N563" s="28" t="str">
        <x:v>цветочный</x:v>
      </x:c>
      <x:c r="O563" s="28" t="str">
        <x:v>надежная общая ключевая молекула не подтверждена</x:v>
      </x:c>
      <x:c r="P563" s="28" t="str">
        <x:v>пересечение ароматических семейств</x:v>
      </x:c>
      <x:c r="Q563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563" s="28" t="str">
        <x:v>сухость и вяжущее ощущение из-за полифенолов</x:v>
      </x:c>
      <x:c r="S563" s="28" t="str">
        <x:v>водный настой с полифенолами и кофеином; молочные белки могут связывать танины</x:v>
      </x:c>
      <x:c r="T563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563" s="28" t="str">
        <x:v>Чёрный чай имеет профиль «мальтовый, цветочный, фруктовый, древесный и слегка дымный». Партнёр «кардамон» относится к группе «Специи» и даёт камфорный, цветочный, цитрусовый. Профили пересекаются в семействах: цветочный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V563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W563" s="28" t="str">
        <x:v>ваниль, апельсин или мёд</x:v>
      </x:c>
      <x:c r="X563" s="28" t="str">
        <x:v>чайный настой, холодный чай, кордиал, молочный пунш, десерт или соус с кардамон</x:v>
      </x:c>
      <x:c r="Y563" s="28" t="str">
        <x:v>напитки</x:v>
      </x:c>
      <x:c r="Z563" s="28" t="str">
        <x:v>Средняя</x:v>
      </x:c>
      <x:c r="AA563" s="28" t="str">
        <x:v>The Art &amp; Science of Foodpairing.pdf</x:v>
      </x:c>
      <x:c r="AB563" s="28" t="str">
        <x:v>The Art &amp; Science of Foodpairing.pdf: 256</x:v>
      </x:c>
      <x:c r="AC563" s="28" t="str">
        <x:v>Пара встречается как grid; научное объяснение сформировано по ароматическому профилю и пищевой матрице.</x:v>
      </x:c>
      <x:c r="AD563" s="28" t="n">
        <x:v>1</x:v>
      </x:c>
      <x:c r="AE563" s="28" t="n">
        <x:v>1</x:v>
      </x:c>
      <x:c r="AF563" s="28" t="n">
        <x:f>IF(Z563="Высокая",3,IF(Z563="Средняя",2,1))+AD563*2+MIN(AE563,3)</x:f>
        <x:v>5</x:v>
      </x:c>
    </x:row>
    <x:row r="564" ht="62" customHeight="1">
      <x:c r="A564" s="28" t="str">
        <x:v>NCT-0563</x:v>
      </x:c>
      <x:c r="B564" s="28" t="str">
        <x:v>чёрный чай</x:v>
      </x:c>
      <x:c r="C564" s="28" t="str">
        <x:v>Еда и соусы</x:v>
      </x:c>
      <x:c r="D564" s="28" t="str">
        <x:v>чёрный чай</x:v>
      </x:c>
      <x:c r="E564" s="28" t="str">
        <x:v>Darjeeling tea | black tea</x:v>
      </x:c>
      <x:c r="F564" s="28" t="str">
        <x:v>Чай</x:v>
      </x:c>
      <x:c r="G564" s="28" t="str">
        <x:v>картофель фри</x:v>
      </x:c>
      <x:c r="H564" s="28" t="str">
        <x:v>French fries</x:v>
      </x:c>
      <x:c r="I564" s="28" t="str">
        <x:v>Овощи, бобовые и грибы</x:v>
      </x:c>
      <x:c r="J564" s="28" t="str">
        <x:v>мальтовый, цветочный, фруктовый, древесный и слегка дымный</x:v>
      </x:c>
      <x:c r="K564" s="28" t="str">
        <x:v>зелёный, землистый или умами</x:v>
      </x:c>
      <x:c r="L564" s="28" t="str">
        <x:v>линалол, гераниол, 3-метилбутаналь, теафлавины, фенольные соединения</x:v>
      </x:c>
      <x:c r="M564" s="28" t="str">
        <x:v>альдегиды, сернистые соединения</x:v>
      </x:c>
      <x:c r="N564" s="28" t="str">
        <x:v>прямое пересечение семейств не является единственным объяснением</x:v>
      </x:c>
      <x:c r="O564" s="28" t="str">
        <x:v>надежная общая ключевая молекула не подтверждена</x:v>
      </x:c>
      <x:c r="P564" s="28" t="str">
        <x:v>сенсорная комплементарность</x:v>
      </x:c>
      <x:c r="Q564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564" s="28" t="str">
        <x:v>сухость и вяжущее ощущение из-за полифенолов</x:v>
      </x:c>
      <x:c r="S564" s="28" t="str">
        <x:v>водный настой с полифенолами и кофеином; молочные белки могут связывать танины</x:v>
      </x:c>
      <x:c r="T564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564" s="28" t="str">
        <x:v>Чёрный чай имеет профиль «мальтовый, цветочный, фруктовый, древесный и слегка дымный». Партнёр «картофель фри» относится к группе «Овощи, бобовые и грибы» и даёт зелёный, землистый или умами.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564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W564" s="28" t="str">
        <x:v>соль, ваниль или карамель</x:v>
      </x:c>
      <x:c r="X564" s="28" t="str">
        <x:v>чайный настой, холодный чай, кордиал, молочный пунш, десерт или соус с картофель фри</x:v>
      </x:c>
      <x:c r="Y564" s="28" t="str">
        <x:v>напитки, еда, соусы/маринады</x:v>
      </x:c>
      <x:c r="Z564" s="28" t="str">
        <x:v>Средняя</x:v>
      </x:c>
      <x:c r="AA564" s="28" t="str">
        <x:v>The Art &amp; Science of Foodpairing.pdf</x:v>
      </x:c>
      <x:c r="AB564" s="28" t="str">
        <x:v>The Art &amp; Science of Foodpairing.pdf: 196</x:v>
      </x:c>
      <x:c r="AC564" s="28" t="str">
        <x:v>Пара встречается как grid; научное объяснение сформировано по ароматическому профилю и пищевой матрице.</x:v>
      </x:c>
      <x:c r="AD564" s="28" t="n">
        <x:v>1</x:v>
      </x:c>
      <x:c r="AE564" s="28" t="n">
        <x:v>2</x:v>
      </x:c>
      <x:c r="AF564" s="28" t="n">
        <x:f>IF(Z564="Высокая",3,IF(Z564="Средняя",2,1))+AD564*2+MIN(AE564,3)</x:f>
        <x:v>6</x:v>
      </x:c>
    </x:row>
    <x:row r="565" ht="62" customHeight="1">
      <x:c r="A565" s="28" t="str">
        <x:v>NCT-0564</x:v>
      </x:c>
      <x:c r="B565" s="28" t="str">
        <x:v>чёрный чай</x:v>
      </x:c>
      <x:c r="C565" s="28" t="str">
        <x:v>Универсальные</x:v>
      </x:c>
      <x:c r="D565" s="28" t="str">
        <x:v>чёрный чай</x:v>
      </x:c>
      <x:c r="E565" s="28" t="str">
        <x:v>Darjeeling tea</x:v>
      </x:c>
      <x:c r="F565" s="28" t="str">
        <x:v>Чай</x:v>
      </x:c>
      <x:c r="G565" s="28" t="str">
        <x:v>кокос</x:v>
      </x:c>
      <x:c r="H565" s="28" t="str">
        <x:v>coconut</x:v>
      </x:c>
      <x:c r="I565" s="28" t="str">
        <x:v>Прочее</x:v>
      </x:c>
      <x:c r="J565" s="28" t="str">
        <x:v>мальтовый, цветочный, фруктовый, древесный и слегка дымный</x:v>
      </x:c>
      <x:c r="K565" s="28" t="str">
        <x:v>лактонный, сливочный</x:v>
      </x:c>
      <x:c r="L565" s="28" t="str">
        <x:v>линалол, гераниол, 3-метилбутаналь, теафлавины, фенольные соединения</x:v>
      </x:c>
      <x:c r="M565" s="28" t="str">
        <x:v>лактоны</x:v>
      </x:c>
      <x:c r="N565" s="28" t="str">
        <x:v>прямое пересечение семейств не является единственным объяснением</x:v>
      </x:c>
      <x:c r="O565" s="28" t="str">
        <x:v>надежная общая ключевая молекула не подтверждена</x:v>
      </x:c>
      <x:c r="P565" s="28" t="str">
        <x:v>сенсорная комплементарность</x:v>
      </x:c>
      <x:c r="Q565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565" s="28" t="str">
        <x:v>сухость и вяжущее ощущение из-за полифенолов</x:v>
      </x:c>
      <x:c r="S565" s="28" t="str">
        <x:v>водный настой с полифенолами и кофеином; молочные белки могут связывать танины</x:v>
      </x:c>
      <x:c r="T565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565" s="28" t="str">
        <x:v>Чёрный чай имеет профиль «мальтовый, цветочный, фруктовый, древесный и слегка дымный». Партнёр «кокос» относится к группе «Прочее» и даёт лактонный, сливочный.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565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W565" s="28" t="str">
        <x:v>соль, ваниль или карамель</x:v>
      </x:c>
      <x:c r="X565" s="28" t="str">
        <x:v>чайный настой, холодный чай, кордиал, молочный пунш, десерт или соус с кокос</x:v>
      </x:c>
      <x:c r="Y565" s="28" t="str">
        <x:v>напитки</x:v>
      </x:c>
      <x:c r="Z565" s="28" t="str">
        <x:v>Средняя</x:v>
      </x:c>
      <x:c r="AA565" s="28" t="str">
        <x:v>The Art &amp; Science of Foodpairing.pdf</x:v>
      </x:c>
      <x:c r="AB565" s="28" t="str">
        <x:v>The Art &amp; Science of Foodpairing.pdf: 135</x:v>
      </x:c>
      <x:c r="AC565" s="28" t="str">
        <x:v>Пара встречается как grid; научное объяснение сформировано по ароматическому профилю и пищевой матрице.</x:v>
      </x:c>
      <x:c r="AD565" s="28" t="n">
        <x:v>1</x:v>
      </x:c>
      <x:c r="AE565" s="28" t="n">
        <x:v>1</x:v>
      </x:c>
      <x:c r="AF565" s="28" t="n">
        <x:f>IF(Z565="Высокая",3,IF(Z565="Средняя",2,1))+AD565*2+MIN(AE565,3)</x:f>
        <x:v>5</x:v>
      </x:c>
    </x:row>
    <x:row r="566" ht="62" customHeight="1">
      <x:c r="A566" s="28" t="str">
        <x:v>NCT-0565</x:v>
      </x:c>
      <x:c r="B566" s="28" t="str">
        <x:v>чёрный чай</x:v>
      </x:c>
      <x:c r="C566" s="28" t="str">
        <x:v>Десерты и выпечка</x:v>
      </x:c>
      <x:c r="D566" s="28" t="str">
        <x:v>чёрный чай</x:v>
      </x:c>
      <x:c r="E566" s="28" t="str">
        <x:v>Darjeeling tea</x:v>
      </x:c>
      <x:c r="F566" s="28" t="str">
        <x:v>Чай</x:v>
      </x:c>
      <x:c r="G566" s="28" t="str">
        <x:v>манго</x:v>
      </x:c>
      <x:c r="H566" s="28" t="str">
        <x:v>mango</x:v>
      </x:c>
      <x:c r="I566" s="28" t="str">
        <x:v>Фрукты и ягоды</x:v>
      </x:c>
      <x:c r="J566" s="28" t="str">
        <x:v>мальтовый, цветочный, фруктовый, древесный и слегка дымный</x:v>
      </x:c>
      <x:c r="K566" s="28" t="str">
        <x:v>фруктовый, цветочный и свежий</x:v>
      </x:c>
      <x:c r="L566" s="28" t="str">
        <x:v>линалол, гераниол, 3-метилбутаналь, теафлавины, фенольные соединения</x:v>
      </x:c>
      <x:c r="M566" s="28" t="str">
        <x:v>альдегиды, эфиры</x:v>
      </x:c>
      <x:c r="N566" s="28" t="str">
        <x:v>цветочный</x:v>
      </x:c>
      <x:c r="O566" s="28" t="str">
        <x:v>надежная общая ключевая молекула не подтверждена</x:v>
      </x:c>
      <x:c r="P566" s="28" t="str">
        <x:v>пересечение ароматических семейств, контраст кислоты и жирной/горькой матрицы</x:v>
      </x:c>
      <x:c r="Q566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566" s="28" t="str">
        <x:v>сухость и вяжущее ощущение из-за полифенолов</x:v>
      </x:c>
      <x:c r="S566" s="28" t="str">
        <x:v>водный настой с полифенолами и кофеином; молочные белки могут связывать танины Водная фруктовая фаза требует эмульсии или мелкого измельчения, если орех или шоколад вводится как паста.</x:v>
      </x:c>
      <x:c r="T566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566" s="28" t="str">
        <x:v>Чёрный чай имеет профиль «мальтовый, цветочный, фруктовый, древесный и слегка дымный». Партнёр «манго»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V566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W566" s="28" t="str">
        <x:v>ваниль, цитрус или молочный жир</x:v>
      </x:c>
      <x:c r="X566" s="28" t="str">
        <x:v>чайный настой, холодный чай, кордиал, молочный пунш, десерт или соус с манго</x:v>
      </x:c>
      <x:c r="Y566" s="28" t="str">
        <x:v>напитки, десерты</x:v>
      </x:c>
      <x:c r="Z566" s="28" t="str">
        <x:v>Средняя</x:v>
      </x:c>
      <x:c r="AA566" s="28" t="str">
        <x:v>The Art &amp; Science of Foodpairing.pdf</x:v>
      </x:c>
      <x:c r="AB566" s="28" t="str">
        <x:v>The Art &amp; Science of Foodpairing.pdf: 312</x:v>
      </x:c>
      <x:c r="AC566" s="28" t="str">
        <x:v>Пара встречается как grid; научное объяснение сформировано по ароматическому профилю и пищевой матрице.</x:v>
      </x:c>
      <x:c r="AD566" s="28" t="n">
        <x:v>1</x:v>
      </x:c>
      <x:c r="AE566" s="28" t="n">
        <x:v>1</x:v>
      </x:c>
      <x:c r="AF566" s="28" t="n">
        <x:f>IF(Z566="Высокая",3,IF(Z566="Средняя",2,1))+AD566*2+MIN(AE566,3)</x:f>
        <x:v>5</x:v>
      </x:c>
    </x:row>
    <x:row r="567" ht="62" customHeight="1">
      <x:c r="A567" s="28" t="str">
        <x:v>NCT-0566</x:v>
      </x:c>
      <x:c r="B567" s="28" t="str">
        <x:v>чёрный чай</x:v>
      </x:c>
      <x:c r="C567" s="28" t="str">
        <x:v>Универсальные</x:v>
      </x:c>
      <x:c r="D567" s="28" t="str">
        <x:v>чёрный чай</x:v>
      </x:c>
      <x:c r="E567" s="28" t="str">
        <x:v>black tea</x:v>
      </x:c>
      <x:c r="F567" s="28" t="str">
        <x:v>Чай</x:v>
      </x:c>
      <x:c r="G567" s="28" t="str">
        <x:v>маниок</x:v>
      </x:c>
      <x:c r="H567" s="28" t="str">
        <x:v>cassava</x:v>
      </x:c>
      <x:c r="I567" s="28" t="str">
        <x:v>Прочее</x:v>
      </x:c>
      <x:c r="J567" s="28" t="str">
        <x:v>мальтовый, цветочный, фруктовый, древесный и слегка дымный</x:v>
      </x:c>
      <x:c r="K567" s="28" t="str">
        <x:v>профиль зависит от конкретного продукта</x:v>
      </x:c>
      <x:c r="L567" s="28" t="str">
        <x:v>линалол, гераниол, 3-метилбутаналь, теафлавины, фенольные соединения</x:v>
      </x:c>
      <x:c r="M567" s="28" t="str">
        <x:v>характерный профиль зависит от конкретного продукта</x:v>
      </x:c>
      <x:c r="N567" s="28" t="str">
        <x:v>прямое пересечение семейств не является единственным объяснением</x:v>
      </x:c>
      <x:c r="O567" s="28" t="str">
        <x:v>надежная общая ключевая молекула не подтверждена</x:v>
      </x:c>
      <x:c r="P567" s="28" t="str">
        <x:v>сенсорная комплементарность</x:v>
      </x:c>
      <x:c r="Q567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567" s="28" t="str">
        <x:v>сухость и вяжущее ощущение из-за полифенолов</x:v>
      </x:c>
      <x:c r="S567" s="28" t="str">
        <x:v>водный настой с полифенолами и кофеином; молочные белки могут связывать танины</x:v>
      </x:c>
      <x:c r="T567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567" s="28" t="str">
        <x:v>Чёрный чай имеет профиль «мальтовый, цветочный, фруктовый, древесный и слегка дымный». Партнёр «маниок» относится к группе «Прочее» и даёт профиль зависит от конкретного продукта.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567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W567" s="28" t="str">
        <x:v>соль, ваниль или карамель</x:v>
      </x:c>
      <x:c r="X567" s="28" t="str">
        <x:v>чайный настой, холодный чай, кордиал, молочный пунш, десерт или соус с маниок</x:v>
      </x:c>
      <x:c r="Y567" s="28" t="str">
        <x:v>напитки</x:v>
      </x:c>
      <x:c r="Z567" s="28" t="str">
        <x:v>Средняя</x:v>
      </x:c>
      <x:c r="AA567" s="28" t="str">
        <x:v>The Art &amp; Science of Foodpairing.pdf</x:v>
      </x:c>
      <x:c r="AB567" s="28" t="str">
        <x:v>The Art &amp; Science of Foodpairing.pdf: 251</x:v>
      </x:c>
      <x:c r="AC567" s="28" t="str">
        <x:v>Пара встречается как grid; научное объяснение сформировано по ароматическому профилю и пищевой матрице.</x:v>
      </x:c>
      <x:c r="AD567" s="28" t="n">
        <x:v>1</x:v>
      </x:c>
      <x:c r="AE567" s="28" t="n">
        <x:v>1</x:v>
      </x:c>
      <x:c r="AF567" s="28" t="n">
        <x:f>IF(Z567="Высокая",3,IF(Z567="Средняя",2,1))+AD567*2+MIN(AE567,3)</x:f>
        <x:v>5</x:v>
      </x:c>
    </x:row>
    <x:row r="568" ht="62" customHeight="1">
      <x:c r="A568" s="28" t="str">
        <x:v>NCT-0567</x:v>
      </x:c>
      <x:c r="B568" s="28" t="str">
        <x:v>чёрный чай</x:v>
      </x:c>
      <x:c r="C568" s="28" t="str">
        <x:v>Универсальные</x:v>
      </x:c>
      <x:c r="D568" s="28" t="str">
        <x:v>чёрный чай</x:v>
      </x:c>
      <x:c r="E568" s="28" t="str">
        <x:v>black tea</x:v>
      </x:c>
      <x:c r="F568" s="28" t="str">
        <x:v>Чай</x:v>
      </x:c>
      <x:c r="G568" s="28" t="str">
        <x:v>оливковое масло</x:v>
      </x:c>
      <x:c r="H568" s="28" t="str">
        <x:v>olive oil</x:v>
      </x:c>
      <x:c r="I568" s="28" t="str">
        <x:v>Масла и жиры</x:v>
      </x:c>
      <x:c r="J568" s="28" t="str">
        <x:v>мальтовый, цветочный, фруктовый, древесный и слегка дымный</x:v>
      </x:c>
      <x:c r="K568" s="28" t="str">
        <x:v>жирный и мягкий</x:v>
      </x:c>
      <x:c r="L568" s="28" t="str">
        <x:v>линалол, гераниол, 3-метилбутаналь, теафлавины, фенольные соединения</x:v>
      </x:c>
      <x:c r="M568" s="28" t="str">
        <x:v>альдегиды, лактоны</x:v>
      </x:c>
      <x:c r="N568" s="28" t="str">
        <x:v>прямое пересечение семейств не является единственным объяснением</x:v>
      </x:c>
      <x:c r="O568" s="28" t="str">
        <x:v>надежная общая ключевая молекула не подтверждена</x:v>
      </x:c>
      <x:c r="P568" s="28" t="str">
        <x:v>сенсорная комплементарность</x:v>
      </x:c>
      <x:c r="Q568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568" s="28" t="str">
        <x:v>сухость и вяжущее ощущение из-за полифенолов</x:v>
      </x:c>
      <x:c r="S568" s="28" t="str">
        <x:v>водный настой с полифенолами и кофеином; молочные белки могут связывать танины</x:v>
      </x:c>
      <x:c r="T568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568" s="28" t="str">
        <x:v>Чёрный чай имеет профиль «мальтовый, цветочный, фруктовый, древесный и слегка дымный». Партнёр «оливковое масло» относится к группе «Масла и жиры» и даёт жирный и мягкий.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V568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W568" s="28" t="str">
        <x:v>соль, ваниль или карамель</x:v>
      </x:c>
      <x:c r="X568" s="28" t="str">
        <x:v>чайный настой, холодный чай, кордиал, молочный пунш, десерт или соус с оливковое масло</x:v>
      </x:c>
      <x:c r="Y568" s="28" t="str">
        <x:v>напитки</x:v>
      </x:c>
      <x:c r="Z568" s="28" t="str">
        <x:v>Средняя</x:v>
      </x:c>
      <x:c r="AA568" s="28" t="str">
        <x:v>The Art &amp; Science of Foodpairing.pdf</x:v>
      </x:c>
      <x:c r="AB568" s="28" t="str">
        <x:v>The Art &amp; Science of Foodpairing.pdf: 172</x:v>
      </x:c>
      <x:c r="AC568" s="28" t="str">
        <x:v>Пара встречается как grid; научное объяснение сформировано по ароматическому профилю и пищевой матрице.</x:v>
      </x:c>
      <x:c r="AD568" s="28" t="n">
        <x:v>1</x:v>
      </x:c>
      <x:c r="AE568" s="28" t="n">
        <x:v>1</x:v>
      </x:c>
      <x:c r="AF568" s="28" t="n">
        <x:f>IF(Z568="Высокая",3,IF(Z568="Средняя",2,1))+AD568*2+MIN(AE568,3)</x:f>
        <x:v>5</x:v>
      </x:c>
    </x:row>
    <x:row r="569" ht="62" customHeight="1">
      <x:c r="A569" s="28" t="str">
        <x:v>NCT-0568</x:v>
      </x:c>
      <x:c r="B569" s="28" t="str">
        <x:v>чёрный чай</x:v>
      </x:c>
      <x:c r="C569" s="28" t="str">
        <x:v>Универсальные</x:v>
      </x:c>
      <x:c r="D569" s="28" t="str">
        <x:v>чёрный чай</x:v>
      </x:c>
      <x:c r="E569" s="28" t="str">
        <x:v>lapsang souchong tea</x:v>
      </x:c>
      <x:c r="F569" s="28" t="str">
        <x:v>Чай</x:v>
      </x:c>
      <x:c r="G569" s="28" t="str">
        <x:v>цветы бузины</x:v>
      </x:c>
      <x:c r="H569" s="28" t="str">
        <x:v>elderflower blossom</x:v>
      </x:c>
      <x:c r="I569" s="28" t="str">
        <x:v>Травы, цветы и листья</x:v>
      </x:c>
      <x:c r="J569" s="28" t="str">
        <x:v>мальтовый, цветочный, фруктовый, древесный и слегка дымный</x:v>
      </x:c>
      <x:c r="K569" s="28" t="str">
        <x:v>зелёный, цветочный и терпеновый</x:v>
      </x:c>
      <x:c r="L569" s="28" t="str">
        <x:v>линалол, гераниол, 3-метилбутаналь, теафлавины, фенольные соединения</x:v>
      </x:c>
      <x:c r="M569" s="28" t="str">
        <x:v>линалоол, терпены</x:v>
      </x:c>
      <x:c r="N569" s="28" t="str">
        <x:v>цветочный</x:v>
      </x:c>
      <x:c r="O569" s="28" t="str">
        <x:v>надежная общая ключевая молекула не подтверждена</x:v>
      </x:c>
      <x:c r="P569" s="28" t="str">
        <x:v>пересечение ароматических семейств</x:v>
      </x:c>
      <x:c r="Q569" s="28" t="str">
        <x:v>Терпкость и горечь чая требуют контроля: сладость и жир смягчают сухость, кислота подчёркивает свежесть, соль и умами добавляют глубину.</x:v>
      </x:c>
      <x:c r="R569" s="28" t="str">
        <x:v>сухость и вяжущее ощущение из-за полифенолов</x:v>
      </x:c>
      <x:c r="S569" s="28" t="str">
        <x:v>водный настой с полифенолами и кофеином; молочные белки могут связывать танины</x:v>
      </x:c>
      <x:c r="T569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U569" s="28" t="str">
        <x:v>Чёрный чай имеет профиль «мальтовый, цветочный, фруктовый, древесный и слегка дымный». Партнёр «цветы бузины» относится к группе «Травы, цветы и листья» и даёт зелёный, цветочный и терпеновый. Профили пересекаются в семействах: цветочный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V569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W569" s="28" t="str">
        <x:v>цитрус, мёд или сливки</x:v>
      </x:c>
      <x:c r="X569" s="28" t="str">
        <x:v>чайный настой, холодный чай, кордиал, молочный пунш, десерт или соус с цветы бузины</x:v>
      </x:c>
      <x:c r="Y569" s="28" t="str">
        <x:v>напитки</x:v>
      </x:c>
      <x:c r="Z569" s="28" t="str">
        <x:v>Высокая</x:v>
      </x:c>
      <x:c r="AA569" s="28" t="str">
        <x:v>The Art &amp; Science of Foodpairing.pdf</x:v>
      </x:c>
      <x:c r="AB569" s="28" t="str">
        <x:v>The Art &amp; Science of Foodpairing.pdf: 365</x:v>
      </x:c>
      <x:c r="AC569" s="28" t="str">
        <x:v>Пара встречается как potential; научное объяснение сформировано по ароматическому профилю и пищевой матрице.</x:v>
      </x:c>
      <x:c r="AD569" s="28" t="n">
        <x:v>1</x:v>
      </x:c>
      <x:c r="AE569" s="28" t="n">
        <x:v>1</x:v>
      </x:c>
      <x:c r="AF569" s="28" t="n">
        <x:f>IF(Z569="Высокая",3,IF(Z569="Средняя",2,1))+AD569*2+MIN(AE569,3)</x:f>
        <x:v>6</x:v>
      </x:c>
    </x:row>
    <x:row r="570" ht="62" customHeight="1">
      <x:c r="A570" s="28" t="str">
        <x:v>NCT-0569</x:v>
      </x:c>
      <x:c r="B570" s="28" t="str">
        <x:v>шоколад</x:v>
      </x:c>
      <x:c r="C570" s="28" t="str">
        <x:v>Универсальные</x:v>
      </x:c>
      <x:c r="D570" s="28" t="str">
        <x:v>шоколад</x:v>
      </x:c>
      <x:c r="E570" s="28" t="str">
        <x:v>chocolate</x:v>
      </x:c>
      <x:c r="F570" s="28" t="str">
        <x:v>Какао и шоколад</x:v>
      </x:c>
      <x:c r="G570" s="28" t="str">
        <x:v>arbequina extra-virgin olive oil</x:v>
      </x:c>
      <x:c r="H570" s="28" t="str">
        <x:v>Arbequina extra-virgin olive oil</x:v>
      </x:c>
      <x:c r="I570" s="28" t="str">
        <x:v>Масла и жиры</x:v>
      </x:c>
      <x:c r="J570" s="28" t="str">
        <x:v>жареный, какаовый, фруктовый, цветочный, древесный и пряный; профиль зависит от происхождения и обжарки</x:v>
      </x:c>
      <x:c r="K570" s="28" t="str">
        <x:v>жирный и мягкий</x:v>
      </x:c>
      <x:c r="L570" s="28" t="str">
        <x:v>пиразины, фураны, альдегиды, эфиры, теобромин</x:v>
      </x:c>
      <x:c r="M570" s="28" t="str">
        <x:v>альдегиды, лактоны</x:v>
      </x:c>
      <x:c r="N570" s="28" t="str">
        <x:v>фруктовый</x:v>
      </x:c>
      <x:c r="O570" s="28" t="str">
        <x:v>альдегиды</x:v>
      </x:c>
      <x:c r="P570" s="28" t="str">
        <x:v>общие ароматические соединения, пересечение ароматических семейств</x:v>
      </x:c>
      <x:c r="Q570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70" s="28" t="str">
        <x:v>мягкая терпкость; теобромин и кофеин усиливают горькое послевкусие</x:v>
      </x:c>
      <x:c r="S570" s="28" t="str">
        <x:v>какао-масло с частицами какао и сахаром; плавление во рту медленно высвобождает гидрофобные ароматы</x:v>
      </x:c>
      <x:c r="T57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7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«arbequina extra-virgin olive oil» относится к группе «Масла и жиры» и даёт жирный и мягкий. Молекулярный мост создают альдегиды Какао-масло медленно высвобождает липофильные ароматы, а сахар и соль изменяют воспринимаемую горечь. Итог: фруктовый; альдегиды.</x:v>
      </x:c>
      <x:c r="V570" s="28" t="str">
        <x:v>горечь и терпкость способны подавлять нежные продукты; содержит стимуляторы; аллергенные добавки возможны</x:v>
      </x:c>
      <x:c r="W570" s="28" t="str">
        <x:v>соль, ваниль или карамель</x:v>
      </x:c>
      <x:c r="X570" s="28" t="str">
        <x:v>ганаш, плитка, крем, мусс, напиток, глазурь или соус с arbequina extra-virgin olive oil</x:v>
      </x:c>
      <x:c r="Y570" s="28" t="str">
        <x:v>десерты</x:v>
      </x:c>
      <x:c r="Z570" s="28" t="str">
        <x:v>Средняя</x:v>
      </x:c>
      <x:c r="AA570" s="28" t="str">
        <x:v>The Art &amp; Science of Foodpairing.pdf</x:v>
      </x:c>
      <x:c r="AB570" s="28" t="str">
        <x:v>The Art &amp; Science of Foodpairing.pdf: 62</x:v>
      </x:c>
      <x:c r="AC570" s="28" t="str">
        <x:v>Пара встречается как grid; научное объяснение сформировано по ароматическому профилю и пищевой матрице.</x:v>
      </x:c>
      <x:c r="AD570" s="28" t="n">
        <x:v>1</x:v>
      </x:c>
      <x:c r="AE570" s="28" t="n">
        <x:v>1</x:v>
      </x:c>
      <x:c r="AF570" s="28" t="n">
        <x:f>IF(Z570="Высокая",3,IF(Z570="Средняя",2,1))+AD570*2+MIN(AE570,3)</x:f>
        <x:v>5</x:v>
      </x:c>
    </x:row>
    <x:row r="571" ht="62" customHeight="1">
      <x:c r="A571" s="28" t="str">
        <x:v>NCT-0570</x:v>
      </x:c>
      <x:c r="B571" s="28" t="str">
        <x:v>шоколад</x:v>
      </x:c>
      <x:c r="C571" s="28" t="str">
        <x:v>Еда и соусы</x:v>
      </x:c>
      <x:c r="D571" s="28" t="str">
        <x:v>шоколад</x:v>
      </x:c>
      <x:c r="E571" s="28" t="str">
        <x:v>dark chocolate</x:v>
      </x:c>
      <x:c r="F571" s="28" t="str">
        <x:v>Какао и шоколад</x:v>
      </x:c>
      <x:c r="G571" s="28" t="str">
        <x:v>bacon</x:v>
      </x:c>
      <x:c r="H571" s="28" t="str">
        <x:v>bacon</x:v>
      </x:c>
      <x:c r="I571" s="28" t="str">
        <x:v>Мясо и птица</x:v>
      </x:c>
      <x:c r="J571" s="28" t="str">
        <x:v>жареный, какаовый, фруктовый, цветочный, древесный и пряный; профиль зависит от происхождения и обжарки</x:v>
      </x:c>
      <x:c r="K571" s="28" t="str">
        <x:v>жареный, мясной и умами</x:v>
      </x:c>
      <x:c r="L571" s="28" t="str">
        <x:v>пиразины, фураны, альдегиды, эфиры, теобромин</x:v>
      </x:c>
      <x:c r="M571" s="28" t="str">
        <x:v>пиразины, сернистые соединения</x:v>
      </x:c>
      <x:c r="N571" s="28" t="str">
        <x:v>жареный</x:v>
      </x:c>
      <x:c r="O571" s="28" t="str">
        <x:v>пиразины</x:v>
      </x:c>
      <x:c r="P571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571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71" s="28" t="str">
        <x:v>мягкая терпкость; теобромин и кофеин усиливают горькое послевкусие</x:v>
      </x:c>
      <x:c r="S571" s="28" t="str">
        <x:v>какао-масло с частицами какао и сахаром; плавление во рту медленно высвобождает гидрофобные ароматы</x:v>
      </x:c>
      <x:c r="T57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7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«bacon»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V571" s="28" t="str">
        <x:v>горечь и терпкость способны подавлять нежные продукты; содержит стимуляторы; аллергенные добавки возможны</x:v>
      </x:c>
      <x:c r="W571" s="28" t="str">
        <x:v>соль, соевый соус, коричневое масло или специя</x:v>
      </x:c>
      <x:c r="X571" s="28" t="str">
        <x:v>ганаш, плитка, крем, мусс, напиток, глазурь или соус с bacon</x:v>
      </x:c>
      <x:c r="Y571" s="28" t="str">
        <x:v>еда, десерты, соусы/маринады</x:v>
      </x:c>
      <x:c r="Z571" s="28" t="str">
        <x:v>Высокая</x:v>
      </x:c>
      <x:c r="AA571" s="28" t="str">
        <x:v>The Art &amp; Science of Foodpairing.pdf</x:v>
      </x:c>
      <x:c r="AB571" s="28" t="str">
        <x:v>The Art &amp; Science of Foodpairing.pdf: 184</x:v>
      </x:c>
      <x:c r="AC571" s="28" t="str">
        <x:v>Пара встречается как potential; научное объяснение сформировано по ароматическому профилю и пищевой матрице.</x:v>
      </x:c>
      <x:c r="AD571" s="28" t="n">
        <x:v>1</x:v>
      </x:c>
      <x:c r="AE571" s="28" t="n">
        <x:v>1</x:v>
      </x:c>
      <x:c r="AF571" s="28" t="n">
        <x:f>IF(Z571="Высокая",3,IF(Z571="Средняя",2,1))+AD571*2+MIN(AE571,3)</x:f>
        <x:v>6</x:v>
      </x:c>
    </x:row>
    <x:row r="572" ht="62" customHeight="1">
      <x:c r="A572" s="28" t="str">
        <x:v>NCT-0571</x:v>
      </x:c>
      <x:c r="B572" s="28" t="str">
        <x:v>шоколад</x:v>
      </x:c>
      <x:c r="C572" s="28" t="str">
        <x:v>Еда и соусы</x:v>
      </x:c>
      <x:c r="D572" s="28" t="str">
        <x:v>шоколад</x:v>
      </x:c>
      <x:c r="E572" s="28" t="str">
        <x:v>dark chocolate</x:v>
      </x:c>
      <x:c r="F572" s="28" t="str">
        <x:v>Какао и шоколад</x:v>
      </x:c>
      <x:c r="G572" s="28" t="str">
        <x:v>baechu kimchi</x:v>
      </x:c>
      <x:c r="H572" s="28" t="str">
        <x:v>baechu kimchi</x:v>
      </x:c>
      <x:c r="I572" s="28" t="str">
        <x:v>Ферментированные продукты и соусы</x:v>
      </x:c>
      <x:c r="J572" s="28" t="str">
        <x:v>жареный, какаовый, фруктовый, цветочный, древесный и пряный; профиль зависит от происхождения и обжарки</x:v>
      </x:c>
      <x:c r="K572" s="28" t="str">
        <x:v>ферментированный, умами и сложный</x:v>
      </x:c>
      <x:c r="L572" s="28" t="str">
        <x:v>пиразины, фураны, альдегиды, эфиры, теобромин</x:v>
      </x:c>
      <x:c r="M572" s="28" t="str">
        <x:v>пиразины, фураны, эфиры</x:v>
      </x:c>
      <x:c r="N572" s="28" t="str">
        <x:v>жареный</x:v>
      </x:c>
      <x:c r="O572" s="28" t="str">
        <x:v>пиразины, фураны, эфиры</x:v>
      </x:c>
      <x:c r="P572" s="28" t="str">
        <x:v>общие ароматические соединения, пересечение ароматических семейств, солёно-умами контраст</x:v>
      </x:c>
      <x:c r="Q572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72" s="28" t="str">
        <x:v>мягкая терпкость; теобромин и кофеин усиливают горькое послевкусие</x:v>
      </x:c>
      <x:c r="S572" s="28" t="str">
        <x:v>какао-масло с частицами какао и сахаром; плавление во рту медленно высвобождает гидрофобные ароматы</x:v>
      </x:c>
      <x:c r="T57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7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«baechu kimchi» относится к группе «Ферментированные продукты и соусы» и даёт ферментированный, умами и сложный. Молекулярный мост создают пиразины, фураны, эфиры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пиразины, фураны, эфиры.</x:v>
      </x:c>
      <x:c r="V572" s="28" t="str">
        <x:v>горечь и терпкость способны подавлять нежные продукты; содержит стимуляторы; аллергенные добавки возможны</x:v>
      </x:c>
      <x:c r="W572" s="28" t="str">
        <x:v>карамелизированный лук, грибы или сливочное масло</x:v>
      </x:c>
      <x:c r="X572" s="28" t="str">
        <x:v>ганаш, плитка, крем, мусс, напиток, глазурь или соус с baechu kimchi</x:v>
      </x:c>
      <x:c r="Y572" s="28" t="str">
        <x:v>еда, десерты, соусы/маринады</x:v>
      </x:c>
      <x:c r="Z572" s="28" t="str">
        <x:v>Средняя</x:v>
      </x:c>
      <x:c r="AA572" s="28" t="str">
        <x:v>The Art &amp; Science of Foodpairing.pdf</x:v>
      </x:c>
      <x:c r="AB572" s="28" t="str">
        <x:v>The Art &amp; Science of Foodpairing.pdf: 305</x:v>
      </x:c>
      <x:c r="AC572" s="28" t="str">
        <x:v>Пара встречается как grid; научное объяснение сформировано по ароматическому профилю и пищевой матрице.</x:v>
      </x:c>
      <x:c r="AD572" s="28" t="n">
        <x:v>1</x:v>
      </x:c>
      <x:c r="AE572" s="28" t="n">
        <x:v>1</x:v>
      </x:c>
      <x:c r="AF572" s="28" t="n">
        <x:f>IF(Z572="Высокая",3,IF(Z572="Средняя",2,1))+AD572*2+MIN(AE572,3)</x:f>
        <x:v>5</x:v>
      </x:c>
    </x:row>
    <x:row r="573" ht="62" customHeight="1">
      <x:c r="A573" s="28" t="str">
        <x:v>NCT-0572</x:v>
      </x:c>
      <x:c r="B573" s="28" t="str">
        <x:v>шоколад</x:v>
      </x:c>
      <x:c r="C573" s="28" t="str">
        <x:v>Еда и соусы</x:v>
      </x:c>
      <x:c r="D573" s="28" t="str">
        <x:v>шоколад</x:v>
      </x:c>
      <x:c r="E573" s="28" t="str">
        <x:v>chocolate</x:v>
      </x:c>
      <x:c r="F573" s="28" t="str">
        <x:v>Какао и шоколад</x:v>
      </x:c>
      <x:c r="G573" s="28" t="str">
        <x:v>bayonne ham</x:v>
      </x:c>
      <x:c r="H573" s="28" t="str">
        <x:v>Bayonne ham</x:v>
      </x:c>
      <x:c r="I573" s="28" t="str">
        <x:v>Мясо и птица</x:v>
      </x:c>
      <x:c r="J573" s="28" t="str">
        <x:v>жареный, какаовый, фруктовый, цветочный, древесный и пряный; профиль зависит от происхождения и обжарки</x:v>
      </x:c>
      <x:c r="K573" s="28" t="str">
        <x:v>жареный, мясной и умами</x:v>
      </x:c>
      <x:c r="L573" s="28" t="str">
        <x:v>пиразины, фураны, альдегиды, эфиры, теобромин</x:v>
      </x:c>
      <x:c r="M573" s="28" t="str">
        <x:v>пиразины, сернистые соединения</x:v>
      </x:c>
      <x:c r="N573" s="28" t="str">
        <x:v>жареный</x:v>
      </x:c>
      <x:c r="O573" s="28" t="str">
        <x:v>пиразины</x:v>
      </x:c>
      <x:c r="P573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573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73" s="28" t="str">
        <x:v>мягкая терпкость; теобромин и кофеин усиливают горькое послевкусие</x:v>
      </x:c>
      <x:c r="S573" s="28" t="str">
        <x:v>какао-масло с частицами какао и сахаром; плавление во рту медленно высвобождает гидрофобные ароматы</x:v>
      </x:c>
      <x:c r="T57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7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«bayonne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V573" s="28" t="str">
        <x:v>горечь и терпкость способны подавлять нежные продукты; содержит стимуляторы; аллергенные добавки возможны</x:v>
      </x:c>
      <x:c r="W573" s="28" t="str">
        <x:v>соль, соевый соус, коричневое масло или специя</x:v>
      </x:c>
      <x:c r="X573" s="28" t="str">
        <x:v>ганаш, плитка, крем, мусс, напиток, глазурь или соус с bayonne ham</x:v>
      </x:c>
      <x:c r="Y573" s="28" t="str">
        <x:v>еда, десерты, соусы/маринады</x:v>
      </x:c>
      <x:c r="Z573" s="28" t="str">
        <x:v>Средняя</x:v>
      </x:c>
      <x:c r="AA573" s="28" t="str">
        <x:v>The Art &amp; Science of Foodpairing.pdf</x:v>
      </x:c>
      <x:c r="AB573" s="28" t="str">
        <x:v>The Art &amp; Science of Foodpairing.pdf: 62</x:v>
      </x:c>
      <x:c r="AC573" s="28" t="str">
        <x:v>Пара встречается как grid; научное объяснение сформировано по ароматическому профилю и пищевой матрице.</x:v>
      </x:c>
      <x:c r="AD573" s="28" t="n">
        <x:v>1</x:v>
      </x:c>
      <x:c r="AE573" s="28" t="n">
        <x:v>1</x:v>
      </x:c>
      <x:c r="AF573" s="28" t="n">
        <x:f>IF(Z573="Высокая",3,IF(Z573="Средняя",2,1))+AD573*2+MIN(AE573,3)</x:f>
        <x:v>5</x:v>
      </x:c>
    </x:row>
    <x:row r="574" ht="62" customHeight="1">
      <x:c r="A574" s="28" t="str">
        <x:v>NCT-0573</x:v>
      </x:c>
      <x:c r="B574" s="28" t="str">
        <x:v>шоколад</x:v>
      </x:c>
      <x:c r="C574" s="28" t="str">
        <x:v>Еда и соусы</x:v>
      </x:c>
      <x:c r="D574" s="28" t="str">
        <x:v>шоколад</x:v>
      </x:c>
      <x:c r="E574" s="28" t="str">
        <x:v>chocolate</x:v>
      </x:c>
      <x:c r="F574" s="28" t="str">
        <x:v>Какао и шоколад</x:v>
      </x:c>
      <x:c r="G574" s="28" t="str">
        <x:v>black garlic</x:v>
      </x:c>
      <x:c r="H574" s="28" t="str">
        <x:v>black garlic</x:v>
      </x:c>
      <x:c r="I574" s="28" t="str">
        <x:v>Овощи, бобовые и грибы</x:v>
      </x:c>
      <x:c r="J574" s="28" t="str">
        <x:v>жареный, какаовый, фруктовый, цветочный, древесный и пряный; профиль зависит от происхождения и обжарки</x:v>
      </x:c>
      <x:c r="K574" s="28" t="str">
        <x:v>зелёный, землистый или умами</x:v>
      </x:c>
      <x:c r="L574" s="28" t="str">
        <x:v>пиразины, фураны, альдегиды, эфиры, теобромин</x:v>
      </x:c>
      <x:c r="M574" s="28" t="str">
        <x:v>альдегиды, сернистые соединения</x:v>
      </x:c>
      <x:c r="N574" s="28" t="str">
        <x:v>прямое пересечение семейств не является единственным объяснением</x:v>
      </x:c>
      <x:c r="O574" s="28" t="str">
        <x:v>альдегиды</x:v>
      </x:c>
      <x:c r="P574" s="28" t="str">
        <x:v>общие ароматические соединения</x:v>
      </x:c>
      <x:c r="Q574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74" s="28" t="str">
        <x:v>мягкая терпкость; теобромин и кофеин усиливают горькое послевкусие</x:v>
      </x:c>
      <x:c r="S574" s="28" t="str">
        <x:v>какао-масло с частицами какао и сахаром; плавление во рту медленно высвобождает гидрофобные ароматы</x:v>
      </x:c>
      <x:c r="T57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7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«black garlic»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V574" s="28" t="str">
        <x:v>горечь и терпкость способны подавлять нежные продукты; содержит стимуляторы; аллергенные добавки возможны</x:v>
      </x:c>
      <x:c r="W574" s="28" t="str">
        <x:v>соль, ваниль или карамель</x:v>
      </x:c>
      <x:c r="X574" s="28" t="str">
        <x:v>ганаш, плитка, крем, мусс, напиток, глазурь или соус с black garlic</x:v>
      </x:c>
      <x:c r="Y574" s="28" t="str">
        <x:v>еда, десерты, соусы/маринады</x:v>
      </x:c>
      <x:c r="Z574" s="28" t="str">
        <x:v>Высокая</x:v>
      </x:c>
      <x:c r="AA574" s="28" t="str">
        <x:v>The Art &amp; Science of Foodpairing.pdf</x:v>
      </x:c>
      <x:c r="AB574" s="28" t="str">
        <x:v>The Art &amp; Science of Foodpairing.pdf: 113</x:v>
      </x:c>
      <x:c r="AC574" s="28" t="str">
        <x:v>Пара встречается как potential; научное объяснение сформировано по ароматическому профилю и пищевой матрице.</x:v>
      </x:c>
      <x:c r="AD574" s="28" t="n">
        <x:v>1</x:v>
      </x:c>
      <x:c r="AE574" s="28" t="n">
        <x:v>1</x:v>
      </x:c>
      <x:c r="AF574" s="28" t="n">
        <x:f>IF(Z574="Высокая",3,IF(Z574="Средняя",2,1))+AD574*2+MIN(AE574,3)</x:f>
        <x:v>6</x:v>
      </x:c>
    </x:row>
    <x:row r="575" ht="62" customHeight="1">
      <x:c r="A575" s="28" t="str">
        <x:v>NCT-0574</x:v>
      </x:c>
      <x:c r="B575" s="28" t="str">
        <x:v>шоколад</x:v>
      </x:c>
      <x:c r="C575" s="28" t="str">
        <x:v>Универсальные</x:v>
      </x:c>
      <x:c r="D575" s="28" t="str">
        <x:v>шоколад</x:v>
      </x:c>
      <x:c r="E575" s="28" t="str">
        <x:v>chocolate | cocoa powder</x:v>
      </x:c>
      <x:c r="F575" s="28" t="str">
        <x:v>Какао и шоколад</x:v>
      </x:c>
      <x:c r="G575" s="28" t="str">
        <x:v>blue cheese</x:v>
      </x:c>
      <x:c r="H575" s="28" t="str">
        <x:v>blue cheese</x:v>
      </x:c>
      <x:c r="I575" s="28" t="str">
        <x:v>Молочные продукты и сыры</x:v>
      </x:c>
      <x:c r="J575" s="28" t="str">
        <x:v>жареный, какаовый, фруктовый, цветочный, древесный и пряный; профиль зависит от происхождения и обжарки</x:v>
      </x:c>
      <x:c r="K575" s="28" t="str">
        <x:v>молочный, сливочный и ферментированный</x:v>
      </x:c>
      <x:c r="L575" s="28" t="str">
        <x:v>пиразины, фураны, альдегиды, эфиры, теобромин</x:v>
      </x:c>
      <x:c r="M575" s="28" t="str">
        <x:v>диацетил, жирные кислоты, лактоны</x:v>
      </x:c>
      <x:c r="N575" s="28" t="str">
        <x:v>прямое пересечение семейств не является единственным объяснением</x:v>
      </x:c>
      <x:c r="O575" s="28" t="str">
        <x:v>надежная общая ключевая молекула не подтверждена</x:v>
      </x:c>
      <x:c r="P575" s="28" t="str">
        <x:v>жировая экстракция и связывание полифенолов белком</x:v>
      </x:c>
      <x:c r="Q575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75" s="28" t="str">
        <x:v>мягкая терпкость; теобромин и кофеин усиливают горькое послевкусие</x:v>
      </x:c>
      <x:c r="S575" s="28" t="str">
        <x:v>какао-масло с частицами какао и сахаром; плавление во рту медленно высвобождает гидрофобные ароматы Совпадающие жирные фазы облегчают перенос аромата, но могут сделать продукт тяжёлым.</x:v>
      </x:c>
      <x:c r="T57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7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«blue cheese»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575" s="28" t="str">
        <x:v>горечь и терпкость способны подавлять нежные продукты; содержит стимуляторы; аллергенные добавки возможны; жир способен приглушить тонкую ароматику; белок связывает полифенолы</x:v>
      </x:c>
      <x:c r="W575" s="28" t="str">
        <x:v>мёд, карамель или фруктовая кислота</x:v>
      </x:c>
      <x:c r="X575" s="28" t="str">
        <x:v>ганаш, плитка, крем, мусс, напиток, глазурь или соус с blue cheese</x:v>
      </x:c>
      <x:c r="Y575" s="28" t="str">
        <x:v>десерты</x:v>
      </x:c>
      <x:c r="Z575" s="28" t="str">
        <x:v>Средняя</x:v>
      </x:c>
      <x:c r="AA575" s="28" t="str">
        <x:v>The Art &amp; Science of Foodpairing.pdf</x:v>
      </x:c>
      <x:c r="AB575" s="28" t="str">
        <x:v>The Art &amp; Science of Foodpairing.pdf: 62, 164</x:v>
      </x:c>
      <x:c r="AC575" s="28" t="str">
        <x:v>Пара встречается как grid; научное объяснение сформировано по ароматическому профилю и пищевой матрице.</x:v>
      </x:c>
      <x:c r="AD575" s="28" t="n">
        <x:v>1</x:v>
      </x:c>
      <x:c r="AE575" s="28" t="n">
        <x:v>2</x:v>
      </x:c>
      <x:c r="AF575" s="28" t="n">
        <x:f>IF(Z575="Высокая",3,IF(Z575="Средняя",2,1))+AD575*2+MIN(AE575,3)</x:f>
        <x:v>6</x:v>
      </x:c>
    </x:row>
    <x:row r="576" ht="62" customHeight="1">
      <x:c r="A576" s="28" t="str">
        <x:v>NCT-0575</x:v>
      </x:c>
      <x:c r="B576" s="28" t="str">
        <x:v>шоколад</x:v>
      </x:c>
      <x:c r="C576" s="28" t="str">
        <x:v>Еда и соусы</x:v>
      </x:c>
      <x:c r="D576" s="28" t="str">
        <x:v>шоколад</x:v>
      </x:c>
      <x:c r="E576" s="28" t="str">
        <x:v>chocolate</x:v>
      </x:c>
      <x:c r="F576" s="28" t="str">
        <x:v>Какао и шоколад</x:v>
      </x:c>
      <x:c r="G576" s="28" t="str">
        <x:v>boiled potato</x:v>
      </x:c>
      <x:c r="H576" s="28" t="str">
        <x:v>boiled potato</x:v>
      </x:c>
      <x:c r="I576" s="28" t="str">
        <x:v>Овощи, бобовые и грибы</x:v>
      </x:c>
      <x:c r="J576" s="28" t="str">
        <x:v>жареный, какаовый, фруктовый, цветочный, древесный и пряный; профиль зависит от происхождения и обжарки</x:v>
      </x:c>
      <x:c r="K576" s="28" t="str">
        <x:v>зелёный, землистый или умами</x:v>
      </x:c>
      <x:c r="L576" s="28" t="str">
        <x:v>пиразины, фураны, альдегиды, эфиры, теобромин</x:v>
      </x:c>
      <x:c r="M576" s="28" t="str">
        <x:v>альдегиды, сернистые соединения</x:v>
      </x:c>
      <x:c r="N576" s="28" t="str">
        <x:v>прямое пересечение семейств не является единственным объяснением</x:v>
      </x:c>
      <x:c r="O576" s="28" t="str">
        <x:v>альдегиды</x:v>
      </x:c>
      <x:c r="P576" s="28" t="str">
        <x:v>общие ароматические соединения</x:v>
      </x:c>
      <x:c r="Q576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76" s="28" t="str">
        <x:v>мягкая терпкость; теобромин и кофеин усиливают горькое послевкусие</x:v>
      </x:c>
      <x:c r="S576" s="28" t="str">
        <x:v>какао-масло с частицами какао и сахаром; плавление во рту медленно высвобождает гидрофобные ароматы</x:v>
      </x:c>
      <x:c r="T57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7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«boiled potato»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V576" s="28" t="str">
        <x:v>горечь и терпкость способны подавлять нежные продукты; содержит стимуляторы; аллергенные добавки возможны</x:v>
      </x:c>
      <x:c r="W576" s="28" t="str">
        <x:v>соль, ваниль или карамель</x:v>
      </x:c>
      <x:c r="X576" s="28" t="str">
        <x:v>ганаш, плитка, крем, мусс, напиток, глазурь или соус с boiled potato</x:v>
      </x:c>
      <x:c r="Y576" s="28" t="str">
        <x:v>еда, десерты, соусы/маринады</x:v>
      </x:c>
      <x:c r="Z576" s="28" t="str">
        <x:v>Средняя</x:v>
      </x:c>
      <x:c r="AA576" s="28" t="str">
        <x:v>The Art &amp; Science of Foodpairing.pdf</x:v>
      </x:c>
      <x:c r="AB576" s="28" t="str">
        <x:v>The Art &amp; Science of Foodpairing.pdf: 62</x:v>
      </x:c>
      <x:c r="AC576" s="28" t="str">
        <x:v>Пара встречается как grid; научное объяснение сформировано по ароматическому профилю и пищевой матрице.</x:v>
      </x:c>
      <x:c r="AD576" s="28" t="n">
        <x:v>1</x:v>
      </x:c>
      <x:c r="AE576" s="28" t="n">
        <x:v>1</x:v>
      </x:c>
      <x:c r="AF576" s="28" t="n">
        <x:f>IF(Z576="Высокая",3,IF(Z576="Средняя",2,1))+AD576*2+MIN(AE576,3)</x:f>
        <x:v>5</x:v>
      </x:c>
    </x:row>
    <x:row r="577" ht="62" customHeight="1">
      <x:c r="A577" s="28" t="str">
        <x:v>NCT-0576</x:v>
      </x:c>
      <x:c r="B577" s="28" t="str">
        <x:v>шоколад</x:v>
      </x:c>
      <x:c r="C577" s="28" t="str">
        <x:v>Еда и соусы</x:v>
      </x:c>
      <x:c r="D577" s="28" t="str">
        <x:v>шоколад</x:v>
      </x:c>
      <x:c r="E577" s="28" t="str">
        <x:v>chocolate</x:v>
      </x:c>
      <x:c r="F577" s="28" t="str">
        <x:v>Какао и шоколад</x:v>
      </x:c>
      <x:c r="G577" s="28" t="str">
        <x:v>boiledlobster</x:v>
      </x:c>
      <x:c r="H577" s="28" t="str">
        <x:v>boiledlobster</x:v>
      </x:c>
      <x:c r="I577" s="28" t="str">
        <x:v>Рыба и морепродукты</x:v>
      </x:c>
      <x:c r="J577" s="28" t="str">
        <x:v>жареный, какаовый, фруктовый, цветочный, древесный и пряный; профиль зависит от происхождения и обжарки</x:v>
      </x:c>
      <x:c r="K577" s="28" t="str">
        <x:v>морской, солоноватый и умами</x:v>
      </x:c>
      <x:c r="L577" s="28" t="str">
        <x:v>пиразины, фураны, альдегиды, эфиры, теобромин</x:v>
      </x:c>
      <x:c r="M577" s="28" t="str">
        <x:v>альдегиды, амины</x:v>
      </x:c>
      <x:c r="N577" s="28" t="str">
        <x:v>прямое пересечение семейств не является единственным объяснением</x:v>
      </x:c>
      <x:c r="O577" s="28" t="str">
        <x:v>альдегиды</x:v>
      </x:c>
      <x:c r="P577" s="28" t="str">
        <x:v>общие ароматические соединения, солёно-умами контраст</x:v>
      </x:c>
      <x:c r="Q577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77" s="28" t="str">
        <x:v>мягкая терпкость; теобромин и кофеин усиливают горькое послевкусие</x:v>
      </x:c>
      <x:c r="S577" s="28" t="str">
        <x:v>какао-масло с частицами какао и сахаром; плавление во рту медленно высвобождает гидрофобные ароматы</x:v>
      </x:c>
      <x:c r="T57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7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«boiledlobster»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V577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W577" s="28" t="str">
        <x:v>соль, соевый соус, коричневое масло или специя</x:v>
      </x:c>
      <x:c r="X577" s="28" t="str">
        <x:v>ганаш, плитка, крем, мусс, напиток, глазурь или соус с boiledlobster</x:v>
      </x:c>
      <x:c r="Y577" s="28" t="str">
        <x:v>еда, десерты, соусы/маринады</x:v>
      </x:c>
      <x:c r="Z577" s="28" t="str">
        <x:v>Средняя</x:v>
      </x:c>
      <x:c r="AA577" s="28" t="str">
        <x:v>The Art &amp; Science of Foodpairing.pdf</x:v>
      </x:c>
      <x:c r="AB577" s="28" t="str">
        <x:v>The Art &amp; Science of Foodpairing.pdf: 62</x:v>
      </x:c>
      <x:c r="AC577" s="28" t="str">
        <x:v>Пара встречается как grid; научное объяснение сформировано по ароматическому профилю и пищевой матрице.</x:v>
      </x:c>
      <x:c r="AD577" s="28" t="n">
        <x:v>1</x:v>
      </x:c>
      <x:c r="AE577" s="28" t="n">
        <x:v>1</x:v>
      </x:c>
      <x:c r="AF577" s="28" t="n">
        <x:f>IF(Z577="Высокая",3,IF(Z577="Средняя",2,1))+AD577*2+MIN(AE577,3)</x:f>
        <x:v>5</x:v>
      </x:c>
    </x:row>
    <x:row r="578" ht="62" customHeight="1">
      <x:c r="A578" s="28" t="str">
        <x:v>NCT-0577</x:v>
      </x:c>
      <x:c r="B578" s="28" t="str">
        <x:v>шоколад</x:v>
      </x:c>
      <x:c r="C578" s="28" t="str">
        <x:v>Универсальные</x:v>
      </x:c>
      <x:c r="D578" s="28" t="str">
        <x:v>шоколад</x:v>
      </x:c>
      <x:c r="E578" s="28" t="str">
        <x:v>cocoa powder</x:v>
      </x:c>
      <x:c r="F578" s="28" t="str">
        <x:v>Какао и шоколад</x:v>
      </x:c>
      <x:c r="G578" s="28" t="str">
        <x:v>brie and camembert</x:v>
      </x:c>
      <x:c r="H578" s="28" t="str">
        <x:v>Brie and Camembert</x:v>
      </x:c>
      <x:c r="I578" s="28" t="str">
        <x:v>Молочные продукты и сыры</x:v>
      </x:c>
      <x:c r="J578" s="28" t="str">
        <x:v>жареный, какаовый, фруктовый, цветочный, древесный и пряный; профиль зависит от происхождения и обжарки</x:v>
      </x:c>
      <x:c r="K578" s="28" t="str">
        <x:v>молочный, сливочный и ферментированный</x:v>
      </x:c>
      <x:c r="L578" s="28" t="str">
        <x:v>пиразины, фураны, альдегиды, эфиры, теобромин</x:v>
      </x:c>
      <x:c r="M578" s="28" t="str">
        <x:v>диацетил, жирные кислоты, лактоны</x:v>
      </x:c>
      <x:c r="N578" s="28" t="str">
        <x:v>прямое пересечение семейств не является единственным объяснением</x:v>
      </x:c>
      <x:c r="O578" s="28" t="str">
        <x:v>надежная общая ключевая молекула не подтверждена</x:v>
      </x:c>
      <x:c r="P578" s="28" t="str">
        <x:v>жировая экстракция и связывание полифенолов белком</x:v>
      </x:c>
      <x:c r="Q578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78" s="28" t="str">
        <x:v>мягкая терпкость; теобромин и кофеин усиливают горькое послевкусие</x:v>
      </x:c>
      <x:c r="S578" s="28" t="str">
        <x:v>какао-масло с частицами какао и сахаром; плавление во рту медленно высвобождает гидрофобные ароматы Совпадающие жирные фазы облегчают перенос аромата, но могут сделать продукт тяжёлым.</x:v>
      </x:c>
      <x:c r="T57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7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«brie and camembert»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578" s="28" t="str">
        <x:v>горечь и терпкость способны подавлять нежные продукты; содержит стимуляторы; аллергенные добавки возможны; жир способен приглушить тонкую ароматику; белок связывает полифенолы</x:v>
      </x:c>
      <x:c r="W578" s="28" t="str">
        <x:v>мёд, карамель или фруктовая кислота</x:v>
      </x:c>
      <x:c r="X578" s="28" t="str">
        <x:v>ганаш, плитка, крем, мусс, напиток, глазурь или соус с brie and camembert</x:v>
      </x:c>
      <x:c r="Y578" s="28" t="str">
        <x:v>десерты</x:v>
      </x:c>
      <x:c r="Z578" s="28" t="str">
        <x:v>Средняя</x:v>
      </x:c>
      <x:c r="AA578" s="28" t="str">
        <x:v>The Art &amp; Science of Foodpairing.pdf</x:v>
      </x:c>
      <x:c r="AB578" s="28" t="str">
        <x:v>The Art &amp; Science of Foodpairing.pdf: 336</x:v>
      </x:c>
      <x:c r="AC578" s="28" t="str">
        <x:v>Пара встречается как grid; научное объяснение сформировано по ароматическому профилю и пищевой матрице.</x:v>
      </x:c>
      <x:c r="AD578" s="28" t="n">
        <x:v>1</x:v>
      </x:c>
      <x:c r="AE578" s="28" t="n">
        <x:v>1</x:v>
      </x:c>
      <x:c r="AF578" s="28" t="n">
        <x:f>IF(Z578="Высокая",3,IF(Z578="Средняя",2,1))+AD578*2+MIN(AE578,3)</x:f>
        <x:v>5</x:v>
      </x:c>
    </x:row>
    <x:row r="579" ht="62" customHeight="1">
      <x:c r="A579" s="28" t="str">
        <x:v>NCT-0578</x:v>
      </x:c>
      <x:c r="B579" s="28" t="str">
        <x:v>шоколад</x:v>
      </x:c>
      <x:c r="C579" s="28" t="str">
        <x:v>Универсальные</x:v>
      </x:c>
      <x:c r="D579" s="28" t="str">
        <x:v>шоколад</x:v>
      </x:c>
      <x:c r="E579" s="28" t="str">
        <x:v>chocolate</x:v>
      </x:c>
      <x:c r="F579" s="28" t="str">
        <x:v>Какао и шоколад</x:v>
      </x:c>
      <x:c r="G579" s="28" t="str">
        <x:v>buffalo mozzarella</x:v>
      </x:c>
      <x:c r="H579" s="28" t="str">
        <x:v>buffalo mozzarella</x:v>
      </x:c>
      <x:c r="I579" s="28" t="str">
        <x:v>Молочные продукты и сыры</x:v>
      </x:c>
      <x:c r="J579" s="28" t="str">
        <x:v>жареный, какаовый, фруктовый, цветочный, древесный и пряный; профиль зависит от происхождения и обжарки</x:v>
      </x:c>
      <x:c r="K579" s="28" t="str">
        <x:v>молочный, сливочный и ферментированный</x:v>
      </x:c>
      <x:c r="L579" s="28" t="str">
        <x:v>пиразины, фураны, альдегиды, эфиры, теобромин</x:v>
      </x:c>
      <x:c r="M579" s="28" t="str">
        <x:v>диацетил, жирные кислоты, лактоны</x:v>
      </x:c>
      <x:c r="N579" s="28" t="str">
        <x:v>прямое пересечение семейств не является единственным объяснением</x:v>
      </x:c>
      <x:c r="O579" s="28" t="str">
        <x:v>надежная общая ключевая молекула не подтверждена</x:v>
      </x:c>
      <x:c r="P579" s="28" t="str">
        <x:v>жировая экстракция и связывание полифенолов белком</x:v>
      </x:c>
      <x:c r="Q579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79" s="28" t="str">
        <x:v>мягкая терпкость; теобромин и кофеин усиливают горькое послевкусие</x:v>
      </x:c>
      <x:c r="S579" s="28" t="str">
        <x:v>какао-масло с частицами какао и сахаром; плавление во рту медленно высвобождает гидрофобные ароматы Совпадающие жирные фазы облегчают перенос аромата, но могут сделать продукт тяжёлым.</x:v>
      </x:c>
      <x:c r="T57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7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«buffalo mozzarella»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579" s="28" t="str">
        <x:v>горечь и терпкость способны подавлять нежные продукты; содержит стимуляторы; аллергенные добавки возможны; жир способен приглушить тонкую ароматику; белок связывает полифенолы</x:v>
      </x:c>
      <x:c r="W579" s="28" t="str">
        <x:v>мёд, карамель или фруктовая кислота</x:v>
      </x:c>
      <x:c r="X579" s="28" t="str">
        <x:v>ганаш, плитка, крем, мусс, напиток, глазурь или соус с buffalo mozzarella</x:v>
      </x:c>
      <x:c r="Y579" s="28" t="str">
        <x:v>десерты</x:v>
      </x:c>
      <x:c r="Z579" s="28" t="str">
        <x:v>Средняя</x:v>
      </x:c>
      <x:c r="AA579" s="28" t="str">
        <x:v>The Art &amp; Science of Foodpairing.pdf</x:v>
      </x:c>
      <x:c r="AB579" s="28" t="str">
        <x:v>The Art &amp; Science of Foodpairing.pdf: 62</x:v>
      </x:c>
      <x:c r="AC579" s="28" t="str">
        <x:v>Пара встречается как grid; научное объяснение сформировано по ароматическому профилю и пищевой матрице.</x:v>
      </x:c>
      <x:c r="AD579" s="28" t="n">
        <x:v>1</x:v>
      </x:c>
      <x:c r="AE579" s="28" t="n">
        <x:v>1</x:v>
      </x:c>
      <x:c r="AF579" s="28" t="n">
        <x:f>IF(Z579="Высокая",3,IF(Z579="Средняя",2,1))+AD579*2+MIN(AE579,3)</x:f>
        <x:v>5</x:v>
      </x:c>
    </x:row>
    <x:row r="580" ht="62" customHeight="1">
      <x:c r="A580" s="28" t="str">
        <x:v>NCT-0579</x:v>
      </x:c>
      <x:c r="B580" s="28" t="str">
        <x:v>шоколад</x:v>
      </x:c>
      <x:c r="C580" s="28" t="str">
        <x:v>Универсальные</x:v>
      </x:c>
      <x:c r="D580" s="28" t="str">
        <x:v>шоколад</x:v>
      </x:c>
      <x:c r="E580" s="28" t="str">
        <x:v>chocolate</x:v>
      </x:c>
      <x:c r="F580" s="28" t="str">
        <x:v>Какао и шоколад</x:v>
      </x:c>
      <x:c r="G580" s="28" t="str">
        <x:v>camembert</x:v>
      </x:c>
      <x:c r="H580" s="28" t="str">
        <x:v>Camembert</x:v>
      </x:c>
      <x:c r="I580" s="28" t="str">
        <x:v>Молочные продукты и сыры</x:v>
      </x:c>
      <x:c r="J580" s="28" t="str">
        <x:v>жареный, какаовый, фруктовый, цветочный, древесный и пряный; профиль зависит от происхождения и обжарки</x:v>
      </x:c>
      <x:c r="K580" s="28" t="str">
        <x:v>молочный, сливочный и ферментированный</x:v>
      </x:c>
      <x:c r="L580" s="28" t="str">
        <x:v>пиразины, фураны, альдегиды, эфиры, теобромин</x:v>
      </x:c>
      <x:c r="M580" s="28" t="str">
        <x:v>диацетил, жирные кислоты, лактоны</x:v>
      </x:c>
      <x:c r="N580" s="28" t="str">
        <x:v>прямое пересечение семейств не является единственным объяснением</x:v>
      </x:c>
      <x:c r="O580" s="28" t="str">
        <x:v>надежная общая ключевая молекула не подтверждена</x:v>
      </x:c>
      <x:c r="P580" s="28" t="str">
        <x:v>жировая экстракция и связывание полифенолов белком</x:v>
      </x:c>
      <x:c r="Q580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80" s="28" t="str">
        <x:v>мягкая терпкость; теобромин и кофеин усиливают горькое послевкусие</x:v>
      </x:c>
      <x:c r="S580" s="28" t="str">
        <x:v>какао-масло с частицами какао и сахаром; плавление во рту медленно высвобождает гидрофобные ароматы Совпадающие жирные фазы облегчают перенос аромата, но могут сделать продукт тяжёлым.</x:v>
      </x:c>
      <x:c r="T58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8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«camembert»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580" s="28" t="str">
        <x:v>горечь и терпкость способны подавлять нежные продукты; содержит стимуляторы; аллергенные добавки возможны; жир способен приглушить тонкую ароматику; белок связывает полифенолы</x:v>
      </x:c>
      <x:c r="W580" s="28" t="str">
        <x:v>мёд, карамель или фруктовая кислота</x:v>
      </x:c>
      <x:c r="X580" s="28" t="str">
        <x:v>ганаш, плитка, крем, мусс, напиток, глазурь или соус с camembert</x:v>
      </x:c>
      <x:c r="Y580" s="28" t="str">
        <x:v>десерты</x:v>
      </x:c>
      <x:c r="Z580" s="28" t="str">
        <x:v>Средняя</x:v>
      </x:c>
      <x:c r="AA580" s="28" t="str">
        <x:v>The Art &amp; Science of Foodpairing.pdf</x:v>
      </x:c>
      <x:c r="AB580" s="28" t="str">
        <x:v>The Art &amp; Science of Foodpairing.pdf: 62</x:v>
      </x:c>
      <x:c r="AC580" s="28" t="str">
        <x:v>Пара встречается как grid; научное объяснение сформировано по ароматическому профилю и пищевой матрице.</x:v>
      </x:c>
      <x:c r="AD580" s="28" t="n">
        <x:v>1</x:v>
      </x:c>
      <x:c r="AE580" s="28" t="n">
        <x:v>1</x:v>
      </x:c>
      <x:c r="AF580" s="28" t="n">
        <x:f>IF(Z580="Высокая",3,IF(Z580="Средняя",2,1))+AD580*2+MIN(AE580,3)</x:f>
        <x:v>5</x:v>
      </x:c>
    </x:row>
    <x:row r="581" ht="62" customHeight="1">
      <x:c r="A581" s="28" t="str">
        <x:v>NCT-0580</x:v>
      </x:c>
      <x:c r="B581" s="28" t="str">
        <x:v>шоколад</x:v>
      </x:c>
      <x:c r="C581" s="28" t="str">
        <x:v>Еда и соусы</x:v>
      </x:c>
      <x:c r="D581" s="28" t="str">
        <x:v>шоколад</x:v>
      </x:c>
      <x:c r="E581" s="28" t="str">
        <x:v>chocolate spread | cocoa powder</x:v>
      </x:c>
      <x:c r="F581" s="28" t="str">
        <x:v>Какао и шоколад</x:v>
      </x:c>
      <x:c r="G581" s="28" t="str">
        <x:v>carrot</x:v>
      </x:c>
      <x:c r="H581" s="28" t="str">
        <x:v>carrot</x:v>
      </x:c>
      <x:c r="I581" s="28" t="str">
        <x:v>Овощи, бобовые и грибы</x:v>
      </x:c>
      <x:c r="J581" s="28" t="str">
        <x:v>жареный, какаовый, фруктовый, цветочный, древесный и пряный; профиль зависит от происхождения и обжарки</x:v>
      </x:c>
      <x:c r="K581" s="28" t="str">
        <x:v>зелёный, землистый или умами</x:v>
      </x:c>
      <x:c r="L581" s="28" t="str">
        <x:v>пиразины, фураны, альдегиды, эфиры, теобромин</x:v>
      </x:c>
      <x:c r="M581" s="28" t="str">
        <x:v>альдегиды, сернистые соединения</x:v>
      </x:c>
      <x:c r="N581" s="28" t="str">
        <x:v>прямое пересечение семейств не является единственным объяснением</x:v>
      </x:c>
      <x:c r="O581" s="28" t="str">
        <x:v>альдегиды</x:v>
      </x:c>
      <x:c r="P581" s="28" t="str">
        <x:v>общие ароматические соединения</x:v>
      </x:c>
      <x:c r="Q581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81" s="28" t="str">
        <x:v>мягкая терпкость; теобромин и кофеин усиливают горькое послевкусие</x:v>
      </x:c>
      <x:c r="S581" s="28" t="str">
        <x:v>какао-масло с частицами какао и сахаром; плавление во рту медленно высвобождает гидрофобные ароматы</x:v>
      </x:c>
      <x:c r="T58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8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«carrot»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V581" s="28" t="str">
        <x:v>горечь и терпкость способны подавлять нежные продукты; содержит стимуляторы; аллергенные добавки возможны</x:v>
      </x:c>
      <x:c r="W581" s="28" t="str">
        <x:v>соль, ваниль или карамель</x:v>
      </x:c>
      <x:c r="X581" s="28" t="str">
        <x:v>ганаш, плитка, крем, мусс, напиток, глазурь или соус с carrot</x:v>
      </x:c>
      <x:c r="Y581" s="28" t="str">
        <x:v>еда, десерты, соусы/маринады</x:v>
      </x:c>
      <x:c r="Z581" s="28" t="str">
        <x:v>Средняя</x:v>
      </x:c>
      <x:c r="AA581" s="28" t="str">
        <x:v>The Art &amp; Science of Foodpairing.pdf</x:v>
      </x:c>
      <x:c r="AB581" s="28" t="str">
        <x:v>The Art &amp; Science of Foodpairing.pdf: 232</x:v>
      </x:c>
      <x:c r="AC581" s="28" t="str">
        <x:v>Пара встречается как grid; научное объяснение сформировано по ароматическому профилю и пищевой матрице.</x:v>
      </x:c>
      <x:c r="AD581" s="28" t="n">
        <x:v>1</x:v>
      </x:c>
      <x:c r="AE581" s="28" t="n">
        <x:v>3</x:v>
      </x:c>
      <x:c r="AF581" s="28" t="n">
        <x:f>IF(Z581="Высокая",3,IF(Z581="Средняя",2,1))+AD581*2+MIN(AE581,3)</x:f>
        <x:v>7</x:v>
      </x:c>
    </x:row>
    <x:row r="582" ht="62" customHeight="1">
      <x:c r="A582" s="28" t="str">
        <x:v>NCT-0581</x:v>
      </x:c>
      <x:c r="B582" s="28" t="str">
        <x:v>шоколад</x:v>
      </x:c>
      <x:c r="C582" s="28" t="str">
        <x:v>Универсальные</x:v>
      </x:c>
      <x:c r="D582" s="28" t="str">
        <x:v>шоколад</x:v>
      </x:c>
      <x:c r="E582" s="28" t="str">
        <x:v>chocolate milk</x:v>
      </x:c>
      <x:c r="F582" s="28" t="str">
        <x:v>Какао и шоколад</x:v>
      </x:c>
      <x:c r="G582" s="28" t="str">
        <x:v>chilli peppers</x:v>
      </x:c>
      <x:c r="H582" s="28" t="str">
        <x:v>chilli peppers</x:v>
      </x:c>
      <x:c r="I582" s="28" t="str">
        <x:v>Специи</x:v>
      </x:c>
      <x:c r="J582" s="28" t="str">
        <x:v>жареный, какаовый, фруктовый, цветочный, древесный и пряный; профиль зависит от происхождения и обжарки</x:v>
      </x:c>
      <x:c r="K582" s="28" t="str">
        <x:v>пряный и древесный</x:v>
      </x:c>
      <x:c r="L582" s="28" t="str">
        <x:v>пиразины, фураны, альдегиды, эфиры, теобромин</x:v>
      </x:c>
      <x:c r="M582" s="28" t="str">
        <x:v>терпены, фенилпропаноиды</x:v>
      </x:c>
      <x:c r="N582" s="28" t="str">
        <x:v>древесный</x:v>
      </x:c>
      <x:c r="O582" s="28" t="str">
        <x:v>надежная общая ключевая молекула не подтверждена</x:v>
      </x:c>
      <x:c r="P582" s="28" t="str">
        <x:v>пересечение ароматических семейств</x:v>
      </x:c>
      <x:c r="Q582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82" s="28" t="str">
        <x:v>мягкая терпкость; теобромин и кофеин усиливают горькое послевкусие</x:v>
      </x:c>
      <x:c r="S582" s="28" t="str">
        <x:v>какао-масло с частицами какао и сахаром; плавление во рту медленно высвобождает гидрофобные ароматы</x:v>
      </x:c>
      <x:c r="T58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8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«chilli peppers» относится к группе «Специи» и даёт пряный и древесный.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V582" s="28" t="str">
        <x:v>горечь и терпкость способны подавлять нежные продукты; содержит стимуляторы; аллергенные добавки возможны</x:v>
      </x:c>
      <x:c r="W582" s="28" t="str">
        <x:v>ваниль, апельсин или мёд</x:v>
      </x:c>
      <x:c r="X582" s="28" t="str">
        <x:v>ганаш, плитка, крем, мусс, напиток, глазурь или соус с chilli peppers</x:v>
      </x:c>
      <x:c r="Y582" s="28" t="str">
        <x:v>десерты</x:v>
      </x:c>
      <x:c r="Z582" s="28" t="str">
        <x:v>Средняя</x:v>
      </x:c>
      <x:c r="AA582" s="28" t="str">
        <x:v>The Art &amp; Science of Foodpairing.pdf</x:v>
      </x:c>
      <x:c r="AB582" s="28" t="str">
        <x:v>The Art &amp; Science of Foodpairing.pdf: 94</x:v>
      </x:c>
      <x:c r="AC582" s="28" t="str">
        <x:v>Пара встречается как grid; научное объяснение сформировано по ароматическому профилю и пищевой матрице.</x:v>
      </x:c>
      <x:c r="AD582" s="28" t="n">
        <x:v>1</x:v>
      </x:c>
      <x:c r="AE582" s="28" t="n">
        <x:v>1</x:v>
      </x:c>
      <x:c r="AF582" s="28" t="n">
        <x:f>IF(Z582="Высокая",3,IF(Z582="Средняя",2,1))+AD582*2+MIN(AE582,3)</x:f>
        <x:v>5</x:v>
      </x:c>
    </x:row>
    <x:row r="583" ht="62" customHeight="1">
      <x:c r="A583" s="28" t="str">
        <x:v>NCT-0582</x:v>
      </x:c>
      <x:c r="B583" s="28" t="str">
        <x:v>шоколад</x:v>
      </x:c>
      <x:c r="C583" s="28" t="str">
        <x:v>Десерты и выпечка</x:v>
      </x:c>
      <x:c r="D583" s="28" t="str">
        <x:v>шоколад</x:v>
      </x:c>
      <x:c r="E583" s="28" t="str">
        <x:v>chocolate</x:v>
      </x:c>
      <x:c r="F583" s="28" t="str">
        <x:v>Какао и шоколад</x:v>
      </x:c>
      <x:c r="G583" s="28" t="str">
        <x:v>darkchocolate</x:v>
      </x:c>
      <x:c r="H583" s="28" t="str">
        <x:v>darkchocolate</x:v>
      </x:c>
      <x:c r="I583" s="28" t="str">
        <x:v>Какао и шоколад</x:v>
      </x:c>
      <x:c r="J583" s="28" t="str">
        <x:v>жареный, какаовый, фруктовый, цветочный, древесный и пряный; профиль зависит от происхождения и обжарки</x:v>
      </x:c>
      <x:c r="K583" s="28" t="str">
        <x:v>какаовый, жареный и горько-сладкий</x:v>
      </x:c>
      <x:c r="L583" s="28" t="str">
        <x:v>пиразины, фураны, альдегиды, эфиры, теобромин</x:v>
      </x:c>
      <x:c r="M583" s="28" t="str">
        <x:v>альдегиды, пиразины, фураны</x:v>
      </x:c>
      <x:c r="N583" s="28" t="str">
        <x:v>жареный, какаовый</x:v>
      </x:c>
      <x:c r="O583" s="28" t="str">
        <x:v>альдегиды, пиразины, фураны</x:v>
      </x:c>
      <x:c r="P583" s="28" t="str">
        <x:v>общие ароматические соединения, пересечение ароматических семейств, жареная химия и реакции Майяра</x:v>
      </x:c>
      <x:c r="Q583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83" s="28" t="str">
        <x:v>мягкая терпкость; теобромин и кофеин усиливают горькое послевкусие</x:v>
      </x:c>
      <x:c r="S583" s="28" t="str">
        <x:v>какао-масло с частицами какао и сахаром; плавление во рту медленно высвобождает гидрофобные ароматы</x:v>
      </x:c>
      <x:c r="T58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8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«darkchocolate» относится к группе «Какао и шоколад» и даёт какаовый, жареный и горько-сладкий.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жареный, какаовый; альдегиды, пиразины, фураны.</x:v>
      </x:c>
      <x:c r="V583" s="28" t="str">
        <x:v>горечь и терпкость способны подавлять нежные продукты; содержит стимуляторы; аллергенные добавки возможны</x:v>
      </x:c>
      <x:c r="W583" s="28" t="str">
        <x:v>соль, ваниль или карамель</x:v>
      </x:c>
      <x:c r="X583" s="28" t="str">
        <x:v>ганаш, плитка, крем, мусс, напиток, глазурь или соус с darkchocolate</x:v>
      </x:c>
      <x:c r="Y583" s="28" t="str">
        <x:v>десерты</x:v>
      </x:c>
      <x:c r="Z583" s="28" t="str">
        <x:v>Средняя</x:v>
      </x:c>
      <x:c r="AA583" s="28" t="str">
        <x:v>The Art &amp; Science of Foodpairing.pdf</x:v>
      </x:c>
      <x:c r="AB583" s="28" t="str">
        <x:v>The Art &amp; Science of Foodpairing.pdf: 62</x:v>
      </x:c>
      <x:c r="AC583" s="28" t="str">
        <x:v>Пара встречается как grid; научное объяснение сформировано по ароматическому профилю и пищевой матрице.</x:v>
      </x:c>
      <x:c r="AD583" s="28" t="n">
        <x:v>1</x:v>
      </x:c>
      <x:c r="AE583" s="28" t="n">
        <x:v>1</x:v>
      </x:c>
      <x:c r="AF583" s="28" t="n">
        <x:f>IF(Z583="Высокая",3,IF(Z583="Средняя",2,1))+AD583*2+MIN(AE583,3)</x:f>
        <x:v>5</x:v>
      </x:c>
    </x:row>
    <x:row r="584" ht="62" customHeight="1">
      <x:c r="A584" s="28" t="str">
        <x:v>NCT-0583</x:v>
      </x:c>
      <x:c r="B584" s="28" t="str">
        <x:v>шоколад</x:v>
      </x:c>
      <x:c r="C584" s="28" t="str">
        <x:v>Еда и соусы</x:v>
      </x:c>
      <x:c r="D584" s="28" t="str">
        <x:v>шоколад</x:v>
      </x:c>
      <x:c r="E584" s="28" t="str">
        <x:v>chocolate</x:v>
      </x:c>
      <x:c r="F584" s="28" t="str">
        <x:v>Какао и шоколад</x:v>
      </x:c>
      <x:c r="G584" s="28" t="str">
        <x:v>dry-aged beef</x:v>
      </x:c>
      <x:c r="H584" s="28" t="str">
        <x:v>dry-aged beef</x:v>
      </x:c>
      <x:c r="I584" s="28" t="str">
        <x:v>Мясо и птица</x:v>
      </x:c>
      <x:c r="J584" s="28" t="str">
        <x:v>жареный, какаовый, фруктовый, цветочный, древесный и пряный; профиль зависит от происхождения и обжарки</x:v>
      </x:c>
      <x:c r="K584" s="28" t="str">
        <x:v>жареный, мясной и умами</x:v>
      </x:c>
      <x:c r="L584" s="28" t="str">
        <x:v>пиразины, фураны, альдегиды, эфиры, теобромин</x:v>
      </x:c>
      <x:c r="M584" s="28" t="str">
        <x:v>пиразины, сернистые соединения</x:v>
      </x:c>
      <x:c r="N584" s="28" t="str">
        <x:v>жареный</x:v>
      </x:c>
      <x:c r="O584" s="28" t="str">
        <x:v>пиразины</x:v>
      </x:c>
      <x:c r="P58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584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84" s="28" t="str">
        <x:v>мягкая терпкость; теобромин и кофеин усиливают горькое послевкусие</x:v>
      </x:c>
      <x:c r="S584" s="28" t="str">
        <x:v>какао-масло с частицами какао и сахаром; плавление во рту медленно высвобождает гидрофобные ароматы</x:v>
      </x:c>
      <x:c r="T58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8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«dry-aged 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V584" s="28" t="str">
        <x:v>горечь и терпкость способны подавлять нежные продукты; содержит стимуляторы; аллергенные добавки возможны</x:v>
      </x:c>
      <x:c r="W584" s="28" t="str">
        <x:v>соль, соевый соус, коричневое масло или специя</x:v>
      </x:c>
      <x:c r="X584" s="28" t="str">
        <x:v>ганаш, плитка, крем, мусс, напиток, глазурь или соус с dry-aged beef</x:v>
      </x:c>
      <x:c r="Y584" s="28" t="str">
        <x:v>еда, десерты, соусы/маринады</x:v>
      </x:c>
      <x:c r="Z584" s="28" t="str">
        <x:v>Средняя</x:v>
      </x:c>
      <x:c r="AA584" s="28" t="str">
        <x:v>The Art &amp; Science of Foodpairing.pdf</x:v>
      </x:c>
      <x:c r="AB584" s="28" t="str">
        <x:v>The Art &amp; Science of Foodpairing.pdf: 62</x:v>
      </x:c>
      <x:c r="AC584" s="28" t="str">
        <x:v>Пара встречается как grid; научное объяснение сформировано по ароматическому профилю и пищевой матрице.</x:v>
      </x:c>
      <x:c r="AD584" s="28" t="n">
        <x:v>1</x:v>
      </x:c>
      <x:c r="AE584" s="28" t="n">
        <x:v>1</x:v>
      </x:c>
      <x:c r="AF584" s="28" t="n">
        <x:f>IF(Z584="Высокая",3,IF(Z584="Средняя",2,1))+AD584*2+MIN(AE584,3)</x:f>
        <x:v>5</x:v>
      </x:c>
    </x:row>
    <x:row r="585" ht="62" customHeight="1">
      <x:c r="A585" s="28" t="str">
        <x:v>NCT-0584</x:v>
      </x:c>
      <x:c r="B585" s="28" t="str">
        <x:v>шоколад</x:v>
      </x:c>
      <x:c r="C585" s="28" t="str">
        <x:v>Универсальные</x:v>
      </x:c>
      <x:c r="D585" s="28" t="str">
        <x:v>шоколад</x:v>
      </x:c>
      <x:c r="E585" s="28" t="str">
        <x:v>chocolate</x:v>
      </x:c>
      <x:c r="F585" s="28" t="str">
        <x:v>Какао и шоколад</x:v>
      </x:c>
      <x:c r="G585" s="28" t="str">
        <x:v>features an eel-flavoured ganache with green herbs</x:v>
      </x:c>
      <x:c r="H585" s="28" t="str">
        <x:v>features an eel-flavoured ganache with green herbs</x:v>
      </x:c>
      <x:c r="I585" s="28" t="str">
        <x:v>Травы, цветы и листья</x:v>
      </x:c>
      <x:c r="J585" s="28" t="str">
        <x:v>жареный, какаовый, фруктовый, цветочный, древесный и пряный; профиль зависит от происхождения и обжарки</x:v>
      </x:c>
      <x:c r="K585" s="28" t="str">
        <x:v>зелёный, цветочный и терпеновый</x:v>
      </x:c>
      <x:c r="L585" s="28" t="str">
        <x:v>пиразины, фураны, альдегиды, эфиры, теобромин</x:v>
      </x:c>
      <x:c r="M585" s="28" t="str">
        <x:v>линалоол, терпены</x:v>
      </x:c>
      <x:c r="N585" s="28" t="str">
        <x:v>прямое пересечение семейств не является единственным объяснением</x:v>
      </x:c>
      <x:c r="O585" s="28" t="str">
        <x:v>надежная общая ключевая молекула не подтверждена</x:v>
      </x:c>
      <x:c r="P585" s="28" t="str">
        <x:v>сенсорная комплементарность</x:v>
      </x:c>
      <x:c r="Q585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85" s="28" t="str">
        <x:v>мягкая терпкость; теобромин и кофеин усиливают горькое послевкусие</x:v>
      </x:c>
      <x:c r="S585" s="28" t="str">
        <x:v>какао-масло с частицами какао и сахаром; плавление во рту медленно высвобождает гидрофобные ароматы</x:v>
      </x:c>
      <x:c r="T58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8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«features an eel-flavoured ganache with green herbs»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585" s="28" t="str">
        <x:v>горечь и терпкость способны подавлять нежные продукты; содержит стимуляторы; аллергенные добавки возможны</x:v>
      </x:c>
      <x:c r="W585" s="28" t="str">
        <x:v>цитрус, мёд или сливки</x:v>
      </x:c>
      <x:c r="X585" s="28" t="str">
        <x:v>ганаш, плитка, крем, мусс, напиток, глазурь или соус с features an eel-flavoured ganache with green herbs</x:v>
      </x:c>
      <x:c r="Y585" s="28" t="str">
        <x:v>десерты</x:v>
      </x:c>
      <x:c r="Z585" s="28" t="str">
        <x:v>Средняя</x:v>
      </x:c>
      <x:c r="AA585" s="28" t="str">
        <x:v>The Art &amp; Science of Foodpairing.pdf</x:v>
      </x:c>
      <x:c r="AB585" s="28" t="str">
        <x:v>The Art &amp; Science of Foodpairing.pdf: 61</x:v>
      </x:c>
      <x:c r="AC585" s="28" t="str">
        <x:v>Пара встречается как grid; научное объяснение сформировано по ароматическому профилю и пищевой матрице.</x:v>
      </x:c>
      <x:c r="AD585" s="28" t="n">
        <x:v>1</x:v>
      </x:c>
      <x:c r="AE585" s="28" t="n">
        <x:v>1</x:v>
      </x:c>
      <x:c r="AF585" s="28" t="n">
        <x:f>IF(Z585="Высокая",3,IF(Z585="Средняя",2,1))+AD585*2+MIN(AE585,3)</x:f>
        <x:v>5</x:v>
      </x:c>
    </x:row>
    <x:row r="586" ht="62" customHeight="1">
      <x:c r="A586" s="28" t="str">
        <x:v>NCT-0585</x:v>
      </x:c>
      <x:c r="B586" s="28" t="str">
        <x:v>шоколад</x:v>
      </x:c>
      <x:c r="C586" s="28" t="str">
        <x:v>Еда и соусы</x:v>
      </x:c>
      <x:c r="D586" s="28" t="str">
        <x:v>шоколад</x:v>
      </x:c>
      <x:c r="E586" s="28" t="str">
        <x:v>dark chocolate</x:v>
      </x:c>
      <x:c r="F586" s="28" t="str">
        <x:v>Какао и шоколад</x:v>
      </x:c>
      <x:c r="G586" s="28" t="str">
        <x:v>fish</x:v>
      </x:c>
      <x:c r="H586" s="28" t="str">
        <x:v>fish</x:v>
      </x:c>
      <x:c r="I586" s="28" t="str">
        <x:v>Рыба и морепродукты</x:v>
      </x:c>
      <x:c r="J586" s="28" t="str">
        <x:v>жареный, какаовый, фруктовый, цветочный, древесный и пряный; профиль зависит от происхождения и обжарки</x:v>
      </x:c>
      <x:c r="K586" s="28" t="str">
        <x:v>морской, солоноватый и умами</x:v>
      </x:c>
      <x:c r="L586" s="28" t="str">
        <x:v>пиразины, фураны, альдегиды, эфиры, теобромин</x:v>
      </x:c>
      <x:c r="M586" s="28" t="str">
        <x:v>альдегиды, амины</x:v>
      </x:c>
      <x:c r="N586" s="28" t="str">
        <x:v>прямое пересечение семейств не является единственным объяснением</x:v>
      </x:c>
      <x:c r="O586" s="28" t="str">
        <x:v>альдегиды</x:v>
      </x:c>
      <x:c r="P586" s="28" t="str">
        <x:v>общие ароматические соединения, солёно-умами контраст</x:v>
      </x:c>
      <x:c r="Q586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86" s="28" t="str">
        <x:v>мягкая терпкость; теобромин и кофеин усиливают горькое послевкусие</x:v>
      </x:c>
      <x:c r="S586" s="28" t="str">
        <x:v>какао-масло с частицами какао и сахаром; плавление во рту медленно высвобождает гидрофобные ароматы</x:v>
      </x:c>
      <x:c r="T58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8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V586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W586" s="28" t="str">
        <x:v>соль, соевый соус, коричневое масло или специя</x:v>
      </x:c>
      <x:c r="X586" s="28" t="str">
        <x:v>ганаш, плитка, крем, мусс, напиток, глазурь или соус с fish</x:v>
      </x:c>
      <x:c r="Y586" s="28" t="str">
        <x:v>еда, десерты, соусы/маринады</x:v>
      </x:c>
      <x:c r="Z586" s="28" t="str">
        <x:v>Средняя</x:v>
      </x:c>
      <x:c r="AA586" s="28" t="str">
        <x:v>The Art &amp; Science of Foodpairing.pdf</x:v>
      </x:c>
      <x:c r="AB586" s="28" t="str">
        <x:v>The Art &amp; Science of Foodpairing.pdf: 104</x:v>
      </x:c>
      <x:c r="AC586" s="28" t="str">
        <x:v>Пара встречается как grid; научное объяснение сформировано по ароматическому профилю и пищевой матрице.</x:v>
      </x:c>
      <x:c r="AD586" s="28" t="n">
        <x:v>1</x:v>
      </x:c>
      <x:c r="AE586" s="28" t="n">
        <x:v>1</x:v>
      </x:c>
      <x:c r="AF586" s="28" t="n">
        <x:f>IF(Z586="Высокая",3,IF(Z586="Средняя",2,1))+AD586*2+MIN(AE586,3)</x:f>
        <x:v>5</x:v>
      </x:c>
    </x:row>
    <x:row r="587" ht="62" customHeight="1">
      <x:c r="A587" s="28" t="str">
        <x:v>NCT-0586</x:v>
      </x:c>
      <x:c r="B587" s="28" t="str">
        <x:v>шоколад</x:v>
      </x:c>
      <x:c r="C587" s="28" t="str">
        <x:v>Еда и соусы</x:v>
      </x:c>
      <x:c r="D587" s="28" t="str">
        <x:v>шоколад</x:v>
      </x:c>
      <x:c r="E587" s="28" t="str">
        <x:v>cocoa nibs</x:v>
      </x:c>
      <x:c r="F587" s="28" t="str">
        <x:v>Какао и шоколад</x:v>
      </x:c>
      <x:c r="G587" s="28" t="str">
        <x:v>garlic</x:v>
      </x:c>
      <x:c r="H587" s="28" t="str">
        <x:v>garlic</x:v>
      </x:c>
      <x:c r="I587" s="28" t="str">
        <x:v>Овощи, бобовые и грибы</x:v>
      </x:c>
      <x:c r="J587" s="28" t="str">
        <x:v>жареный, какаовый, фруктовый, цветочный, древесный и пряный; профиль зависит от происхождения и обжарки</x:v>
      </x:c>
      <x:c r="K587" s="28" t="str">
        <x:v>зелёный, землистый или умами</x:v>
      </x:c>
      <x:c r="L587" s="28" t="str">
        <x:v>пиразины, фураны, альдегиды, эфиры, теобромин</x:v>
      </x:c>
      <x:c r="M587" s="28" t="str">
        <x:v>альдегиды, сернистые соединения</x:v>
      </x:c>
      <x:c r="N587" s="28" t="str">
        <x:v>прямое пересечение семейств не является единственным объяснением</x:v>
      </x:c>
      <x:c r="O587" s="28" t="str">
        <x:v>альдегиды</x:v>
      </x:c>
      <x:c r="P587" s="28" t="str">
        <x:v>общие ароматические соединения</x:v>
      </x:c>
      <x:c r="Q587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87" s="28" t="str">
        <x:v>мягкая терпкость; теобромин и кофеин усиливают горькое послевкусие</x:v>
      </x:c>
      <x:c r="S587" s="28" t="str">
        <x:v>какао-масло с частицами какао и сахаром; плавление во рту медленно высвобождает гидрофобные ароматы</x:v>
      </x:c>
      <x:c r="T58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8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«garlic»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V587" s="28" t="str">
        <x:v>горечь и терпкость способны подавлять нежные продукты; содержит стимуляторы; аллергенные добавки возможны</x:v>
      </x:c>
      <x:c r="W587" s="28" t="str">
        <x:v>соль, ваниль или карамель</x:v>
      </x:c>
      <x:c r="X587" s="28" t="str">
        <x:v>ганаш, плитка, крем, мусс, напиток, глазурь или соус с garlic</x:v>
      </x:c>
      <x:c r="Y587" s="28" t="str">
        <x:v>еда, десерты, соусы/маринады</x:v>
      </x:c>
      <x:c r="Z587" s="28" t="str">
        <x:v>Средняя</x:v>
      </x:c>
      <x:c r="AA587" s="28" t="str">
        <x:v>The Art &amp; Science of Foodpairing.pdf</x:v>
      </x:c>
      <x:c r="AB587" s="28" t="str">
        <x:v>The Art &amp; Science of Foodpairing.pdf: 113</x:v>
      </x:c>
      <x:c r="AC587" s="28" t="str">
        <x:v>Пара встречается как grid; научное объяснение сформировано по ароматическому профилю и пищевой матрице.</x:v>
      </x:c>
      <x:c r="AD587" s="28" t="n">
        <x:v>1</x:v>
      </x:c>
      <x:c r="AE587" s="28" t="n">
        <x:v>1</x:v>
      </x:c>
      <x:c r="AF587" s="28" t="n">
        <x:f>IF(Z587="Высокая",3,IF(Z587="Средняя",2,1))+AD587*2+MIN(AE587,3)</x:f>
        <x:v>5</x:v>
      </x:c>
    </x:row>
    <x:row r="588" ht="62" customHeight="1">
      <x:c r="A588" s="28" t="str">
        <x:v>NCT-0587</x:v>
      </x:c>
      <x:c r="B588" s="28" t="str">
        <x:v>шоколад</x:v>
      </x:c>
      <x:c r="C588" s="28" t="str">
        <x:v>Еда и соусы</x:v>
      </x:c>
      <x:c r="D588" s="28" t="str">
        <x:v>шоколад</x:v>
      </x:c>
      <x:c r="E588" s="28" t="str">
        <x:v>chocolate</x:v>
      </x:c>
      <x:c r="F588" s="28" t="str">
        <x:v>Какао и шоколад</x:v>
      </x:c>
      <x:c r="G588" s="28" t="str">
        <x:v>grilled lamb</x:v>
      </x:c>
      <x:c r="H588" s="28" t="str">
        <x:v>grilled lamb</x:v>
      </x:c>
      <x:c r="I588" s="28" t="str">
        <x:v>Мясо и птица</x:v>
      </x:c>
      <x:c r="J588" s="28" t="str">
        <x:v>жареный, какаовый, фруктовый, цветочный, древесный и пряный; профиль зависит от происхождения и обжарки</x:v>
      </x:c>
      <x:c r="K588" s="28" t="str">
        <x:v>жареный, мясной и умами</x:v>
      </x:c>
      <x:c r="L588" s="28" t="str">
        <x:v>пиразины, фураны, альдегиды, эфиры, теобромин</x:v>
      </x:c>
      <x:c r="M588" s="28" t="str">
        <x:v>пиразины, сернистые соединения</x:v>
      </x:c>
      <x:c r="N588" s="28" t="str">
        <x:v>жареный</x:v>
      </x:c>
      <x:c r="O588" s="28" t="str">
        <x:v>пиразины</x:v>
      </x:c>
      <x:c r="P58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588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88" s="28" t="str">
        <x:v>мягкая терпкость; теобромин и кофеин усиливают горькое послевкусие</x:v>
      </x:c>
      <x:c r="S588" s="28" t="str">
        <x:v>какао-масло с частицами какао и сахаром; плавление во рту медленно высвобождает гидрофобные ароматы</x:v>
      </x:c>
      <x:c r="T58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8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«grilled lamb»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V588" s="28" t="str">
        <x:v>горечь и терпкость способны подавлять нежные продукты; содержит стимуляторы; аллергенные добавки возможны</x:v>
      </x:c>
      <x:c r="W588" s="28" t="str">
        <x:v>соль, соевый соус, коричневое масло или специя</x:v>
      </x:c>
      <x:c r="X588" s="28" t="str">
        <x:v>ганаш, плитка, крем, мусс, напиток, глазурь или соус с grilled lamb</x:v>
      </x:c>
      <x:c r="Y588" s="28" t="str">
        <x:v>еда, десерты, соусы/маринады</x:v>
      </x:c>
      <x:c r="Z588" s="28" t="str">
        <x:v>Средняя</x:v>
      </x:c>
      <x:c r="AA588" s="28" t="str">
        <x:v>The Art &amp; Science of Foodpairing.pdf</x:v>
      </x:c>
      <x:c r="AB588" s="28" t="str">
        <x:v>The Art &amp; Science of Foodpairing.pdf: 62</x:v>
      </x:c>
      <x:c r="AC588" s="28" t="str">
        <x:v>Пара встречается как grid; научное объяснение сформировано по ароматическому профилю и пищевой матрице.</x:v>
      </x:c>
      <x:c r="AD588" s="28" t="n">
        <x:v>1</x:v>
      </x:c>
      <x:c r="AE588" s="28" t="n">
        <x:v>1</x:v>
      </x:c>
      <x:c r="AF588" s="28" t="n">
        <x:f>IF(Z588="Высокая",3,IF(Z588="Средняя",2,1))+AD588*2+MIN(AE588,3)</x:f>
        <x:v>5</x:v>
      </x:c>
    </x:row>
    <x:row r="589" ht="62" customHeight="1">
      <x:c r="A589" s="28" t="str">
        <x:v>NCT-0588</x:v>
      </x:c>
      <x:c r="B589" s="28" t="str">
        <x:v>шоколад</x:v>
      </x:c>
      <x:c r="C589" s="28" t="str">
        <x:v>Универсальные</x:v>
      </x:c>
      <x:c r="D589" s="28" t="str">
        <x:v>шоколад</x:v>
      </x:c>
      <x:c r="E589" s="28" t="str">
        <x:v>chocolate</x:v>
      </x:c>
      <x:c r="F589" s="28" t="str">
        <x:v>Какао и шоколад</x:v>
      </x:c>
      <x:c r="G589" s="28" t="str">
        <x:v>gruyere</x:v>
      </x:c>
      <x:c r="H589" s="28" t="str">
        <x:v>Gruyere</x:v>
      </x:c>
      <x:c r="I589" s="28" t="str">
        <x:v>Молочные продукты и сыры</x:v>
      </x:c>
      <x:c r="J589" s="28" t="str">
        <x:v>жареный, какаовый, фруктовый, цветочный, древесный и пряный; профиль зависит от происхождения и обжарки</x:v>
      </x:c>
      <x:c r="K589" s="28" t="str">
        <x:v>молочный, сливочный и ферментированный</x:v>
      </x:c>
      <x:c r="L589" s="28" t="str">
        <x:v>пиразины, фураны, альдегиды, эфиры, теобромин</x:v>
      </x:c>
      <x:c r="M589" s="28" t="str">
        <x:v>диацетил, жирные кислоты, лактоны</x:v>
      </x:c>
      <x:c r="N589" s="28" t="str">
        <x:v>прямое пересечение семейств не является единственным объяснением</x:v>
      </x:c>
      <x:c r="O589" s="28" t="str">
        <x:v>надежная общая ключевая молекула не подтверждена</x:v>
      </x:c>
      <x:c r="P589" s="28" t="str">
        <x:v>жировая экстракция и связывание полифенолов белком</x:v>
      </x:c>
      <x:c r="Q589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89" s="28" t="str">
        <x:v>мягкая терпкость; теобромин и кофеин усиливают горькое послевкусие</x:v>
      </x:c>
      <x:c r="S589" s="28" t="str">
        <x:v>какао-масло с частицами какао и сахаром; плавление во рту медленно высвобождает гидрофобные ароматы Совпадающие жирные фазы облегчают перенос аромата, но могут сделать продукт тяжёлым.</x:v>
      </x:c>
      <x:c r="T58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8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«gruyere»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589" s="28" t="str">
        <x:v>горечь и терпкость способны подавлять нежные продукты; содержит стимуляторы; аллергенные добавки возможны; жир способен приглушить тонкую ароматику; белок связывает полифенолы</x:v>
      </x:c>
      <x:c r="W589" s="28" t="str">
        <x:v>мёд, карамель или фруктовая кислота</x:v>
      </x:c>
      <x:c r="X589" s="28" t="str">
        <x:v>ганаш, плитка, крем, мусс, напиток, глазурь или соус с gruyere</x:v>
      </x:c>
      <x:c r="Y589" s="28" t="str">
        <x:v>десерты</x:v>
      </x:c>
      <x:c r="Z589" s="28" t="str">
        <x:v>Средняя</x:v>
      </x:c>
      <x:c r="AA589" s="28" t="str">
        <x:v>The Art &amp; Science of Foodpairing.pdf</x:v>
      </x:c>
      <x:c r="AB589" s="28" t="str">
        <x:v>The Art &amp; Science of Foodpairing.pdf: 62</x:v>
      </x:c>
      <x:c r="AC589" s="28" t="str">
        <x:v>Пара встречается как grid; научное объяснение сформировано по ароматическому профилю и пищевой матрице.</x:v>
      </x:c>
      <x:c r="AD589" s="28" t="n">
        <x:v>1</x:v>
      </x:c>
      <x:c r="AE589" s="28" t="n">
        <x:v>1</x:v>
      </x:c>
      <x:c r="AF589" s="28" t="n">
        <x:f>IF(Z589="Высокая",3,IF(Z589="Средняя",2,1))+AD589*2+MIN(AE589,3)</x:f>
        <x:v>5</x:v>
      </x:c>
    </x:row>
    <x:row r="590" ht="62" customHeight="1">
      <x:c r="A590" s="28" t="str">
        <x:v>NCT-0589</x:v>
      </x:c>
      <x:c r="B590" s="28" t="str">
        <x:v>шоколад</x:v>
      </x:c>
      <x:c r="C590" s="28" t="str">
        <x:v>Еда и соусы</x:v>
      </x:c>
      <x:c r="D590" s="28" t="str">
        <x:v>шоколад</x:v>
      </x:c>
      <x:c r="E590" s="28" t="str">
        <x:v>dark chocolate</x:v>
      </x:c>
      <x:c r="F590" s="28" t="str">
        <x:v>Какао и шоколад</x:v>
      </x:c>
      <x:c r="G590" s="28" t="str">
        <x:v>lberico ham</x:v>
      </x:c>
      <x:c r="H590" s="28" t="str">
        <x:v>lberico ham</x:v>
      </x:c>
      <x:c r="I590" s="28" t="str">
        <x:v>Мясо и птица</x:v>
      </x:c>
      <x:c r="J590" s="28" t="str">
        <x:v>жареный, какаовый, фруктовый, цветочный, древесный и пряный; профиль зависит от происхождения и обжарки</x:v>
      </x:c>
      <x:c r="K590" s="28" t="str">
        <x:v>жареный, мясной и умами</x:v>
      </x:c>
      <x:c r="L590" s="28" t="str">
        <x:v>пиразины, фураны, альдегиды, эфиры, теобромин</x:v>
      </x:c>
      <x:c r="M590" s="28" t="str">
        <x:v>пиразины, сернистые соединения</x:v>
      </x:c>
      <x:c r="N590" s="28" t="str">
        <x:v>жареный</x:v>
      </x:c>
      <x:c r="O590" s="28" t="str">
        <x:v>пиразины</x:v>
      </x:c>
      <x:c r="P59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590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90" s="28" t="str">
        <x:v>мягкая терпкость; теобромин и кофеин усиливают горькое послевкусие</x:v>
      </x:c>
      <x:c r="S590" s="28" t="str">
        <x:v>какао-масло с частицами какао и сахаром; плавление во рту медленно высвобождает гидрофобные ароматы</x:v>
      </x:c>
      <x:c r="T59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9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V590" s="28" t="str">
        <x:v>горечь и терпкость способны подавлять нежные продукты; содержит стимуляторы; аллергенные добавки возможны</x:v>
      </x:c>
      <x:c r="W590" s="28" t="str">
        <x:v>соль, соевый соус, коричневое масло или специя</x:v>
      </x:c>
      <x:c r="X590" s="28" t="str">
        <x:v>ганаш, плитка, крем, мусс, напиток, глазурь или соус с lberico ham</x:v>
      </x:c>
      <x:c r="Y590" s="28" t="str">
        <x:v>еда, десерты, соусы/маринады</x:v>
      </x:c>
      <x:c r="Z590" s="28" t="str">
        <x:v>Средняя</x:v>
      </x:c>
      <x:c r="AA590" s="28" t="str">
        <x:v>The Art &amp; Science of Foodpairing.pdf</x:v>
      </x:c>
      <x:c r="AB590" s="28" t="str">
        <x:v>The Art &amp; Science of Foodpairing.pdf: 278</x:v>
      </x:c>
      <x:c r="AC590" s="28" t="str">
        <x:v>Пара встречается как grid; научное объяснение сформировано по ароматическому профилю и пищевой матрице.</x:v>
      </x:c>
      <x:c r="AD590" s="28" t="n">
        <x:v>1</x:v>
      </x:c>
      <x:c r="AE590" s="28" t="n">
        <x:v>1</x:v>
      </x:c>
      <x:c r="AF590" s="28" t="n">
        <x:f>IF(Z590="Высокая",3,IF(Z590="Средняя",2,1))+AD590*2+MIN(AE590,3)</x:f>
        <x:v>5</x:v>
      </x:c>
    </x:row>
    <x:row r="591" ht="62" customHeight="1">
      <x:c r="A591" s="28" t="str">
        <x:v>NCT-0590</x:v>
      </x:c>
      <x:c r="B591" s="28" t="str">
        <x:v>шоколад</x:v>
      </x:c>
      <x:c r="C591" s="28" t="str">
        <x:v>Десерты и выпечка</x:v>
      </x:c>
      <x:c r="D591" s="28" t="str">
        <x:v>шоколад</x:v>
      </x:c>
      <x:c r="E591" s="28" t="str">
        <x:v>chocolate</x:v>
      </x:c>
      <x:c r="F591" s="28" t="str">
        <x:v>Какао и шоколад</x:v>
      </x:c>
      <x:c r="G591" s="28" t="str">
        <x:v>lemon balm</x:v>
      </x:c>
      <x:c r="H591" s="28" t="str">
        <x:v>lemon balm</x:v>
      </x:c>
      <x:c r="I591" s="28" t="str">
        <x:v>Фрукты и ягоды</x:v>
      </x:c>
      <x:c r="J591" s="28" t="str">
        <x:v>жареный, какаовый, фруктовый, цветочный, древесный и пряный; профиль зависит от происхождения и обжарки</x:v>
      </x:c>
      <x:c r="K591" s="28" t="str">
        <x:v>фруктовый, цветочный и свежий</x:v>
      </x:c>
      <x:c r="L591" s="28" t="str">
        <x:v>пиразины, фураны, альдегиды, эфиры, теобромин</x:v>
      </x:c>
      <x:c r="M591" s="28" t="str">
        <x:v>альдегиды, эфиры</x:v>
      </x:c>
      <x:c r="N591" s="28" t="str">
        <x:v>фруктовый</x:v>
      </x:c>
      <x:c r="O591" s="28" t="str">
        <x:v>альдегиды, эфиры</x:v>
      </x:c>
      <x:c r="P591" s="28" t="str">
        <x:v>общие ароматические соединения, пересечение ароматических семейств, контраст кислоты и жирной/горькой матрицы</x:v>
      </x:c>
      <x:c r="Q591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91" s="28" t="str">
        <x:v>мягкая терпкость; теобромин и кофеин усиливают горькое послевкусие</x:v>
      </x:c>
      <x:c r="S591" s="28" t="str">
        <x:v>какао-масло с частицами какао и сахаром; плавление во рту медленно высвобождает гидрофобные ароматы Водная фруктовая фаза требует эмульсии или мелкого измельчения, если орех или шоколад вводится как паста.</x:v>
      </x:c>
      <x:c r="T59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9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«lemon balm»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V591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W591" s="28" t="str">
        <x:v>ваниль, цитрус или молочный жир</x:v>
      </x:c>
      <x:c r="X591" s="28" t="str">
        <x:v>ганаш, плитка, крем, мусс, напиток, глазурь или соус с lemon balm</x:v>
      </x:c>
      <x:c r="Y591" s="28" t="str">
        <x:v>десерты</x:v>
      </x:c>
      <x:c r="Z591" s="28" t="str">
        <x:v>Средняя</x:v>
      </x:c>
      <x:c r="AA591" s="28" t="str">
        <x:v>The Art &amp; Science of Foodpairing.pdf</x:v>
      </x:c>
      <x:c r="AB591" s="28" t="str">
        <x:v>The Art &amp; Science of Foodpairing.pdf: 62</x:v>
      </x:c>
      <x:c r="AC591" s="28" t="str">
        <x:v>Пара встречается как grid; научное объяснение сформировано по ароматическому профилю и пищевой матрице.</x:v>
      </x:c>
      <x:c r="AD591" s="28" t="n">
        <x:v>1</x:v>
      </x:c>
      <x:c r="AE591" s="28" t="n">
        <x:v>1</x:v>
      </x:c>
      <x:c r="AF591" s="28" t="n">
        <x:f>IF(Z591="Высокая",3,IF(Z591="Средняя",2,1))+AD591*2+MIN(AE591,3)</x:f>
        <x:v>5</x:v>
      </x:c>
    </x:row>
    <x:row r="592" ht="62" customHeight="1">
      <x:c r="A592" s="28" t="str">
        <x:v>NCT-0591</x:v>
      </x:c>
      <x:c r="B592" s="28" t="str">
        <x:v>шоколад</x:v>
      </x:c>
      <x:c r="C592" s="28" t="str">
        <x:v>Еда и соусы</x:v>
      </x:c>
      <x:c r="D592" s="28" t="str">
        <x:v>шоколад</x:v>
      </x:c>
      <x:c r="E592" s="28" t="str">
        <x:v>dark chocolate</x:v>
      </x:c>
      <x:c r="F592" s="28" t="str">
        <x:v>Какао и шоколад</x:v>
      </x:c>
      <x:c r="G592" s="28" t="str">
        <x:v>meat</x:v>
      </x:c>
      <x:c r="H592" s="28" t="str">
        <x:v>meat</x:v>
      </x:c>
      <x:c r="I592" s="28" t="str">
        <x:v>Мясо и птица</x:v>
      </x:c>
      <x:c r="J592" s="28" t="str">
        <x:v>жареный, какаовый, фруктовый, цветочный, древесный и пряный; профиль зависит от происхождения и обжарки</x:v>
      </x:c>
      <x:c r="K592" s="28" t="str">
        <x:v>жареный, мясной и умами</x:v>
      </x:c>
      <x:c r="L592" s="28" t="str">
        <x:v>пиразины, фураны, альдегиды, эфиры, теобромин</x:v>
      </x:c>
      <x:c r="M592" s="28" t="str">
        <x:v>пиразины, сернистые соединения</x:v>
      </x:c>
      <x:c r="N592" s="28" t="str">
        <x:v>жареный</x:v>
      </x:c>
      <x:c r="O592" s="28" t="str">
        <x:v>пиразины</x:v>
      </x:c>
      <x:c r="P592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592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92" s="28" t="str">
        <x:v>мягкая терпкость; теобромин и кофеин усиливают горькое послевкусие</x:v>
      </x:c>
      <x:c r="S592" s="28" t="str">
        <x:v>какао-масло с частицами какао и сахаром; плавление во рту медленно высвобождает гидрофобные ароматы</x:v>
      </x:c>
      <x:c r="T59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9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«meat»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V592" s="28" t="str">
        <x:v>горечь и терпкость способны подавлять нежные продукты; содержит стимуляторы; аллергенные добавки возможны</x:v>
      </x:c>
      <x:c r="W592" s="28" t="str">
        <x:v>соль, соевый соус, коричневое масло или специя</x:v>
      </x:c>
      <x:c r="X592" s="28" t="str">
        <x:v>ганаш, плитка, крем, мусс, напиток, глазурь или соус с meat</x:v>
      </x:c>
      <x:c r="Y592" s="28" t="str">
        <x:v>еда, десерты, соусы/маринады</x:v>
      </x:c>
      <x:c r="Z592" s="28" t="str">
        <x:v>Средняя</x:v>
      </x:c>
      <x:c r="AA592" s="28" t="str">
        <x:v>The Art &amp; Science of Foodpairing.pdf</x:v>
      </x:c>
      <x:c r="AB592" s="28" t="str">
        <x:v>The Art &amp; Science of Foodpairing.pdf: 186</x:v>
      </x:c>
      <x:c r="AC592" s="28" t="str">
        <x:v>Пара встречается как grid; научное объяснение сформировано по ароматическому профилю и пищевой матрице.</x:v>
      </x:c>
      <x:c r="AD592" s="28" t="n">
        <x:v>1</x:v>
      </x:c>
      <x:c r="AE592" s="28" t="n">
        <x:v>1</x:v>
      </x:c>
      <x:c r="AF592" s="28" t="n">
        <x:f>IF(Z592="Высокая",3,IF(Z592="Средняя",2,1))+AD592*2+MIN(AE592,3)</x:f>
        <x:v>5</x:v>
      </x:c>
    </x:row>
    <x:row r="593" ht="62" customHeight="1">
      <x:c r="A593" s="28" t="str">
        <x:v>NCT-0592</x:v>
      </x:c>
      <x:c r="B593" s="28" t="str">
        <x:v>шоколад</x:v>
      </x:c>
      <x:c r="C593" s="28" t="str">
        <x:v>Десерты и выпечка</x:v>
      </x:c>
      <x:c r="D593" s="28" t="str">
        <x:v>шоколад</x:v>
      </x:c>
      <x:c r="E593" s="28" t="str">
        <x:v>chocolate</x:v>
      </x:c>
      <x:c r="F593" s="28" t="str">
        <x:v>Какао и шоколад</x:v>
      </x:c>
      <x:c r="G593" s="28" t="str">
        <x:v>milkchocolate</x:v>
      </x:c>
      <x:c r="H593" s="28" t="str">
        <x:v>milkchocolate</x:v>
      </x:c>
      <x:c r="I593" s="28" t="str">
        <x:v>Какао и шоколад</x:v>
      </x:c>
      <x:c r="J593" s="28" t="str">
        <x:v>жареный, какаовый, фруктовый, цветочный, древесный и пряный; профиль зависит от происхождения и обжарки</x:v>
      </x:c>
      <x:c r="K593" s="28" t="str">
        <x:v>какаовый, жареный и горько-сладкий</x:v>
      </x:c>
      <x:c r="L593" s="28" t="str">
        <x:v>пиразины, фураны, альдегиды, эфиры, теобромин</x:v>
      </x:c>
      <x:c r="M593" s="28" t="str">
        <x:v>альдегиды, пиразины, фураны</x:v>
      </x:c>
      <x:c r="N593" s="28" t="str">
        <x:v>жареный, какаовый</x:v>
      </x:c>
      <x:c r="O593" s="28" t="str">
        <x:v>альдегиды, пиразины, фураны</x:v>
      </x:c>
      <x:c r="P593" s="28" t="str">
        <x:v>общие ароматические соединения, пересечение ароматических семейств, жареная химия и реакции Майяра</x:v>
      </x:c>
      <x:c r="Q593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93" s="28" t="str">
        <x:v>мягкая терпкость; теобромин и кофеин усиливают горькое послевкусие</x:v>
      </x:c>
      <x:c r="S593" s="28" t="str">
        <x:v>какао-масло с частицами какао и сахаром; плавление во рту медленно высвобождает гидрофобные ароматы</x:v>
      </x:c>
      <x:c r="T59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9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«milkchocolate» относится к группе «Какао и шоколад» и даёт какаовый, жареный и горько-сладкий.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жареный, какаовый; альдегиды, пиразины, фураны.</x:v>
      </x:c>
      <x:c r="V593" s="28" t="str">
        <x:v>горечь и терпкость способны подавлять нежные продукты; содержит стимуляторы; аллергенные добавки возможны</x:v>
      </x:c>
      <x:c r="W593" s="28" t="str">
        <x:v>соль, ваниль или карамель</x:v>
      </x:c>
      <x:c r="X593" s="28" t="str">
        <x:v>ганаш, плитка, крем, мусс, напиток, глазурь или соус с milkchocolate</x:v>
      </x:c>
      <x:c r="Y593" s="28" t="str">
        <x:v>десерты</x:v>
      </x:c>
      <x:c r="Z593" s="28" t="str">
        <x:v>Средняя</x:v>
      </x:c>
      <x:c r="AA593" s="28" t="str">
        <x:v>The Art &amp; Science of Foodpairing.pdf</x:v>
      </x:c>
      <x:c r="AB593" s="28" t="str">
        <x:v>The Art &amp; Science of Foodpairing.pdf: 62</x:v>
      </x:c>
      <x:c r="AC593" s="28" t="str">
        <x:v>Пара встречается как grid; научное объяснение сформировано по ароматическому профилю и пищевой матрице.</x:v>
      </x:c>
      <x:c r="AD593" s="28" t="n">
        <x:v>1</x:v>
      </x:c>
      <x:c r="AE593" s="28" t="n">
        <x:v>1</x:v>
      </x:c>
      <x:c r="AF593" s="28" t="n">
        <x:f>IF(Z593="Высокая",3,IF(Z593="Средняя",2,1))+AD593*2+MIN(AE593,3)</x:f>
        <x:v>5</x:v>
      </x:c>
    </x:row>
    <x:row r="594" ht="62" customHeight="1">
      <x:c r="A594" s="28" t="str">
        <x:v>NCT-0593</x:v>
      </x:c>
      <x:c r="B594" s="28" t="str">
        <x:v>шоколад</x:v>
      </x:c>
      <x:c r="C594" s="28" t="str">
        <x:v>Напитки</x:v>
      </x:c>
      <x:c r="D594" s="28" t="str">
        <x:v>шоколад</x:v>
      </x:c>
      <x:c r="E594" s="28" t="str">
        <x:v>chocolate</x:v>
      </x:c>
      <x:c r="F594" s="28" t="str">
        <x:v>Какао и шоколад</x:v>
      </x:c>
      <x:c r="G594" s="28" t="str">
        <x:v>mount gay eclipse rum</x:v>
      </x:c>
      <x:c r="H594" s="28" t="str">
        <x:v>Mount Gay Eclipse rum</x:v>
      </x:c>
      <x:c r="I594" s="28" t="str">
        <x:v>Алкогольные напитки</x:v>
      </x:c>
      <x:c r="J594" s="28" t="str">
        <x:v>жареный, какаовый, фруктовый, цветочный, древесный и пряный; профиль зависит от происхождения и обжарки</x:v>
      </x:c>
      <x:c r="K594" s="28" t="str">
        <x:v>спиртовой, фруктовый или древесный</x:v>
      </x:c>
      <x:c r="L594" s="28" t="str">
        <x:v>пиразины, фураны, альдегиды, эфиры, теобромин</x:v>
      </x:c>
      <x:c r="M594" s="28" t="str">
        <x:v>альдегиды, эфиры</x:v>
      </x:c>
      <x:c r="N594" s="28" t="str">
        <x:v>древесный, фруктовый</x:v>
      </x:c>
      <x:c r="O594" s="28" t="str">
        <x:v>альдегиды, эфиры</x:v>
      </x:c>
      <x:c r="P594" s="28" t="str">
        <x:v>общие ароматические соединения, пересечение ароматических семейств</x:v>
      </x:c>
      <x:c r="Q594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94" s="28" t="str">
        <x:v>мягкая терпкость; теобромин и кофеин усиливают горькое послевкусие</x:v>
      </x:c>
      <x:c r="S594" s="28" t="str">
        <x:v>какао-масло с частицами какао и сахаром; плавление во рту медленно высвобождает гидрофобные ароматы Этанол эффективно извлекает терпены, фенолы и жареные молекулы; время контакта нужно ограничивать.</x:v>
      </x:c>
      <x:c r="T59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9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«mount gay eclipse rum» относится к группе «Алкогольные напитки» и даёт спиртовой, фруктовый или древесный. Молекулярный мост создают альдегиды, эфиры Какао-масло медленно высвобождает липофильные ароматы, а сахар и соль изменяют воспринимаемую горечь. Итог: древесный, фруктовый; альдегиды, эфиры.</x:v>
      </x:c>
      <x:c r="V594" s="28" t="str">
        <x:v>горечь и терпкость способны подавлять нежные продукты; содержит стимуляторы; аллергенные добавки возможны</x:v>
      </x:c>
      <x:c r="W594" s="28" t="str">
        <x:v>соль, ваниль или карамель</x:v>
      </x:c>
      <x:c r="X594" s="28" t="str">
        <x:v>ганаш, плитка, крем, мусс, напиток, глазурь или соус с mount gay eclipse rum</x:v>
      </x:c>
      <x:c r="Y594" s="28" t="str">
        <x:v>напитки, десерты</x:v>
      </x:c>
      <x:c r="Z594" s="28" t="str">
        <x:v>Средняя</x:v>
      </x:c>
      <x:c r="AA594" s="28" t="str">
        <x:v>The Art &amp; Science of Foodpairing.pdf</x:v>
      </x:c>
      <x:c r="AB594" s="28" t="str">
        <x:v>The Art &amp; Science of Foodpairing.pdf: 62</x:v>
      </x:c>
      <x:c r="AC594" s="28" t="str">
        <x:v>Пара встречается как grid; научное объяснение сформировано по ароматическому профилю и пищевой матрице.</x:v>
      </x:c>
      <x:c r="AD594" s="28" t="n">
        <x:v>1</x:v>
      </x:c>
      <x:c r="AE594" s="28" t="n">
        <x:v>1</x:v>
      </x:c>
      <x:c r="AF594" s="28" t="n">
        <x:f>IF(Z594="Высокая",3,IF(Z594="Средняя",2,1))+AD594*2+MIN(AE594,3)</x:f>
        <x:v>5</x:v>
      </x:c>
    </x:row>
    <x:row r="595" ht="62" customHeight="1">
      <x:c r="A595" s="28" t="str">
        <x:v>NCT-0594</x:v>
      </x:c>
      <x:c r="B595" s="28" t="str">
        <x:v>шоколад</x:v>
      </x:c>
      <x:c r="C595" s="28" t="str">
        <x:v>Еда и соусы</x:v>
      </x:c>
      <x:c r="D595" s="28" t="str">
        <x:v>шоколад</x:v>
      </x:c>
      <x:c r="E595" s="28" t="str">
        <x:v>chocolate</x:v>
      </x:c>
      <x:c r="F595" s="28" t="str">
        <x:v>Какао и шоколад</x:v>
      </x:c>
      <x:c r="G595" s="28" t="str">
        <x:v>oyster leaf</x:v>
      </x:c>
      <x:c r="H595" s="28" t="str">
        <x:v>oyster leaf</x:v>
      </x:c>
      <x:c r="I595" s="28" t="str">
        <x:v>Рыба и морепродукты</x:v>
      </x:c>
      <x:c r="J595" s="28" t="str">
        <x:v>жареный, какаовый, фруктовый, цветочный, древесный и пряный; профиль зависит от происхождения и обжарки</x:v>
      </x:c>
      <x:c r="K595" s="28" t="str">
        <x:v>морской, солоноватый и умами</x:v>
      </x:c>
      <x:c r="L595" s="28" t="str">
        <x:v>пиразины, фураны, альдегиды, эфиры, теобромин</x:v>
      </x:c>
      <x:c r="M595" s="28" t="str">
        <x:v>альдегиды, амины</x:v>
      </x:c>
      <x:c r="N595" s="28" t="str">
        <x:v>прямое пересечение семейств не является единственным объяснением</x:v>
      </x:c>
      <x:c r="O595" s="28" t="str">
        <x:v>альдегиды</x:v>
      </x:c>
      <x:c r="P595" s="28" t="str">
        <x:v>общие ароматические соединения, солёно-умами контраст</x:v>
      </x:c>
      <x:c r="Q595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95" s="28" t="str">
        <x:v>мягкая терпкость; теобромин и кофеин усиливают горькое послевкусие</x:v>
      </x:c>
      <x:c r="S595" s="28" t="str">
        <x:v>какао-масло с частицами какао и сахаром; плавление во рту медленно высвобождает гидрофобные ароматы</x:v>
      </x:c>
      <x:c r="T59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9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«oyster leaf»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V595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W595" s="28" t="str">
        <x:v>соль, соевый соус, коричневое масло или специя</x:v>
      </x:c>
      <x:c r="X595" s="28" t="str">
        <x:v>ганаш, плитка, крем, мусс, напиток, глазурь или соус с oyster leaf</x:v>
      </x:c>
      <x:c r="Y595" s="28" t="str">
        <x:v>еда, десерты, соусы/маринады</x:v>
      </x:c>
      <x:c r="Z595" s="28" t="str">
        <x:v>Средняя</x:v>
      </x:c>
      <x:c r="AA595" s="28" t="str">
        <x:v>The Art &amp; Science of Foodpairing.pdf</x:v>
      </x:c>
      <x:c r="AB595" s="28" t="str">
        <x:v>The Art &amp; Science of Foodpairing.pdf: 62</x:v>
      </x:c>
      <x:c r="AC595" s="28" t="str">
        <x:v>Пара встречается как grid; научное объяснение сформировано по ароматическому профилю и пищевой матрице.</x:v>
      </x:c>
      <x:c r="AD595" s="28" t="n">
        <x:v>1</x:v>
      </x:c>
      <x:c r="AE595" s="28" t="n">
        <x:v>1</x:v>
      </x:c>
      <x:c r="AF595" s="28" t="n">
        <x:f>IF(Z595="Высокая",3,IF(Z595="Средняя",2,1))+AD595*2+MIN(AE595,3)</x:f>
        <x:v>5</x:v>
      </x:c>
    </x:row>
    <x:row r="596" ht="62" customHeight="1">
      <x:c r="A596" s="28" t="str">
        <x:v>NCT-0595</x:v>
      </x:c>
      <x:c r="B596" s="28" t="str">
        <x:v>шоколад</x:v>
      </x:c>
      <x:c r="C596" s="28" t="str">
        <x:v>Еда и соусы</x:v>
      </x:c>
      <x:c r="D596" s="28" t="str">
        <x:v>шоколад</x:v>
      </x:c>
      <x:c r="E596" s="28" t="str">
        <x:v>chocolate</x:v>
      </x:c>
      <x:c r="F596" s="28" t="str">
        <x:v>Какао и шоколад</x:v>
      </x:c>
      <x:c r="G596" s="28" t="str">
        <x:v>pan-fried king prawns</x:v>
      </x:c>
      <x:c r="H596" s="28" t="str">
        <x:v>pan-fried king prawns</x:v>
      </x:c>
      <x:c r="I596" s="28" t="str">
        <x:v>Рыба и морепродукты</x:v>
      </x:c>
      <x:c r="J596" s="28" t="str">
        <x:v>жареный, какаовый, фруктовый, цветочный, древесный и пряный; профиль зависит от происхождения и обжарки</x:v>
      </x:c>
      <x:c r="K596" s="28" t="str">
        <x:v>морской, солоноватый и умами</x:v>
      </x:c>
      <x:c r="L596" s="28" t="str">
        <x:v>пиразины, фураны, альдегиды, эфиры, теобромин</x:v>
      </x:c>
      <x:c r="M596" s="28" t="str">
        <x:v>альдегиды, амины</x:v>
      </x:c>
      <x:c r="N596" s="28" t="str">
        <x:v>прямое пересечение семейств не является единственным объяснением</x:v>
      </x:c>
      <x:c r="O596" s="28" t="str">
        <x:v>альдегиды</x:v>
      </x:c>
      <x:c r="P596" s="28" t="str">
        <x:v>общие ароматические соединения, солёно-умами контраст</x:v>
      </x:c>
      <x:c r="Q596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96" s="28" t="str">
        <x:v>мягкая терпкость; теобромин и кофеин усиливают горькое послевкусие</x:v>
      </x:c>
      <x:c r="S596" s="28" t="str">
        <x:v>какао-масло с частицами какао и сахаром; плавление во рту медленно высвобождает гидрофобные ароматы</x:v>
      </x:c>
      <x:c r="T59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9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king prawns»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V596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W596" s="28" t="str">
        <x:v>соль, соевый соус, коричневое масло или специя</x:v>
      </x:c>
      <x:c r="X596" s="28" t="str">
        <x:v>ганаш, плитка, крем, мусс, напиток, глазурь или соус с pan-fried king prawns</x:v>
      </x:c>
      <x:c r="Y596" s="28" t="str">
        <x:v>еда, десерты, соусы/маринады</x:v>
      </x:c>
      <x:c r="Z596" s="28" t="str">
        <x:v>Средняя</x:v>
      </x:c>
      <x:c r="AA596" s="28" t="str">
        <x:v>The Art &amp; Science of Foodpairing.pdf</x:v>
      </x:c>
      <x:c r="AB596" s="28" t="str">
        <x:v>The Art &amp; Science of Foodpairing.pdf: 62</x:v>
      </x:c>
      <x:c r="AC596" s="28" t="str">
        <x:v>Пара встречается как grid; научное объяснение сформировано по ароматическому профилю и пищевой матрице.</x:v>
      </x:c>
      <x:c r="AD596" s="28" t="n">
        <x:v>1</x:v>
      </x:c>
      <x:c r="AE596" s="28" t="n">
        <x:v>1</x:v>
      </x:c>
      <x:c r="AF596" s="28" t="n">
        <x:f>IF(Z596="Высокая",3,IF(Z596="Средняя",2,1))+AD596*2+MIN(AE596,3)</x:f>
        <x:v>5</x:v>
      </x:c>
    </x:row>
    <x:row r="597" ht="62" customHeight="1">
      <x:c r="A597" s="28" t="str">
        <x:v>NCT-0596</x:v>
      </x:c>
      <x:c r="B597" s="28" t="str">
        <x:v>шоколад</x:v>
      </x:c>
      <x:c r="C597" s="28" t="str">
        <x:v>Еда и соусы</x:v>
      </x:c>
      <x:c r="D597" s="28" t="str">
        <x:v>шоколад</x:v>
      </x:c>
      <x:c r="E597" s="28" t="str">
        <x:v>chocolate</x:v>
      </x:c>
      <x:c r="F597" s="28" t="str">
        <x:v>Какао и шоколад</x:v>
      </x:c>
      <x:c r="G597" s="28" t="str">
        <x:v>pan-fried kingprawn</x:v>
      </x:c>
      <x:c r="H597" s="28" t="str">
        <x:v>pan-fried kingprawn</x:v>
      </x:c>
      <x:c r="I597" s="28" t="str">
        <x:v>Рыба и морепродукты</x:v>
      </x:c>
      <x:c r="J597" s="28" t="str">
        <x:v>жареный, какаовый, фруктовый, цветочный, древесный и пряный; профиль зависит от происхождения и обжарки</x:v>
      </x:c>
      <x:c r="K597" s="28" t="str">
        <x:v>морской, солоноватый и умами</x:v>
      </x:c>
      <x:c r="L597" s="28" t="str">
        <x:v>пиразины, фураны, альдегиды, эфиры, теобромин</x:v>
      </x:c>
      <x:c r="M597" s="28" t="str">
        <x:v>альдегиды, амины</x:v>
      </x:c>
      <x:c r="N597" s="28" t="str">
        <x:v>прямое пересечение семейств не является единственным объяснением</x:v>
      </x:c>
      <x:c r="O597" s="28" t="str">
        <x:v>альдегиды</x:v>
      </x:c>
      <x:c r="P597" s="28" t="str">
        <x:v>общие ароматические соединения, солёно-умами контраст</x:v>
      </x:c>
      <x:c r="Q597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97" s="28" t="str">
        <x:v>мягкая терпкость; теобромин и кофеин усиливают горькое послевкусие</x:v>
      </x:c>
      <x:c r="S597" s="28" t="str">
        <x:v>какао-масло с частицами какао и сахаром; плавление во рту медленно высвобождает гидрофобные ароматы</x:v>
      </x:c>
      <x:c r="T59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9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kingprawn»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V597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W597" s="28" t="str">
        <x:v>соль, соевый соус, коричневое масло или специя</x:v>
      </x:c>
      <x:c r="X597" s="28" t="str">
        <x:v>ганаш, плитка, крем, мусс, напиток, глазурь или соус с pan-fried kingprawn</x:v>
      </x:c>
      <x:c r="Y597" s="28" t="str">
        <x:v>еда, десерты, соусы/маринады</x:v>
      </x:c>
      <x:c r="Z597" s="28" t="str">
        <x:v>Средняя</x:v>
      </x:c>
      <x:c r="AA597" s="28" t="str">
        <x:v>The Art &amp; Science of Foodpairing.pdf</x:v>
      </x:c>
      <x:c r="AB597" s="28" t="str">
        <x:v>The Art &amp; Science of Foodpairing.pdf: 62</x:v>
      </x:c>
      <x:c r="AC597" s="28" t="str">
        <x:v>Пара встречается как grid; научное объяснение сформировано по ароматическому профилю и пищевой матрице.</x:v>
      </x:c>
      <x:c r="AD597" s="28" t="n">
        <x:v>1</x:v>
      </x:c>
      <x:c r="AE597" s="28" t="n">
        <x:v>1</x:v>
      </x:c>
      <x:c r="AF597" s="28" t="n">
        <x:f>IF(Z597="Высокая",3,IF(Z597="Средняя",2,1))+AD597*2+MIN(AE597,3)</x:f>
        <x:v>5</x:v>
      </x:c>
    </x:row>
    <x:row r="598" ht="62" customHeight="1">
      <x:c r="A598" s="28" t="str">
        <x:v>NCT-0597</x:v>
      </x:c>
      <x:c r="B598" s="28" t="str">
        <x:v>шоколад</x:v>
      </x:c>
      <x:c r="C598" s="28" t="str">
        <x:v>Еда и соусы</x:v>
      </x:c>
      <x:c r="D598" s="28" t="str">
        <x:v>шоколад</x:v>
      </x:c>
      <x:c r="E598" s="28" t="str">
        <x:v>chocolate</x:v>
      </x:c>
      <x:c r="F598" s="28" t="str">
        <x:v>Какао и шоколад</x:v>
      </x:c>
      <x:c r="G598" s="28" t="str">
        <x:v>pan-fried porkloin</x:v>
      </x:c>
      <x:c r="H598" s="28" t="str">
        <x:v>pan-fried porkloin</x:v>
      </x:c>
      <x:c r="I598" s="28" t="str">
        <x:v>Мясо и птица</x:v>
      </x:c>
      <x:c r="J598" s="28" t="str">
        <x:v>жареный, какаовый, фруктовый, цветочный, древесный и пряный; профиль зависит от происхождения и обжарки</x:v>
      </x:c>
      <x:c r="K598" s="28" t="str">
        <x:v>жареный, мясной и умами</x:v>
      </x:c>
      <x:c r="L598" s="28" t="str">
        <x:v>пиразины, фураны, альдегиды, эфиры, теобромин</x:v>
      </x:c>
      <x:c r="M598" s="28" t="str">
        <x:v>пиразины, сернистые соединения</x:v>
      </x:c>
      <x:c r="N598" s="28" t="str">
        <x:v>жареный</x:v>
      </x:c>
      <x:c r="O598" s="28" t="str">
        <x:v>пиразины</x:v>
      </x:c>
      <x:c r="P59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598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98" s="28" t="str">
        <x:v>мягкая терпкость; теобромин и кофеин усиливают горькое послевкусие</x:v>
      </x:c>
      <x:c r="S598" s="28" t="str">
        <x:v>какао-масло с частицами какао и сахаром; плавление во рту медленно высвобождает гидрофобные ароматы</x:v>
      </x:c>
      <x:c r="T59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9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porkloin»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V598" s="28" t="str">
        <x:v>горечь и терпкость способны подавлять нежные продукты; содержит стимуляторы; аллергенные добавки возможны</x:v>
      </x:c>
      <x:c r="W598" s="28" t="str">
        <x:v>соль, соевый соус, коричневое масло или специя</x:v>
      </x:c>
      <x:c r="X598" s="28" t="str">
        <x:v>ганаш, плитка, крем, мусс, напиток, глазурь или соус с pan-fried porkloin</x:v>
      </x:c>
      <x:c r="Y598" s="28" t="str">
        <x:v>еда, десерты, соусы/маринады</x:v>
      </x:c>
      <x:c r="Z598" s="28" t="str">
        <x:v>Средняя</x:v>
      </x:c>
      <x:c r="AA598" s="28" t="str">
        <x:v>The Art &amp; Science of Foodpairing.pdf</x:v>
      </x:c>
      <x:c r="AB598" s="28" t="str">
        <x:v>The Art &amp; Science of Foodpairing.pdf: 62</x:v>
      </x:c>
      <x:c r="AC598" s="28" t="str">
        <x:v>Пара встречается как grid; научное объяснение сформировано по ароматическому профилю и пищевой матрице.</x:v>
      </x:c>
      <x:c r="AD598" s="28" t="n">
        <x:v>1</x:v>
      </x:c>
      <x:c r="AE598" s="28" t="n">
        <x:v>1</x:v>
      </x:c>
      <x:c r="AF598" s="28" t="n">
        <x:f>IF(Z598="Высокая",3,IF(Z598="Средняя",2,1))+AD598*2+MIN(AE598,3)</x:f>
        <x:v>5</x:v>
      </x:c>
    </x:row>
    <x:row r="599" ht="62" customHeight="1">
      <x:c r="A599" s="28" t="str">
        <x:v>NCT-0598</x:v>
      </x:c>
      <x:c r="B599" s="28" t="str">
        <x:v>шоколад</x:v>
      </x:c>
      <x:c r="C599" s="28" t="str">
        <x:v>Еда и соусы</x:v>
      </x:c>
      <x:c r="D599" s="28" t="str">
        <x:v>шоколад</x:v>
      </x:c>
      <x:c r="E599" s="28" t="str">
        <x:v>chocolate</x:v>
      </x:c>
      <x:c r="F599" s="28" t="str">
        <x:v>Какао и шоколад</x:v>
      </x:c>
      <x:c r="G599" s="28" t="str">
        <x:v>pan-fried quail</x:v>
      </x:c>
      <x:c r="H599" s="28" t="str">
        <x:v>pan-fried quail</x:v>
      </x:c>
      <x:c r="I599" s="28" t="str">
        <x:v>Мясо и птица</x:v>
      </x:c>
      <x:c r="J599" s="28" t="str">
        <x:v>жареный, какаовый, фруктовый, цветочный, древесный и пряный; профиль зависит от происхождения и обжарки</x:v>
      </x:c>
      <x:c r="K599" s="28" t="str">
        <x:v>жареный, мясной и умами</x:v>
      </x:c>
      <x:c r="L599" s="28" t="str">
        <x:v>пиразины, фураны, альдегиды, эфиры, теобромин</x:v>
      </x:c>
      <x:c r="M599" s="28" t="str">
        <x:v>пиразины, сернистые соединения</x:v>
      </x:c>
      <x:c r="N599" s="28" t="str">
        <x:v>жареный</x:v>
      </x:c>
      <x:c r="O599" s="28" t="str">
        <x:v>пиразины</x:v>
      </x:c>
      <x:c r="P599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599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599" s="28" t="str">
        <x:v>мягкая терпкость; теобромин и кофеин усиливают горькое послевкусие</x:v>
      </x:c>
      <x:c r="S599" s="28" t="str">
        <x:v>какао-масло с частицами какао и сахаром; плавление во рту медленно высвобождает гидрофобные ароматы</x:v>
      </x:c>
      <x:c r="T59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59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quail»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V599" s="28" t="str">
        <x:v>горечь и терпкость способны подавлять нежные продукты; содержит стимуляторы; аллергенные добавки возможны</x:v>
      </x:c>
      <x:c r="W599" s="28" t="str">
        <x:v>соль, соевый соус, коричневое масло или специя</x:v>
      </x:c>
      <x:c r="X599" s="28" t="str">
        <x:v>ганаш, плитка, крем, мусс, напиток, глазурь или соус с pan-fried quail</x:v>
      </x:c>
      <x:c r="Y599" s="28" t="str">
        <x:v>еда, десерты, соусы/маринады</x:v>
      </x:c>
      <x:c r="Z599" s="28" t="str">
        <x:v>Средняя</x:v>
      </x:c>
      <x:c r="AA599" s="28" t="str">
        <x:v>The Art &amp; Science of Foodpairing.pdf</x:v>
      </x:c>
      <x:c r="AB599" s="28" t="str">
        <x:v>The Art &amp; Science of Foodpairing.pdf: 62</x:v>
      </x:c>
      <x:c r="AC599" s="28" t="str">
        <x:v>Пара встречается как grid; научное объяснение сформировано по ароматическому профилю и пищевой матрице.</x:v>
      </x:c>
      <x:c r="AD599" s="28" t="n">
        <x:v>1</x:v>
      </x:c>
      <x:c r="AE599" s="28" t="n">
        <x:v>1</x:v>
      </x:c>
      <x:c r="AF599" s="28" t="n">
        <x:f>IF(Z599="Высокая",3,IF(Z599="Средняя",2,1))+AD599*2+MIN(AE599,3)</x:f>
        <x:v>5</x:v>
      </x:c>
    </x:row>
    <x:row r="600" ht="62" customHeight="1">
      <x:c r="A600" s="28" t="str">
        <x:v>NCT-0599</x:v>
      </x:c>
      <x:c r="B600" s="28" t="str">
        <x:v>шоколад</x:v>
      </x:c>
      <x:c r="C600" s="28" t="str">
        <x:v>Универсальные</x:v>
      </x:c>
      <x:c r="D600" s="28" t="str">
        <x:v>шоколад</x:v>
      </x:c>
      <x:c r="E600" s="28" t="str">
        <x:v>dark chocolate</x:v>
      </x:c>
      <x:c r="F600" s="28" t="str">
        <x:v>Какао и шоколад</x:v>
      </x:c>
      <x:c r="G600" s="28" t="str">
        <x:v>peppercorns</x:v>
      </x:c>
      <x:c r="H600" s="28" t="str">
        <x:v>peppercorns</x:v>
      </x:c>
      <x:c r="I600" s="28" t="str">
        <x:v>Специи</x:v>
      </x:c>
      <x:c r="J600" s="28" t="str">
        <x:v>жареный, какаовый, фруктовый, цветочный, древесный и пряный; профиль зависит от происхождения и обжарки</x:v>
      </x:c>
      <x:c r="K600" s="28" t="str">
        <x:v>пряный и древесный</x:v>
      </x:c>
      <x:c r="L600" s="28" t="str">
        <x:v>пиразины, фураны, альдегиды, эфиры, теобромин</x:v>
      </x:c>
      <x:c r="M600" s="28" t="str">
        <x:v>терпены, фенилпропаноиды</x:v>
      </x:c>
      <x:c r="N600" s="28" t="str">
        <x:v>древесный</x:v>
      </x:c>
      <x:c r="O600" s="28" t="str">
        <x:v>надежная общая ключевая молекула не подтверждена</x:v>
      </x:c>
      <x:c r="P600" s="28" t="str">
        <x:v>пересечение ароматических семейств</x:v>
      </x:c>
      <x:c r="Q600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00" s="28" t="str">
        <x:v>мягкая терпкость; теобромин и кофеин усиливают горькое послевкусие</x:v>
      </x:c>
      <x:c r="S600" s="28" t="str">
        <x:v>какао-масло с частицами какао и сахаром; плавление во рту медленно высвобождает гидрофобные ароматы</x:v>
      </x:c>
      <x:c r="T60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0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«peppercorns» относится к группе «Специи» и даёт пряный и древесный.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V600" s="28" t="str">
        <x:v>горечь и терпкость способны подавлять нежные продукты; содержит стимуляторы; аллергенные добавки возможны</x:v>
      </x:c>
      <x:c r="W600" s="28" t="str">
        <x:v>ваниль, апельсин или мёд</x:v>
      </x:c>
      <x:c r="X600" s="28" t="str">
        <x:v>ганаш, плитка, крем, мусс, напиток, глазурь или соус с peppercorns</x:v>
      </x:c>
      <x:c r="Y600" s="28" t="str">
        <x:v>десерты</x:v>
      </x:c>
      <x:c r="Z600" s="28" t="str">
        <x:v>Средняя</x:v>
      </x:c>
      <x:c r="AA600" s="28" t="str">
        <x:v>The Art &amp; Science of Foodpairing.pdf</x:v>
      </x:c>
      <x:c r="AB600" s="28" t="str">
        <x:v>The Art &amp; Science of Foodpairing.pdf: 273, 274</x:v>
      </x:c>
      <x:c r="AC600" s="28" t="str">
        <x:v>Пара встречается как grid; научное объяснение сформировано по ароматическому профилю и пищевой матрице.</x:v>
      </x:c>
      <x:c r="AD600" s="28" t="n">
        <x:v>1</x:v>
      </x:c>
      <x:c r="AE600" s="28" t="n">
        <x:v>2</x:v>
      </x:c>
      <x:c r="AF600" s="28" t="n">
        <x:f>IF(Z600="Высокая",3,IF(Z600="Средняя",2,1))+AD600*2+MIN(AE600,3)</x:f>
        <x:v>6</x:v>
      </x:c>
    </x:row>
    <x:row r="601" ht="62" customHeight="1">
      <x:c r="A601" s="28" t="str">
        <x:v>NCT-0600</x:v>
      </x:c>
      <x:c r="B601" s="28" t="str">
        <x:v>шоколад</x:v>
      </x:c>
      <x:c r="C601" s="28" t="str">
        <x:v>Универсальные</x:v>
      </x:c>
      <x:c r="D601" s="28" t="str">
        <x:v>шоколад</x:v>
      </x:c>
      <x:c r="E601" s="28" t="str">
        <x:v>chocolate</x:v>
      </x:c>
      <x:c r="F601" s="28" t="str">
        <x:v>Какао и шоколад</x:v>
      </x:c>
      <x:c r="G601" s="28" t="str">
        <x:v>purple sage</x:v>
      </x:c>
      <x:c r="H601" s="28" t="str">
        <x:v>purple sage</x:v>
      </x:c>
      <x:c r="I601" s="28" t="str">
        <x:v>Травы, цветы и листья</x:v>
      </x:c>
      <x:c r="J601" s="28" t="str">
        <x:v>жареный, какаовый, фруктовый, цветочный, древесный и пряный; профиль зависит от происхождения и обжарки</x:v>
      </x:c>
      <x:c r="K601" s="28" t="str">
        <x:v>зелёный, цветочный и терпеновый</x:v>
      </x:c>
      <x:c r="L601" s="28" t="str">
        <x:v>пиразины, фураны, альдегиды, эфиры, теобромин</x:v>
      </x:c>
      <x:c r="M601" s="28" t="str">
        <x:v>линалоол, терпены</x:v>
      </x:c>
      <x:c r="N601" s="28" t="str">
        <x:v>прямое пересечение семейств не является единственным объяснением</x:v>
      </x:c>
      <x:c r="O601" s="28" t="str">
        <x:v>надежная общая ключевая молекула не подтверждена</x:v>
      </x:c>
      <x:c r="P601" s="28" t="str">
        <x:v>сенсорная комплементарность</x:v>
      </x:c>
      <x:c r="Q601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01" s="28" t="str">
        <x:v>мягкая терпкость; теобромин и кофеин усиливают горькое послевкусие</x:v>
      </x:c>
      <x:c r="S601" s="28" t="str">
        <x:v>какао-масло с частицами какао и сахаром; плавление во рту медленно высвобождает гидрофобные ароматы</x:v>
      </x:c>
      <x:c r="T60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0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«purple sage»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01" s="28" t="str">
        <x:v>горечь и терпкость способны подавлять нежные продукты; содержит стимуляторы; аллергенные добавки возможны</x:v>
      </x:c>
      <x:c r="W601" s="28" t="str">
        <x:v>цитрус, мёд или сливки</x:v>
      </x:c>
      <x:c r="X601" s="28" t="str">
        <x:v>ганаш, плитка, крем, мусс, напиток, глазурь или соус с purple sage</x:v>
      </x:c>
      <x:c r="Y601" s="28" t="str">
        <x:v>десерты</x:v>
      </x:c>
      <x:c r="Z601" s="28" t="str">
        <x:v>Средняя</x:v>
      </x:c>
      <x:c r="AA601" s="28" t="str">
        <x:v>The Art &amp; Science of Foodpairing.pdf</x:v>
      </x:c>
      <x:c r="AB601" s="28" t="str">
        <x:v>The Art &amp; Science of Foodpairing.pdf: 62</x:v>
      </x:c>
      <x:c r="AC601" s="28" t="str">
        <x:v>Пара встречается как grid; научное объяснение сформировано по ароматическому профилю и пищевой матрице.</x:v>
      </x:c>
      <x:c r="AD601" s="28" t="n">
        <x:v>1</x:v>
      </x:c>
      <x:c r="AE601" s="28" t="n">
        <x:v>1</x:v>
      </x:c>
      <x:c r="AF601" s="28" t="n">
        <x:f>IF(Z601="Высокая",3,IF(Z601="Средняя",2,1))+AD601*2+MIN(AE601,3)</x:f>
        <x:v>5</x:v>
      </x:c>
    </x:row>
    <x:row r="602" ht="62" customHeight="1">
      <x:c r="A602" s="28" t="str">
        <x:v>NCT-0601</x:v>
      </x:c>
      <x:c r="B602" s="28" t="str">
        <x:v>шоколад</x:v>
      </x:c>
      <x:c r="C602" s="28" t="str">
        <x:v>Напитки</x:v>
      </x:c>
      <x:c r="D602" s="28" t="str">
        <x:v>шоколад</x:v>
      </x:c>
      <x:c r="E602" s="28" t="str">
        <x:v>chocolate</x:v>
      </x:c>
      <x:c r="F602" s="28" t="str">
        <x:v>Какао и шоколад</x:v>
      </x:c>
      <x:c r="G602" s="28" t="str">
        <x:v>red winevinegar</x:v>
      </x:c>
      <x:c r="H602" s="28" t="str">
        <x:v>red winevinegar</x:v>
      </x:c>
      <x:c r="I602" s="28" t="str">
        <x:v>Алкогольные напитки</x:v>
      </x:c>
      <x:c r="J602" s="28" t="str">
        <x:v>жареный, какаовый, фруктовый, цветочный, древесный и пряный; профиль зависит от происхождения и обжарки</x:v>
      </x:c>
      <x:c r="K602" s="28" t="str">
        <x:v>спиртовой, фруктовый или древесный</x:v>
      </x:c>
      <x:c r="L602" s="28" t="str">
        <x:v>пиразины, фураны, альдегиды, эфиры, теобромин</x:v>
      </x:c>
      <x:c r="M602" s="28" t="str">
        <x:v>альдегиды, эфиры</x:v>
      </x:c>
      <x:c r="N602" s="28" t="str">
        <x:v>древесный, фруктовый</x:v>
      </x:c>
      <x:c r="O602" s="28" t="str">
        <x:v>альдегиды, эфиры</x:v>
      </x:c>
      <x:c r="P602" s="28" t="str">
        <x:v>общие ароматические соединения, пересечение ароматических семейств</x:v>
      </x:c>
      <x:c r="Q602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02" s="28" t="str">
        <x:v>мягкая терпкость; теобромин и кофеин усиливают горькое послевкусие</x:v>
      </x:c>
      <x:c r="S602" s="28" t="str">
        <x:v>какао-масло с частицами какао и сахаром; плавление во рту медленно высвобождает гидрофобные ароматы Этанол эффективно извлекает терпены, фенолы и жареные молекулы; время контакта нужно ограничивать.</x:v>
      </x:c>
      <x:c r="T60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0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«red winevinegar» относится к группе «Алкогольные напитки» и даёт спиртовой, фруктовый или древесный. Молекулярный мост создают альдегиды, эфиры Какао-масло медленно высвобождает липофильные ароматы, а сахар и соль изменяют воспринимаемую горечь. Итог: древесный, фруктовый; альдегиды, эфиры.</x:v>
      </x:c>
      <x:c r="V602" s="28" t="str">
        <x:v>горечь и терпкость способны подавлять нежные продукты; содержит стимуляторы; аллергенные добавки возможны</x:v>
      </x:c>
      <x:c r="W602" s="28" t="str">
        <x:v>соль, ваниль или карамель</x:v>
      </x:c>
      <x:c r="X602" s="28" t="str">
        <x:v>ганаш, плитка, крем, мусс, напиток, глазурь или соус с red winevinegar</x:v>
      </x:c>
      <x:c r="Y602" s="28" t="str">
        <x:v>напитки, десерты</x:v>
      </x:c>
      <x:c r="Z602" s="28" t="str">
        <x:v>Средняя</x:v>
      </x:c>
      <x:c r="AA602" s="28" t="str">
        <x:v>The Art &amp; Science of Foodpairing.pdf</x:v>
      </x:c>
      <x:c r="AB602" s="28" t="str">
        <x:v>The Art &amp; Science of Foodpairing.pdf: 62</x:v>
      </x:c>
      <x:c r="AC602" s="28" t="str">
        <x:v>Пара встречается как grid; научное объяснение сформировано по ароматическому профилю и пищевой матрице.</x:v>
      </x:c>
      <x:c r="AD602" s="28" t="n">
        <x:v>1</x:v>
      </x:c>
      <x:c r="AE602" s="28" t="n">
        <x:v>1</x:v>
      </x:c>
      <x:c r="AF602" s="28" t="n">
        <x:f>IF(Z602="Высокая",3,IF(Z602="Средняя",2,1))+AD602*2+MIN(AE602,3)</x:f>
        <x:v>5</x:v>
      </x:c>
    </x:row>
    <x:row r="603" ht="62" customHeight="1">
      <x:c r="A603" s="28" t="str">
        <x:v>NCT-0602</x:v>
      </x:c>
      <x:c r="B603" s="28" t="str">
        <x:v>шоколад</x:v>
      </x:c>
      <x:c r="C603" s="28" t="str">
        <x:v>Десерты и выпечка</x:v>
      </x:c>
      <x:c r="D603" s="28" t="str">
        <x:v>шоколад</x:v>
      </x:c>
      <x:c r="E603" s="28" t="str">
        <x:v>chocolate</x:v>
      </x:c>
      <x:c r="F603" s="28" t="str">
        <x:v>Какао и шоколад</x:v>
      </x:c>
      <x:c r="G603" s="28" t="str">
        <x:v>rhubarb</x:v>
      </x:c>
      <x:c r="H603" s="28" t="str">
        <x:v>rhubarb</x:v>
      </x:c>
      <x:c r="I603" s="28" t="str">
        <x:v>Фрукты и ягоды</x:v>
      </x:c>
      <x:c r="J603" s="28" t="str">
        <x:v>жареный, какаовый, фруктовый, цветочный, древесный и пряный; профиль зависит от происхождения и обжарки</x:v>
      </x:c>
      <x:c r="K603" s="28" t="str">
        <x:v>фруктовый, цветочный и свежий</x:v>
      </x:c>
      <x:c r="L603" s="28" t="str">
        <x:v>пиразины, фураны, альдегиды, эфиры, теобромин</x:v>
      </x:c>
      <x:c r="M603" s="28" t="str">
        <x:v>альдегиды, эфиры</x:v>
      </x:c>
      <x:c r="N603" s="28" t="str">
        <x:v>фруктовый</x:v>
      </x:c>
      <x:c r="O603" s="28" t="str">
        <x:v>альдегиды, эфиры</x:v>
      </x:c>
      <x:c r="P603" s="28" t="str">
        <x:v>общие ароматические соединения, пересечение ароматических семейств, контраст кислоты и жирной/горькой матрицы</x:v>
      </x:c>
      <x:c r="Q603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03" s="28" t="str">
        <x:v>мягкая терпкость; теобромин и кофеин усиливают горькое послевкусие</x:v>
      </x:c>
      <x:c r="S603" s="28" t="str">
        <x:v>какао-масло с частицами какао и сахаром; плавление во рту медленно высвобождает гидрофобные ароматы Водная фруктовая фаза требует эмульсии или мелкого измельчения, если орех или шоколад вводится как паста.</x:v>
      </x:c>
      <x:c r="T60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0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«rhubarb»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V603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W603" s="28" t="str">
        <x:v>ваниль, цитрус или молочный жир</x:v>
      </x:c>
      <x:c r="X603" s="28" t="str">
        <x:v>ганаш, плитка, крем, мусс, напиток, глазурь или соус с rhubarb</x:v>
      </x:c>
      <x:c r="Y603" s="28" t="str">
        <x:v>десерты</x:v>
      </x:c>
      <x:c r="Z603" s="28" t="str">
        <x:v>Средняя</x:v>
      </x:c>
      <x:c r="AA603" s="28" t="str">
        <x:v>The Art &amp; Science of Foodpairing.pdf</x:v>
      </x:c>
      <x:c r="AB603" s="28" t="str">
        <x:v>The Art &amp; Science of Foodpairing.pdf: 62</x:v>
      </x:c>
      <x:c r="AC603" s="28" t="str">
        <x:v>Пара встречается как grid; научное объяснение сформировано по ароматическому профилю и пищевой матрице.</x:v>
      </x:c>
      <x:c r="AD603" s="28" t="n">
        <x:v>1</x:v>
      </x:c>
      <x:c r="AE603" s="28" t="n">
        <x:v>1</x:v>
      </x:c>
      <x:c r="AF603" s="28" t="n">
        <x:f>IF(Z603="Высокая",3,IF(Z603="Средняя",2,1))+AD603*2+MIN(AE603,3)</x:f>
        <x:v>5</x:v>
      </x:c>
    </x:row>
    <x:row r="604" ht="62" customHeight="1">
      <x:c r="A604" s="28" t="str">
        <x:v>NCT-0603</x:v>
      </x:c>
      <x:c r="B604" s="28" t="str">
        <x:v>шоколад</x:v>
      </x:c>
      <x:c r="C604" s="28" t="str">
        <x:v>Еда и соусы</x:v>
      </x:c>
      <x:c r="D604" s="28" t="str">
        <x:v>шоколад</x:v>
      </x:c>
      <x:c r="E604" s="28" t="str">
        <x:v>chocolate</x:v>
      </x:c>
      <x:c r="F604" s="28" t="str">
        <x:v>Какао и шоколад</x:v>
      </x:c>
      <x:c r="G604" s="28" t="str">
        <x:v>roastedbrown shrimp</x:v>
      </x:c>
      <x:c r="H604" s="28" t="str">
        <x:v>roastedbrown shrimp</x:v>
      </x:c>
      <x:c r="I604" s="28" t="str">
        <x:v>Рыба и морепродукты</x:v>
      </x:c>
      <x:c r="J604" s="28" t="str">
        <x:v>жареный, какаовый, фруктовый, цветочный, древесный и пряный; профиль зависит от происхождения и обжарки</x:v>
      </x:c>
      <x:c r="K604" s="28" t="str">
        <x:v>морской, солоноватый и умами</x:v>
      </x:c>
      <x:c r="L604" s="28" t="str">
        <x:v>пиразины, фураны, альдегиды, эфиры, теобромин</x:v>
      </x:c>
      <x:c r="M604" s="28" t="str">
        <x:v>альдегиды, амины</x:v>
      </x:c>
      <x:c r="N604" s="28" t="str">
        <x:v>прямое пересечение семейств не является единственным объяснением</x:v>
      </x:c>
      <x:c r="O604" s="28" t="str">
        <x:v>альдегиды</x:v>
      </x:c>
      <x:c r="P604" s="28" t="str">
        <x:v>общие ароматические соединения, солёно-умами контраст</x:v>
      </x:c>
      <x:c r="Q604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04" s="28" t="str">
        <x:v>мягкая терпкость; теобромин и кофеин усиливают горькое послевкусие</x:v>
      </x:c>
      <x:c r="S604" s="28" t="str">
        <x:v>какао-масло с частицами какао и сахаром; плавление во рту медленно высвобождает гидрофобные ароматы</x:v>
      </x:c>
      <x:c r="T60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0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«roastedbrown shrimp»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V604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W604" s="28" t="str">
        <x:v>соль, соевый соус, коричневое масло или специя</x:v>
      </x:c>
      <x:c r="X604" s="28" t="str">
        <x:v>ганаш, плитка, крем, мусс, напиток, глазурь или соус с roastedbrown shrimp</x:v>
      </x:c>
      <x:c r="Y604" s="28" t="str">
        <x:v>еда, десерты, соусы/маринады</x:v>
      </x:c>
      <x:c r="Z604" s="28" t="str">
        <x:v>Средняя</x:v>
      </x:c>
      <x:c r="AA604" s="28" t="str">
        <x:v>The Art &amp; Science of Foodpairing.pdf</x:v>
      </x:c>
      <x:c r="AB604" s="28" t="str">
        <x:v>The Art &amp; Science of Foodpairing.pdf: 62</x:v>
      </x:c>
      <x:c r="AC604" s="28" t="str">
        <x:v>Пара встречается как grid; научное объяснение сформировано по ароматическому профилю и пищевой матрице.</x:v>
      </x:c>
      <x:c r="AD604" s="28" t="n">
        <x:v>1</x:v>
      </x:c>
      <x:c r="AE604" s="28" t="n">
        <x:v>1</x:v>
      </x:c>
      <x:c r="AF604" s="28" t="n">
        <x:f>IF(Z604="Высокая",3,IF(Z604="Средняя",2,1))+AD604*2+MIN(AE604,3)</x:f>
        <x:v>5</x:v>
      </x:c>
    </x:row>
    <x:row r="605" ht="62" customHeight="1">
      <x:c r="A605" s="28" t="str">
        <x:v>NCT-0604</x:v>
      </x:c>
      <x:c r="B605" s="28" t="str">
        <x:v>шоколад</x:v>
      </x:c>
      <x:c r="C605" s="28" t="str">
        <x:v>Десерты и выпечка</x:v>
      </x:c>
      <x:c r="D605" s="28" t="str">
        <x:v>шоколад</x:v>
      </x:c>
      <x:c r="E605" s="28" t="str">
        <x:v>chocolate</x:v>
      </x:c>
      <x:c r="F605" s="28" t="str">
        <x:v>Какао и шоколад</x:v>
      </x:c>
      <x:c r="G605" s="28" t="str">
        <x:v>roastedcashew nut</x:v>
      </x:c>
      <x:c r="H605" s="28" t="str">
        <x:v>roastedcashew nut</x:v>
      </x:c>
      <x:c r="I605" s="28" t="str">
        <x:v>Орехи и семена</x:v>
      </x:c>
      <x:c r="J605" s="28" t="str">
        <x:v>жареный, какаовый, фруктовый, цветочный, древесный и пряный; профиль зависит от происхождения и обжарки</x:v>
      </x:c>
      <x:c r="K605" s="28" t="str">
        <x:v>ореховый, жареный и жирный</x:v>
      </x:c>
      <x:c r="L605" s="28" t="str">
        <x:v>пиразины, фураны, альдегиды, эфиры, теобромин</x:v>
      </x:c>
      <x:c r="M605" s="28" t="str">
        <x:v>альдегиды, пиразины, фураны</x:v>
      </x:c>
      <x:c r="N605" s="28" t="str">
        <x:v>жареный</x:v>
      </x:c>
      <x:c r="O605" s="28" t="str">
        <x:v>альдегиды, пиразины, фураны</x:v>
      </x:c>
      <x:c r="P605" s="28" t="str">
        <x:v>общие ароматические соединения, пересечение ароматических семейств, жареная химия и реакции Майяра</x:v>
      </x:c>
      <x:c r="Q605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05" s="28" t="str">
        <x:v>мягкая терпкость; теобромин и кофеин усиливают горькое послевкусие</x:v>
      </x:c>
      <x:c r="S605" s="28" t="str">
        <x:v>какао-масло с частицами какао и сахаром; плавление во рту медленно высвобождает гидрофобные ароматы</x:v>
      </x:c>
      <x:c r="T60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0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«roastedcashew nut» относится к группе «Орехи и семена» и даёт ореховый, жареный и жирный.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жареный; альдегиды, пиразины, фураны.</x:v>
      </x:c>
      <x:c r="V605" s="28" t="str">
        <x:v>горечь и терпкость способны подавлять нежные продукты; содержит стимуляторы; аллергенные добавки возможны</x:v>
      </x:c>
      <x:c r="W605" s="28" t="str">
        <x:v>соль, ваниль или карамель</x:v>
      </x:c>
      <x:c r="X605" s="28" t="str">
        <x:v>ганаш, плитка, крем, мусс, напиток, глазурь или соус с roastedcashew nut</x:v>
      </x:c>
      <x:c r="Y605" s="28" t="str">
        <x:v>десерты</x:v>
      </x:c>
      <x:c r="Z605" s="28" t="str">
        <x:v>Средняя</x:v>
      </x:c>
      <x:c r="AA605" s="28" t="str">
        <x:v>The Art &amp; Science of Foodpairing.pdf</x:v>
      </x:c>
      <x:c r="AB605" s="28" t="str">
        <x:v>The Art &amp; Science of Foodpairing.pdf: 62</x:v>
      </x:c>
      <x:c r="AC605" s="28" t="str">
        <x:v>Пара встречается как grid; научное объяснение сформировано по ароматическому профилю и пищевой матрице.</x:v>
      </x:c>
      <x:c r="AD605" s="28" t="n">
        <x:v>1</x:v>
      </x:c>
      <x:c r="AE605" s="28" t="n">
        <x:v>1</x:v>
      </x:c>
      <x:c r="AF605" s="28" t="n">
        <x:f>IF(Z605="Высокая",3,IF(Z605="Средняя",2,1))+AD605*2+MIN(AE605,3)</x:f>
        <x:v>5</x:v>
      </x:c>
    </x:row>
    <x:row r="606" ht="62" customHeight="1">
      <x:c r="A606" s="28" t="str">
        <x:v>NCT-0605</x:v>
      </x:c>
      <x:c r="B606" s="28" t="str">
        <x:v>шоколад</x:v>
      </x:c>
      <x:c r="C606" s="28" t="str">
        <x:v>Еда и соусы</x:v>
      </x:c>
      <x:c r="D606" s="28" t="str">
        <x:v>шоколад</x:v>
      </x:c>
      <x:c r="E606" s="28" t="str">
        <x:v>chocolate</x:v>
      </x:c>
      <x:c r="F606" s="28" t="str">
        <x:v>Какао и шоколад</x:v>
      </x:c>
      <x:c r="G606" s="28" t="str">
        <x:v>salted anchovies</x:v>
      </x:c>
      <x:c r="H606" s="28" t="str">
        <x:v>salted anchovies</x:v>
      </x:c>
      <x:c r="I606" s="28" t="str">
        <x:v>Рыба и морепродукты</x:v>
      </x:c>
      <x:c r="J606" s="28" t="str">
        <x:v>жареный, какаовый, фруктовый, цветочный, древесный и пряный; профиль зависит от происхождения и обжарки</x:v>
      </x:c>
      <x:c r="K606" s="28" t="str">
        <x:v>морской, солоноватый и умами</x:v>
      </x:c>
      <x:c r="L606" s="28" t="str">
        <x:v>пиразины, фураны, альдегиды, эфиры, теобромин</x:v>
      </x:c>
      <x:c r="M606" s="28" t="str">
        <x:v>альдегиды, амины</x:v>
      </x:c>
      <x:c r="N606" s="28" t="str">
        <x:v>прямое пересечение семейств не является единственным объяснением</x:v>
      </x:c>
      <x:c r="O606" s="28" t="str">
        <x:v>альдегиды</x:v>
      </x:c>
      <x:c r="P606" s="28" t="str">
        <x:v>общие ароматические соединения, солёно-умами контраст</x:v>
      </x:c>
      <x:c r="Q606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06" s="28" t="str">
        <x:v>мягкая терпкость; теобромин и кофеин усиливают горькое послевкусие</x:v>
      </x:c>
      <x:c r="S606" s="28" t="str">
        <x:v>какао-масло с частицами какао и сахаром; плавление во рту медленно высвобождает гидрофобные ароматы</x:v>
      </x:c>
      <x:c r="T60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0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«salted anchovies»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V606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W606" s="28" t="str">
        <x:v>соль, соевый соус, коричневое масло или специя</x:v>
      </x:c>
      <x:c r="X606" s="28" t="str">
        <x:v>ганаш, плитка, крем, мусс, напиток, глазурь или соус с salted anchovies</x:v>
      </x:c>
      <x:c r="Y606" s="28" t="str">
        <x:v>еда, десерты, соусы/маринады</x:v>
      </x:c>
      <x:c r="Z606" s="28" t="str">
        <x:v>Средняя</x:v>
      </x:c>
      <x:c r="AA606" s="28" t="str">
        <x:v>The Art &amp; Science of Foodpairing.pdf</x:v>
      </x:c>
      <x:c r="AB606" s="28" t="str">
        <x:v>The Art &amp; Science of Foodpairing.pdf: 62</x:v>
      </x:c>
      <x:c r="AC606" s="28" t="str">
        <x:v>Пара встречается как grid; научное объяснение сформировано по ароматическому профилю и пищевой матрице.</x:v>
      </x:c>
      <x:c r="AD606" s="28" t="n">
        <x:v>1</x:v>
      </x:c>
      <x:c r="AE606" s="28" t="n">
        <x:v>1</x:v>
      </x:c>
      <x:c r="AF606" s="28" t="n">
        <x:f>IF(Z606="Высокая",3,IF(Z606="Средняя",2,1))+AD606*2+MIN(AE606,3)</x:f>
        <x:v>5</x:v>
      </x:c>
    </x:row>
    <x:row r="607" ht="62" customHeight="1">
      <x:c r="A607" s="28" t="str">
        <x:v>NCT-0606</x:v>
      </x:c>
      <x:c r="B607" s="28" t="str">
        <x:v>шоколад</x:v>
      </x:c>
      <x:c r="C607" s="28" t="str">
        <x:v>Еда и соусы</x:v>
      </x:c>
      <x:c r="D607" s="28" t="str">
        <x:v>шоколад</x:v>
      </x:c>
      <x:c r="E607" s="28" t="str">
        <x:v>chocolate</x:v>
      </x:c>
      <x:c r="F607" s="28" t="str">
        <x:v>Какао и шоколад</x:v>
      </x:c>
      <x:c r="G607" s="28" t="str">
        <x:v>salted dried cod</x:v>
      </x:c>
      <x:c r="H607" s="28" t="str">
        <x:v>salted dried cod</x:v>
      </x:c>
      <x:c r="I607" s="28" t="str">
        <x:v>Рыба и морепродукты</x:v>
      </x:c>
      <x:c r="J607" s="28" t="str">
        <x:v>жареный, какаовый, фруктовый, цветочный, древесный и пряный; профиль зависит от происхождения и обжарки</x:v>
      </x:c>
      <x:c r="K607" s="28" t="str">
        <x:v>морской, солоноватый и умами</x:v>
      </x:c>
      <x:c r="L607" s="28" t="str">
        <x:v>пиразины, фураны, альдегиды, эфиры, теобромин</x:v>
      </x:c>
      <x:c r="M607" s="28" t="str">
        <x:v>альдегиды, амины</x:v>
      </x:c>
      <x:c r="N607" s="28" t="str">
        <x:v>прямое пересечение семейств не является единственным объяснением</x:v>
      </x:c>
      <x:c r="O607" s="28" t="str">
        <x:v>альдегиды</x:v>
      </x:c>
      <x:c r="P607" s="28" t="str">
        <x:v>общие ароматические соединения, солёно-умами контраст</x:v>
      </x:c>
      <x:c r="Q607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07" s="28" t="str">
        <x:v>мягкая терпкость; теобромин и кофеин усиливают горькое послевкусие</x:v>
      </x:c>
      <x:c r="S607" s="28" t="str">
        <x:v>какао-масло с частицами какао и сахаром; плавление во рту медленно высвобождает гидрофобные ароматы</x:v>
      </x:c>
      <x:c r="T60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0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«salted dried cod»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V607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W607" s="28" t="str">
        <x:v>соль, соевый соус, коричневое масло или специя</x:v>
      </x:c>
      <x:c r="X607" s="28" t="str">
        <x:v>ганаш, плитка, крем, мусс, напиток, глазурь или соус с salted dried cod</x:v>
      </x:c>
      <x:c r="Y607" s="28" t="str">
        <x:v>еда, десерты, соусы/маринады</x:v>
      </x:c>
      <x:c r="Z607" s="28" t="str">
        <x:v>Средняя</x:v>
      </x:c>
      <x:c r="AA607" s="28" t="str">
        <x:v>The Art &amp; Science of Foodpairing.pdf</x:v>
      </x:c>
      <x:c r="AB607" s="28" t="str">
        <x:v>The Art &amp; Science of Foodpairing.pdf: 62</x:v>
      </x:c>
      <x:c r="AC607" s="28" t="str">
        <x:v>Пара встречается как grid; научное объяснение сформировано по ароматическому профилю и пищевой матрице.</x:v>
      </x:c>
      <x:c r="AD607" s="28" t="n">
        <x:v>1</x:v>
      </x:c>
      <x:c r="AE607" s="28" t="n">
        <x:v>1</x:v>
      </x:c>
      <x:c r="AF607" s="28" t="n">
        <x:f>IF(Z607="Высокая",3,IF(Z607="Средняя",2,1))+AD607*2+MIN(AE607,3)</x:f>
        <x:v>5</x:v>
      </x:c>
    </x:row>
    <x:row r="608" ht="62" customHeight="1">
      <x:c r="A608" s="28" t="str">
        <x:v>NCT-0607</x:v>
      </x:c>
      <x:c r="B608" s="28" t="str">
        <x:v>шоколад</x:v>
      </x:c>
      <x:c r="C608" s="28" t="str">
        <x:v>Напитки</x:v>
      </x:c>
      <x:c r="D608" s="28" t="str">
        <x:v>шоколад</x:v>
      </x:c>
      <x:c r="E608" s="28" t="str">
        <x:v>chocolate</x:v>
      </x:c>
      <x:c r="F608" s="28" t="str">
        <x:v>Какао и шоколад</x:v>
      </x:c>
      <x:c r="G608" s="28" t="str">
        <x:v>steamed collard greens</x:v>
      </x:c>
      <x:c r="H608" s="28" t="str">
        <x:v>steamed collard greens</x:v>
      </x:c>
      <x:c r="I608" s="28" t="str">
        <x:v>Чай</x:v>
      </x:c>
      <x:c r="J608" s="28" t="str">
        <x:v>жареный, какаовый, фруктовый, цветочный, древесный и пряный; профиль зависит от происхождения и обжарки</x:v>
      </x:c>
      <x:c r="K608" s="28" t="str">
        <x:v>цветочный, древесный или зелёный</x:v>
      </x:c>
      <x:c r="L608" s="28" t="str">
        <x:v>пиразины, фураны, альдегиды, эфиры, теобромин</x:v>
      </x:c>
      <x:c r="M608" s="28" t="str">
        <x:v>линалоол, полифенолы</x:v>
      </x:c>
      <x:c r="N608" s="28" t="str">
        <x:v>древесный</x:v>
      </x:c>
      <x:c r="O608" s="28" t="str">
        <x:v>надежная общая ключевая молекула не подтверждена</x:v>
      </x:c>
      <x:c r="P608" s="28" t="str">
        <x:v>пересечение ароматических семейств</x:v>
      </x:c>
      <x:c r="Q608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08" s="28" t="str">
        <x:v>мягкая терпкость; теобромин и кофеин усиливают горькое послевкусие</x:v>
      </x:c>
      <x:c r="S608" s="28" t="str">
        <x:v>какао-масло с частицами какао и сахаром; плавление во рту медленно высвобождает гидрофобные ароматы Вода извлекает танины быстрее, чем гидрофобные ореховые и какаовые молекулы, поэтому полезна жировая или спиртовая мостовая фаза.</x:v>
      </x:c>
      <x:c r="T60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0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«steamed collard greens» относится к группе «Чай» и даёт цветочный, древесный или зелёный.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V608" s="28" t="str">
        <x:v>горечь и терпкость способны подавлять нежные продукты; содержит стимуляторы; аллергенные добавки возможны</x:v>
      </x:c>
      <x:c r="W608" s="28" t="str">
        <x:v>соль, ваниль или карамель</x:v>
      </x:c>
      <x:c r="X608" s="28" t="str">
        <x:v>ганаш, плитка, крем, мусс, напиток, глазурь или соус с steamed collard greens</x:v>
      </x:c>
      <x:c r="Y608" s="28" t="str">
        <x:v>напитки, десерты</x:v>
      </x:c>
      <x:c r="Z608" s="28" t="str">
        <x:v>Средняя</x:v>
      </x:c>
      <x:c r="AA608" s="28" t="str">
        <x:v>The Art &amp; Science of Foodpairing.pdf</x:v>
      </x:c>
      <x:c r="AB608" s="28" t="str">
        <x:v>The Art &amp; Science of Foodpairing.pdf: 62</x:v>
      </x:c>
      <x:c r="AC608" s="28" t="str">
        <x:v>Пара встречается как grid; научное объяснение сформировано по ароматическому профилю и пищевой матрице.</x:v>
      </x:c>
      <x:c r="AD608" s="28" t="n">
        <x:v>1</x:v>
      </x:c>
      <x:c r="AE608" s="28" t="n">
        <x:v>1</x:v>
      </x:c>
      <x:c r="AF608" s="28" t="n">
        <x:f>IF(Z608="Высокая",3,IF(Z608="Средняя",2,1))+AD608*2+MIN(AE608,3)</x:f>
        <x:v>5</x:v>
      </x:c>
    </x:row>
    <x:row r="609" ht="62" customHeight="1">
      <x:c r="A609" s="28" t="str">
        <x:v>NCT-0608</x:v>
      </x:c>
      <x:c r="B609" s="28" t="str">
        <x:v>шоколад</x:v>
      </x:c>
      <x:c r="C609" s="28" t="str">
        <x:v>Еда и соусы</x:v>
      </x:c>
      <x:c r="D609" s="28" t="str">
        <x:v>шоколад</x:v>
      </x:c>
      <x:c r="E609" s="28" t="str">
        <x:v>chocolate spread | cocoa powder</x:v>
      </x:c>
      <x:c r="F609" s="28" t="str">
        <x:v>Какао и шоколад</x:v>
      </x:c>
      <x:c r="G609" s="28" t="str">
        <x:v>sweet potato</x:v>
      </x:c>
      <x:c r="H609" s="28" t="str">
        <x:v>sweet potato</x:v>
      </x:c>
      <x:c r="I609" s="28" t="str">
        <x:v>Овощи, бобовые и грибы</x:v>
      </x:c>
      <x:c r="J609" s="28" t="str">
        <x:v>жареный, какаовый, фруктовый, цветочный, древесный и пряный; профиль зависит от происхождения и обжарки</x:v>
      </x:c>
      <x:c r="K609" s="28" t="str">
        <x:v>зелёный, землистый или умами</x:v>
      </x:c>
      <x:c r="L609" s="28" t="str">
        <x:v>пиразины, фураны, альдегиды, эфиры, теобромин</x:v>
      </x:c>
      <x:c r="M609" s="28" t="str">
        <x:v>альдегиды, сернистые соединения</x:v>
      </x:c>
      <x:c r="N609" s="28" t="str">
        <x:v>прямое пересечение семейств не является единственным объяснением</x:v>
      </x:c>
      <x:c r="O609" s="28" t="str">
        <x:v>альдегиды</x:v>
      </x:c>
      <x:c r="P609" s="28" t="str">
        <x:v>общие ароматические соединения</x:v>
      </x:c>
      <x:c r="Q609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09" s="28" t="str">
        <x:v>мягкая терпкость; теобромин и кофеин усиливают горькое послевкусие</x:v>
      </x:c>
      <x:c r="S609" s="28" t="str">
        <x:v>какао-масло с частицами какао и сахаром; плавление во рту медленно высвобождает гидрофобные ароматы</x:v>
      </x:c>
      <x:c r="T60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0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«sweet potato»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V609" s="28" t="str">
        <x:v>горечь и терпкость способны подавлять нежные продукты; содержит стимуляторы; аллергенные добавки возможны</x:v>
      </x:c>
      <x:c r="W609" s="28" t="str">
        <x:v>соль, ваниль или карамель</x:v>
      </x:c>
      <x:c r="X609" s="28" t="str">
        <x:v>ганаш, плитка, крем, мусс, напиток, глазурь или соус с sweet potato</x:v>
      </x:c>
      <x:c r="Y609" s="28" t="str">
        <x:v>еда, десерты, соусы/маринады</x:v>
      </x:c>
      <x:c r="Z609" s="28" t="str">
        <x:v>Средняя</x:v>
      </x:c>
      <x:c r="AA609" s="28" t="str">
        <x:v>The Art &amp; Science of Foodpairing.pdf</x:v>
      </x:c>
      <x:c r="AB609" s="28" t="str">
        <x:v>The Art &amp; Science of Foodpairing.pdf: 119</x:v>
      </x:c>
      <x:c r="AC609" s="28" t="str">
        <x:v>Пара встречается как grid; научное объяснение сформировано по ароматическому профилю и пищевой матрице.</x:v>
      </x:c>
      <x:c r="AD609" s="28" t="n">
        <x:v>1</x:v>
      </x:c>
      <x:c r="AE609" s="28" t="n">
        <x:v>2</x:v>
      </x:c>
      <x:c r="AF609" s="28" t="n">
        <x:f>IF(Z609="Высокая",3,IF(Z609="Средняя",2,1))+AD609*2+MIN(AE609,3)</x:f>
        <x:v>6</x:v>
      </x:c>
    </x:row>
    <x:row r="610" ht="62" customHeight="1">
      <x:c r="A610" s="28" t="str">
        <x:v>NCT-0609</x:v>
      </x:c>
      <x:c r="B610" s="28" t="str">
        <x:v>шоколад</x:v>
      </x:c>
      <x:c r="C610" s="28" t="str">
        <x:v>Еда и соусы</x:v>
      </x:c>
      <x:c r="D610" s="28" t="str">
        <x:v>шоколад</x:v>
      </x:c>
      <x:c r="E610" s="28" t="str">
        <x:v>dark chocolate</x:v>
      </x:c>
      <x:c r="F610" s="28" t="str">
        <x:v>Какао и шоколад</x:v>
      </x:c>
      <x:c r="G610" s="28" t="str">
        <x:v>tomato and tomato puree</x:v>
      </x:c>
      <x:c r="H610" s="28" t="str">
        <x:v>tomato and tomato puree</x:v>
      </x:c>
      <x:c r="I610" s="28" t="str">
        <x:v>Овощи, бобовые и грибы</x:v>
      </x:c>
      <x:c r="J610" s="28" t="str">
        <x:v>жареный, какаовый, фруктовый, цветочный, древесный и пряный; профиль зависит от происхождения и обжарки</x:v>
      </x:c>
      <x:c r="K610" s="28" t="str">
        <x:v>зелёный, землистый или умами</x:v>
      </x:c>
      <x:c r="L610" s="28" t="str">
        <x:v>пиразины, фураны, альдегиды, эфиры, теобромин</x:v>
      </x:c>
      <x:c r="M610" s="28" t="str">
        <x:v>альдегиды, сернистые соединения</x:v>
      </x:c>
      <x:c r="N610" s="28" t="str">
        <x:v>прямое пересечение семейств не является единственным объяснением</x:v>
      </x:c>
      <x:c r="O610" s="28" t="str">
        <x:v>альдегиды</x:v>
      </x:c>
      <x:c r="P610" s="28" t="str">
        <x:v>общие ароматические соединения</x:v>
      </x:c>
      <x:c r="Q610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10" s="28" t="str">
        <x:v>мягкая терпкость; теобромин и кофеин усиливают горькое послевкусие</x:v>
      </x:c>
      <x:c r="S610" s="28" t="str">
        <x:v>какао-масло с частицами какао и сахаром; плавление во рту медленно высвобождает гидрофобные ароматы</x:v>
      </x:c>
      <x:c r="T61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1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«tomato and tomato puree»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V610" s="28" t="str">
        <x:v>горечь и терпкость способны подавлять нежные продукты; содержит стимуляторы; аллергенные добавки возможны</x:v>
      </x:c>
      <x:c r="W610" s="28" t="str">
        <x:v>соль, ваниль или карамель</x:v>
      </x:c>
      <x:c r="X610" s="28" t="str">
        <x:v>ганаш, плитка, крем, мусс, напиток, глазурь или соус с tomato and tomato puree</x:v>
      </x:c>
      <x:c r="Y610" s="28" t="str">
        <x:v>еда, десерты, соусы/маринады</x:v>
      </x:c>
      <x:c r="Z610" s="28" t="str">
        <x:v>Средняя</x:v>
      </x:c>
      <x:c r="AA610" s="28" t="str">
        <x:v>The Art &amp; Science of Foodpairing.pdf</x:v>
      </x:c>
      <x:c r="AB610" s="28" t="str">
        <x:v>The Art &amp; Science of Foodpairing.pdf: 161</x:v>
      </x:c>
      <x:c r="AC610" s="28" t="str">
        <x:v>Пара встречается как grid; научное объяснение сформировано по ароматическому профилю и пищевой матрице.</x:v>
      </x:c>
      <x:c r="AD610" s="28" t="n">
        <x:v>1</x:v>
      </x:c>
      <x:c r="AE610" s="28" t="n">
        <x:v>1</x:v>
      </x:c>
      <x:c r="AF610" s="28" t="n">
        <x:f>IF(Z610="Высокая",3,IF(Z610="Средняя",2,1))+AD610*2+MIN(AE610,3)</x:f>
        <x:v>5</x:v>
      </x:c>
    </x:row>
    <x:row r="611" ht="62" customHeight="1">
      <x:c r="A611" s="28" t="str">
        <x:v>NCT-0610</x:v>
      </x:c>
      <x:c r="B611" s="28" t="str">
        <x:v>шоколад</x:v>
      </x:c>
      <x:c r="C611" s="28" t="str">
        <x:v>Еда и соусы</x:v>
      </x:c>
      <x:c r="D611" s="28" t="str">
        <x:v>шоколад</x:v>
      </x:c>
      <x:c r="E611" s="28" t="str">
        <x:v>chocolate</x:v>
      </x:c>
      <x:c r="F611" s="28" t="str">
        <x:v>Какао и шоколад</x:v>
      </x:c>
      <x:c r="G611" s="28" t="str">
        <x:v>wagyu beef</x:v>
      </x:c>
      <x:c r="H611" s="28" t="str">
        <x:v>Wagyu beef</x:v>
      </x:c>
      <x:c r="I611" s="28" t="str">
        <x:v>Мясо и птица</x:v>
      </x:c>
      <x:c r="J611" s="28" t="str">
        <x:v>жареный, какаовый, фруктовый, цветочный, древесный и пряный; профиль зависит от происхождения и обжарки</x:v>
      </x:c>
      <x:c r="K611" s="28" t="str">
        <x:v>жареный, мясной и умами</x:v>
      </x:c>
      <x:c r="L611" s="28" t="str">
        <x:v>пиразины, фураны, альдегиды, эфиры, теобромин</x:v>
      </x:c>
      <x:c r="M611" s="28" t="str">
        <x:v>пиразины, сернистые соединения</x:v>
      </x:c>
      <x:c r="N611" s="28" t="str">
        <x:v>жареный</x:v>
      </x:c>
      <x:c r="O611" s="28" t="str">
        <x:v>пиразины</x:v>
      </x:c>
      <x:c r="P611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611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11" s="28" t="str">
        <x:v>мягкая терпкость; теобромин и кофеин усиливают горькое послевкусие</x:v>
      </x:c>
      <x:c r="S611" s="28" t="str">
        <x:v>какао-масло с частицами какао и сахаром; плавление во рту медленно высвобождает гидрофобные ароматы</x:v>
      </x:c>
      <x:c r="T61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1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«wagyu 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V611" s="28" t="str">
        <x:v>горечь и терпкость способны подавлять нежные продукты; содержит стимуляторы; аллергенные добавки возможны</x:v>
      </x:c>
      <x:c r="W611" s="28" t="str">
        <x:v>соль, соевый соус, коричневое масло или специя</x:v>
      </x:c>
      <x:c r="X611" s="28" t="str">
        <x:v>ганаш, плитка, крем, мусс, напиток, глазурь или соус с wagyu beef</x:v>
      </x:c>
      <x:c r="Y611" s="28" t="str">
        <x:v>еда, десерты, соусы/маринады</x:v>
      </x:c>
      <x:c r="Z611" s="28" t="str">
        <x:v>Средняя</x:v>
      </x:c>
      <x:c r="AA611" s="28" t="str">
        <x:v>The Art &amp; Science of Foodpairing.pdf</x:v>
      </x:c>
      <x:c r="AB611" s="28" t="str">
        <x:v>The Art &amp; Science of Foodpairing.pdf: 62</x:v>
      </x:c>
      <x:c r="AC611" s="28" t="str">
        <x:v>Пара встречается как grid; научное объяснение сформировано по ароматическому профилю и пищевой матрице.</x:v>
      </x:c>
      <x:c r="AD611" s="28" t="n">
        <x:v>1</x:v>
      </x:c>
      <x:c r="AE611" s="28" t="n">
        <x:v>1</x:v>
      </x:c>
      <x:c r="AF611" s="28" t="n">
        <x:f>IF(Z611="Высокая",3,IF(Z611="Средняя",2,1))+AD611*2+MIN(AE611,3)</x:f>
        <x:v>5</x:v>
      </x:c>
    </x:row>
    <x:row r="612" ht="62" customHeight="1">
      <x:c r="A612" s="28" t="str">
        <x:v>NCT-0611</x:v>
      </x:c>
      <x:c r="B612" s="28" t="str">
        <x:v>шоколад</x:v>
      </x:c>
      <x:c r="C612" s="28" t="str">
        <x:v>Еда и соусы</x:v>
      </x:c>
      <x:c r="D612" s="28" t="str">
        <x:v>шоколад</x:v>
      </x:c>
      <x:c r="E612" s="28" t="str">
        <x:v>chocolate</x:v>
      </x:c>
      <x:c r="F612" s="28" t="str">
        <x:v>Какао и шоколад</x:v>
      </x:c>
      <x:c r="G612" s="28" t="str">
        <x:v>wheatgrass and another one with cauliflower. his menueven</x:v>
      </x:c>
      <x:c r="H612" s="28" t="str">
        <x:v>wheatgrass and another one with cauliflower. His menueven</x:v>
      </x:c>
      <x:c r="I612" s="28" t="str">
        <x:v>Овощи, бобовые и грибы</x:v>
      </x:c>
      <x:c r="J612" s="28" t="str">
        <x:v>жареный, какаовый, фруктовый, цветочный, древесный и пряный; профиль зависит от происхождения и обжарки</x:v>
      </x:c>
      <x:c r="K612" s="28" t="str">
        <x:v>зелёный, землистый или умами</x:v>
      </x:c>
      <x:c r="L612" s="28" t="str">
        <x:v>пиразины, фураны, альдегиды, эфиры, теобромин</x:v>
      </x:c>
      <x:c r="M612" s="28" t="str">
        <x:v>альдегиды, сернистые соединения</x:v>
      </x:c>
      <x:c r="N612" s="28" t="str">
        <x:v>прямое пересечение семейств не является единственным объяснением</x:v>
      </x:c>
      <x:c r="O612" s="28" t="str">
        <x:v>альдегиды</x:v>
      </x:c>
      <x:c r="P612" s="28" t="str">
        <x:v>общие ароматические соединения</x:v>
      </x:c>
      <x:c r="Q612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12" s="28" t="str">
        <x:v>мягкая терпкость; теобромин и кофеин усиливают горькое послевкусие</x:v>
      </x:c>
      <x:c r="S612" s="28" t="str">
        <x:v>какао-масло с частицами какао и сахаром; плавление во рту медленно высвобождает гидрофобные ароматы</x:v>
      </x:c>
      <x:c r="T61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1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«wheatgrass and another one with cauliflower. his menueven»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V612" s="28" t="str">
        <x:v>горечь и терпкость способны подавлять нежные продукты; содержит стимуляторы; аллергенные добавки возможны</x:v>
      </x:c>
      <x:c r="W612" s="28" t="str">
        <x:v>соль, ваниль или карамель</x:v>
      </x:c>
      <x:c r="X612" s="28" t="str">
        <x:v>ганаш, плитка, крем, мусс, напиток, глазурь или соус с wheatgrass and another one with cauliflower. his menueven</x:v>
      </x:c>
      <x:c r="Y612" s="28" t="str">
        <x:v>еда, десерты, соусы/маринады</x:v>
      </x:c>
      <x:c r="Z612" s="28" t="str">
        <x:v>Средняя</x:v>
      </x:c>
      <x:c r="AA612" s="28" t="str">
        <x:v>The Art &amp; Science of Foodpairing.pdf</x:v>
      </x:c>
      <x:c r="AB612" s="28" t="str">
        <x:v>The Art &amp; Science of Foodpairing.pdf: 61</x:v>
      </x:c>
      <x:c r="AC612" s="28" t="str">
        <x:v>Пара встречается как grid; научное объяснение сформировано по ароматическому профилю и пищевой матрице.</x:v>
      </x:c>
      <x:c r="AD612" s="28" t="n">
        <x:v>1</x:v>
      </x:c>
      <x:c r="AE612" s="28" t="n">
        <x:v>1</x:v>
      </x:c>
      <x:c r="AF612" s="28" t="n">
        <x:f>IF(Z612="Высокая",3,IF(Z612="Средняя",2,1))+AD612*2+MIN(AE612,3)</x:f>
        <x:v>5</x:v>
      </x:c>
    </x:row>
    <x:row r="613" ht="62" customHeight="1">
      <x:c r="A613" s="28" t="str">
        <x:v>NCT-0612</x:v>
      </x:c>
      <x:c r="B613" s="28" t="str">
        <x:v>шоколад</x:v>
      </x:c>
      <x:c r="C613" s="28" t="str">
        <x:v>Десерты и выпечка</x:v>
      </x:c>
      <x:c r="D613" s="28" t="str">
        <x:v>шоколад</x:v>
      </x:c>
      <x:c r="E613" s="28" t="str">
        <x:v>chocolate</x:v>
      </x:c>
      <x:c r="F613" s="28" t="str">
        <x:v>Какао и шоколад</x:v>
      </x:c>
      <x:c r="G613" s="28" t="str">
        <x:v>whitechocolate</x:v>
      </x:c>
      <x:c r="H613" s="28" t="str">
        <x:v>whitechocolate</x:v>
      </x:c>
      <x:c r="I613" s="28" t="str">
        <x:v>Какао и шоколад</x:v>
      </x:c>
      <x:c r="J613" s="28" t="str">
        <x:v>жареный, какаовый, фруктовый, цветочный, древесный и пряный; профиль зависит от происхождения и обжарки</x:v>
      </x:c>
      <x:c r="K613" s="28" t="str">
        <x:v>какаовый, жареный и горько-сладкий</x:v>
      </x:c>
      <x:c r="L613" s="28" t="str">
        <x:v>пиразины, фураны, альдегиды, эфиры, теобромин</x:v>
      </x:c>
      <x:c r="M613" s="28" t="str">
        <x:v>альдегиды, пиразины, фураны</x:v>
      </x:c>
      <x:c r="N613" s="28" t="str">
        <x:v>жареный, какаовый</x:v>
      </x:c>
      <x:c r="O613" s="28" t="str">
        <x:v>альдегиды, пиразины, фураны</x:v>
      </x:c>
      <x:c r="P613" s="28" t="str">
        <x:v>общие ароматические соединения, пересечение ароматических семейств, жареная химия и реакции Майяра</x:v>
      </x:c>
      <x:c r="Q613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13" s="28" t="str">
        <x:v>мягкая терпкость; теобромин и кофеин усиливают горькое послевкусие</x:v>
      </x:c>
      <x:c r="S613" s="28" t="str">
        <x:v>какао-масло с частицами какао и сахаром; плавление во рту медленно высвобождает гидрофобные ароматы</x:v>
      </x:c>
      <x:c r="T61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1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«whitechocolate» относится к группе «Какао и шоколад» и даёт какаовый, жареный и горько-сладкий.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жареный, какаовый; альдегиды, пиразины, фураны.</x:v>
      </x:c>
      <x:c r="V613" s="28" t="str">
        <x:v>горечь и терпкость способны подавлять нежные продукты; содержит стимуляторы; аллергенные добавки возможны</x:v>
      </x:c>
      <x:c r="W613" s="28" t="str">
        <x:v>соль, ваниль или карамель</x:v>
      </x:c>
      <x:c r="X613" s="28" t="str">
        <x:v>ганаш, плитка, крем, мусс, напиток, глазурь или соус с whitechocolate</x:v>
      </x:c>
      <x:c r="Y613" s="28" t="str">
        <x:v>десерты</x:v>
      </x:c>
      <x:c r="Z613" s="28" t="str">
        <x:v>Средняя</x:v>
      </x:c>
      <x:c r="AA613" s="28" t="str">
        <x:v>The Art &amp; Science of Foodpairing.pdf</x:v>
      </x:c>
      <x:c r="AB613" s="28" t="str">
        <x:v>The Art &amp; Science of Foodpairing.pdf: 62</x:v>
      </x:c>
      <x:c r="AC613" s="28" t="str">
        <x:v>Пара встречается как grid; научное объяснение сформировано по ароматическому профилю и пищевой матрице.</x:v>
      </x:c>
      <x:c r="AD613" s="28" t="n">
        <x:v>1</x:v>
      </x:c>
      <x:c r="AE613" s="28" t="n">
        <x:v>1</x:v>
      </x:c>
      <x:c r="AF613" s="28" t="n">
        <x:f>IF(Z613="Высокая",3,IF(Z613="Средняя",2,1))+AD613*2+MIN(AE613,3)</x:f>
        <x:v>5</x:v>
      </x:c>
    </x:row>
    <x:row r="614" ht="62" customHeight="1">
      <x:c r="A614" s="28" t="str">
        <x:v>NCT-0613</x:v>
      </x:c>
      <x:c r="B614" s="28" t="str">
        <x:v>шоколад</x:v>
      </x:c>
      <x:c r="C614" s="28" t="str">
        <x:v>Универсальные</x:v>
      </x:c>
      <x:c r="D614" s="28" t="str">
        <x:v>шоколад</x:v>
      </x:c>
      <x:c r="E614" s="28" t="str">
        <x:v>Шоколад | шоколад</x:v>
      </x:c>
      <x:c r="F614" s="28" t="str">
        <x:v>Какао и шоколад</x:v>
      </x:c>
      <x:c r="G614" s="28" t="str">
        <x:v>«черный пудинг»</x:v>
      </x:c>
      <x:c r="H614" s="28" t="str">
        <x:v>«Черный пудинг» | «черный пудинг»</x:v>
      </x:c>
      <x:c r="I614" s="28" t="str">
        <x:v>Прочее</x:v>
      </x:c>
      <x:c r="J614" s="28" t="str">
        <x:v>жареный, какаовый, фруктовый, цветочный, древесный и пряный; профиль зависит от происхождения и обжарки</x:v>
      </x:c>
      <x:c r="K614" s="28" t="str">
        <x:v>профиль зависит от конкретного продукта</x:v>
      </x:c>
      <x:c r="L614" s="28" t="str">
        <x:v>пиразины, фураны, альдегиды, эфиры, теобромин</x:v>
      </x:c>
      <x:c r="M614" s="28" t="str">
        <x:v>характерный профиль зависит от конкретного продукта</x:v>
      </x:c>
      <x:c r="N614" s="28" t="str">
        <x:v>прямое пересечение семейств не является единственным объяснением</x:v>
      </x:c>
      <x:c r="O614" s="28" t="str">
        <x:v>надежная общая ключевая молекула не подтверждена</x:v>
      </x:c>
      <x:c r="P614" s="28" t="str">
        <x:v>сенсорная комплементарность</x:v>
      </x:c>
      <x:c r="Q614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14" s="28" t="str">
        <x:v>мягкая терпкость; теобромин и кофеин усиливают горькое послевкусие</x:v>
      </x:c>
      <x:c r="S614" s="28" t="str">
        <x:v>какао-масло с частицами какао и сахаром; плавление во рту медленно высвобождает гидрофобные ароматы</x:v>
      </x:c>
      <x:c r="T61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1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««черный пудинг»»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14" s="28" t="str">
        <x:v>горечь и терпкость способны подавлять нежные продукты; содержит стимуляторы; аллергенные добавки возможны</x:v>
      </x:c>
      <x:c r="W614" s="28" t="str">
        <x:v>соль, ваниль или карамель</x:v>
      </x:c>
      <x:c r="X614" s="28" t="str">
        <x:v>ганаш, плитка, крем, мусс, напиток, глазурь или соус с «черный пудинг»</x:v>
      </x:c>
      <x:c r="Y614" s="28" t="str">
        <x:v>десерты</x:v>
      </x:c>
      <x:c r="Z614" s="28" t="str">
        <x:v>Средняя</x:v>
      </x:c>
      <x:c r="AA614" s="28" t="str">
        <x:v>Тезариус вкусов (Ники Сегнит)(1).pdf</x:v>
      </x:c>
      <x:c r="AB614" s="28" t="str">
        <x:v>Тезариус вкусов (Ники Сегнит)(1).pdf: 38, 97</x:v>
      </x:c>
      <x:c r="AC614" s="28" t="str">
        <x:v>Пара встречается как thesaurus; научное объяснение сформировано по ароматическому профилю и пищевой матрице.</x:v>
      </x:c>
      <x:c r="AD614" s="28" t="n">
        <x:v>1</x:v>
      </x:c>
      <x:c r="AE614" s="28" t="n">
        <x:v>2</x:v>
      </x:c>
      <x:c r="AF614" s="28" t="n">
        <x:f>IF(Z614="Высокая",3,IF(Z614="Средняя",2,1))+AD614*2+MIN(AE614,3)</x:f>
        <x:v>6</x:v>
      </x:c>
    </x:row>
    <x:row r="615" ht="62" customHeight="1">
      <x:c r="A615" s="28" t="str">
        <x:v>NCT-0614</x:v>
      </x:c>
      <x:c r="B615" s="28" t="str">
        <x:v>шоколад</x:v>
      </x:c>
      <x:c r="C615" s="28" t="str">
        <x:v>Десерты и выпечка</x:v>
      </x:c>
      <x:c r="D615" s="28" t="str">
        <x:v>шоколад</x:v>
      </x:c>
      <x:c r="E615" s="28" t="str">
        <x:v>Шоколад | шоколад</x:v>
      </x:c>
      <x:c r="F615" s="28" t="str">
        <x:v>Какао и шоколад</x:v>
      </x:c>
      <x:c r="G615" s="28" t="str">
        <x:v>абрикос</x:v>
      </x:c>
      <x:c r="H615" s="28" t="str">
        <x:v>Абрикос | абрикос</x:v>
      </x:c>
      <x:c r="I615" s="28" t="str">
        <x:v>Фрукты и ягоды</x:v>
      </x:c>
      <x:c r="J615" s="28" t="str">
        <x:v>жареный, какаовый, фруктовый, цветочный, древесный и пряный; профиль зависит от происхождения и обжарки</x:v>
      </x:c>
      <x:c r="K615" s="28" t="str">
        <x:v>лактонный, миндальный, фруктовый</x:v>
      </x:c>
      <x:c r="L615" s="28" t="str">
        <x:v>пиразины, фураны, альдегиды, эфиры, теобромин</x:v>
      </x:c>
      <x:c r="M615" s="28" t="str">
        <x:v>бензальдегид, лактоны</x:v>
      </x:c>
      <x:c r="N615" s="28" t="str">
        <x:v>фруктовый</x:v>
      </x:c>
      <x:c r="O615" s="28" t="str">
        <x:v>надежная общая ключевая молекула не подтверждена</x:v>
      </x:c>
      <x:c r="P615" s="28" t="str">
        <x:v>пересечение ароматических семейств, контраст кислоты и жирной/горькой матрицы</x:v>
      </x:c>
      <x:c r="Q615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15" s="28" t="str">
        <x:v>мягкая терпкость; теобромин и кофеин усиливают горькое послевкусие</x:v>
      </x:c>
      <x:c r="S615" s="28" t="str">
        <x:v>какао-масло с частицами какао и сахаром; плавление во рту медленно высвобождает гидрофобные ароматы Водная фруктовая фаза требует эмульсии или мелкого измельчения, если орех или шоколад вводится как паста.</x:v>
      </x:c>
      <x:c r="T61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1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«абрикос» относится к группе «Фрукты и ягоды» и даёт лактонный, миндальный, фруктовый. Профили пересекаются в семействах: фруктовый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механизм не следует сводить к одной общей молекуле.</x:v>
      </x:c>
      <x:c r="V615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W615" s="28" t="str">
        <x:v>ваниль, цитрус или молочный жир</x:v>
      </x:c>
      <x:c r="X615" s="28" t="str">
        <x:v>ганаш, плитка, крем, мусс, напиток, глазурь или соус с абрикос</x:v>
      </x:c>
      <x:c r="Y615" s="28" t="str">
        <x:v>десерты</x:v>
      </x:c>
      <x:c r="Z615" s="28" t="str">
        <x:v>Средняя</x:v>
      </x:c>
      <x:c r="AA615" s="28" t="str">
        <x:v>Тезариус вкусов (Ники Сегнит)(1).pdf</x:v>
      </x:c>
      <x:c r="AB615" s="28" t="str">
        <x:v>Тезариус вкусов (Ники Сегнит)(1).pdf: 25, 745</x:v>
      </x:c>
      <x:c r="AC615" s="28" t="str">
        <x:v>Пара встречается как thesaurus; научное объяснение сформировано по ароматическому профилю и пищевой матрице.</x:v>
      </x:c>
      <x:c r="AD615" s="28" t="n">
        <x:v>1</x:v>
      </x:c>
      <x:c r="AE615" s="28" t="n">
        <x:v>2</x:v>
      </x:c>
      <x:c r="AF615" s="28" t="n">
        <x:f>IF(Z615="Высокая",3,IF(Z615="Средняя",2,1))+AD615*2+MIN(AE615,3)</x:f>
        <x:v>6</x:v>
      </x:c>
    </x:row>
    <x:row r="616" ht="62" customHeight="1">
      <x:c r="A616" s="28" t="str">
        <x:v>NCT-0615</x:v>
      </x:c>
      <x:c r="B616" s="28" t="str">
        <x:v>шоколад</x:v>
      </x:c>
      <x:c r="C616" s="28" t="str">
        <x:v>Универсальные</x:v>
      </x:c>
      <x:c r="D616" s="28" t="str">
        <x:v>шоколад</x:v>
      </x:c>
      <x:c r="E616" s="28" t="str">
        <x:v>chocolate | Шоколад | шоколад</x:v>
      </x:c>
      <x:c r="F616" s="28" t="str">
        <x:v>Какао и шоколад</x:v>
      </x:c>
      <x:c r="G616" s="28" t="str">
        <x:v>авокадо</x:v>
      </x:c>
      <x:c r="H616" s="28" t="str">
        <x:v>avocado | Авокадо | авокадо</x:v>
      </x:c>
      <x:c r="I616" s="28" t="str">
        <x:v>Прочее</x:v>
      </x:c>
      <x:c r="J616" s="28" t="str">
        <x:v>жареный, какаовый, фруктовый, цветочный, древесный и пряный; профиль зависит от происхождения и обжарки</x:v>
      </x:c>
      <x:c r="K616" s="28" t="str">
        <x:v>профиль зависит от конкретного продукта</x:v>
      </x:c>
      <x:c r="L616" s="28" t="str">
        <x:v>пиразины, фураны, альдегиды, эфиры, теобромин</x:v>
      </x:c>
      <x:c r="M616" s="28" t="str">
        <x:v>характерный профиль зависит от конкретного продукта</x:v>
      </x:c>
      <x:c r="N616" s="28" t="str">
        <x:v>прямое пересечение семейств не является единственным объяснением</x:v>
      </x:c>
      <x:c r="O616" s="28" t="str">
        <x:v>надежная общая ключевая молекула не подтверждена</x:v>
      </x:c>
      <x:c r="P616" s="28" t="str">
        <x:v>сенсорная комплементарность</x:v>
      </x:c>
      <x:c r="Q616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16" s="28" t="str">
        <x:v>мягкая терпкость; теобромин и кофеин усиливают горькое послевкусие</x:v>
      </x:c>
      <x:c r="S616" s="28" t="str">
        <x:v>какао-масло с частицами какао и сахаром; плавление во рту медленно высвобождает гидрофобные ароматы</x:v>
      </x:c>
      <x:c r="T61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1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«авокадо»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16" s="28" t="str">
        <x:v>горечь и терпкость способны подавлять нежные продукты; содержит стимуляторы; аллергенные добавки возможны</x:v>
      </x:c>
      <x:c r="W616" s="28" t="str">
        <x:v>соль, ваниль или карамель</x:v>
      </x:c>
      <x:c r="X616" s="28" t="str">
        <x:v>ганаш, плитка, крем, мусс, напиток, глазурь или соус с авокадо</x:v>
      </x:c>
      <x:c r="Y616" s="28" t="str">
        <x:v>десерты</x:v>
      </x:c>
      <x:c r="Z616" s="28" t="str">
        <x:v>Высокая</x:v>
      </x:c>
      <x:c r="AA616" s="28" t="str">
        <x:v>The Art &amp; Science of Foodpairing.pdf | Тезариус вкусов (Ники Сегнит)(1).pdf</x:v>
      </x:c>
      <x:c r="AB616" s="28" t="str">
        <x:v>The Art &amp; Science of Foodpairing.pdf: 62; Тезариус вкусов (Ники Сегнит)(1).pdf: 25, 532</x:v>
      </x:c>
      <x:c r="AC616" s="28" t="str">
        <x:v>Пара встречается как grid, thesaurus; научное объяснение сформировано по ароматическому профилю и пищевой матрице.</x:v>
      </x:c>
      <x:c r="AD616" s="28" t="n">
        <x:v>2</x:v>
      </x:c>
      <x:c r="AE616" s="28" t="n">
        <x:v>3</x:v>
      </x:c>
      <x:c r="AF616" s="28" t="n">
        <x:f>IF(Z616="Высокая",3,IF(Z616="Средняя",2,1))+AD616*2+MIN(AE616,3)</x:f>
        <x:v>10</x:v>
      </x:c>
    </x:row>
    <x:row r="617" ht="62" customHeight="1">
      <x:c r="A617" s="28" t="str">
        <x:v>NCT-0616</x:v>
      </x:c>
      <x:c r="B617" s="28" t="str">
        <x:v>шоколад</x:v>
      </x:c>
      <x:c r="C617" s="28" t="str">
        <x:v>Универсальные</x:v>
      </x:c>
      <x:c r="D617" s="28" t="str">
        <x:v>шоколад</x:v>
      </x:c>
      <x:c r="E617" s="28" t="str">
        <x:v>Шоколад | тёмный шоколад | шоколад</x:v>
      </x:c>
      <x:c r="F617" s="28" t="str">
        <x:v>Какао и шоколад</x:v>
      </x:c>
      <x:c r="G617" s="28" t="str">
        <x:v>ананас</x:v>
      </x:c>
      <x:c r="H617" s="28" t="str">
        <x:v>Ананас | ананас</x:v>
      </x:c>
      <x:c r="I617" s="28" t="str">
        <x:v>Прочее</x:v>
      </x:c>
      <x:c r="J617" s="28" t="str">
        <x:v>жареный, какаовый, фруктовый, цветочный, древесный и пряный; профиль зависит от происхождения и обжарки</x:v>
      </x:c>
      <x:c r="K617" s="28" t="str">
        <x:v>профиль зависит от конкретного продукта</x:v>
      </x:c>
      <x:c r="L617" s="28" t="str">
        <x:v>пиразины, фураны, альдегиды, эфиры, теобромин</x:v>
      </x:c>
      <x:c r="M617" s="28" t="str">
        <x:v>характерный профиль зависит от конкретного продукта</x:v>
      </x:c>
      <x:c r="N617" s="28" t="str">
        <x:v>прямое пересечение семейств не является единственным объяснением</x:v>
      </x:c>
      <x:c r="O617" s="28" t="str">
        <x:v>надежная общая ключевая молекула не подтверждена</x:v>
      </x:c>
      <x:c r="P617" s="28" t="str">
        <x:v>сенсорная комплементарность</x:v>
      </x:c>
      <x:c r="Q617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17" s="28" t="str">
        <x:v>мягкая терпкость; теобромин и кофеин усиливают горькое послевкусие</x:v>
      </x:c>
      <x:c r="S617" s="28" t="str">
        <x:v>какао-масло с частицами какао и сахаром; плавление во рту медленно высвобождает гидрофобные ароматы</x:v>
      </x:c>
      <x:c r="T61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1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«ананас»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17" s="28" t="str">
        <x:v>горечь и терпкость способны подавлять нежные продукты; содержит стимуляторы; аллергенные добавки возможны</x:v>
      </x:c>
      <x:c r="W617" s="28" t="str">
        <x:v>соль, ваниль или карамель</x:v>
      </x:c>
      <x:c r="X617" s="28" t="str">
        <x:v>ганаш, плитка, крем, мусс, напиток, глазурь или соус с ананас</x:v>
      </x:c>
      <x:c r="Y617" s="28" t="str">
        <x:v>десерты</x:v>
      </x:c>
      <x:c r="Z617" s="28" t="str">
        <x:v>Высокая</x:v>
      </x:c>
      <x:c r="AA617" s="28" t="str">
        <x:v>Таблица сочетания(1).pdf | Тезариус вкусов (Ники Сегнит)(1).pdf</x:v>
      </x:c>
      <x:c r="AB617" s="28" t="str">
        <x:v>Таблица сочетания(1).pdf: 17; Тезариус вкусов (Ники Сегнит)(1).pdf: 25, 707</x:v>
      </x:c>
      <x:c r="AC617" s="28" t="str">
        <x:v>Пара встречается как table, thesaurus; научное объяснение сформировано по ароматическому профилю и пищевой матрице.</x:v>
      </x:c>
      <x:c r="AD617" s="28" t="n">
        <x:v>2</x:v>
      </x:c>
      <x:c r="AE617" s="28" t="n">
        <x:v>3</x:v>
      </x:c>
      <x:c r="AF617" s="28" t="n">
        <x:f>IF(Z617="Высокая",3,IF(Z617="Средняя",2,1))+AD617*2+MIN(AE617,3)</x:f>
        <x:v>10</x:v>
      </x:c>
    </x:row>
    <x:row r="618" ht="62" customHeight="1">
      <x:c r="A618" s="28" t="str">
        <x:v>NCT-0617</x:v>
      </x:c>
      <x:c r="B618" s="28" t="str">
        <x:v>шоколад</x:v>
      </x:c>
      <x:c r="C618" s="28" t="str">
        <x:v>Универсальные</x:v>
      </x:c>
      <x:c r="D618" s="28" t="str">
        <x:v>шоколад</x:v>
      </x:c>
      <x:c r="E618" s="28" t="str">
        <x:v>Шоколад | шоколад</x:v>
      </x:c>
      <x:c r="F618" s="28" t="str">
        <x:v>Какао и шоколад</x:v>
      </x:c>
      <x:c r="G618" s="28" t="str">
        <x:v>анис</x:v>
      </x:c>
      <x:c r="H618" s="28" t="str">
        <x:v>Анис | анис</x:v>
      </x:c>
      <x:c r="I618" s="28" t="str">
        <x:v>Прочее</x:v>
      </x:c>
      <x:c r="J618" s="28" t="str">
        <x:v>жареный, какаовый, фруктовый, цветочный, древесный и пряный; профиль зависит от происхождения и обжарки</x:v>
      </x:c>
      <x:c r="K618" s="28" t="str">
        <x:v>профиль зависит от конкретного продукта</x:v>
      </x:c>
      <x:c r="L618" s="28" t="str">
        <x:v>пиразины, фураны, альдегиды, эфиры, теобромин</x:v>
      </x:c>
      <x:c r="M618" s="28" t="str">
        <x:v>характерный профиль зависит от конкретного продукта</x:v>
      </x:c>
      <x:c r="N618" s="28" t="str">
        <x:v>прямое пересечение семейств не является единственным объяснением</x:v>
      </x:c>
      <x:c r="O618" s="28" t="str">
        <x:v>надежная общая ключевая молекула не подтверждена</x:v>
      </x:c>
      <x:c r="P618" s="28" t="str">
        <x:v>сенсорная комплементарность</x:v>
      </x:c>
      <x:c r="Q618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18" s="28" t="str">
        <x:v>мягкая терпкость; теобромин и кофеин усиливают горькое послевкусие</x:v>
      </x:c>
      <x:c r="S618" s="28" t="str">
        <x:v>какао-масло с частицами какао и сахаром; плавление во рту медленно высвобождает гидрофобные ароматы</x:v>
      </x:c>
      <x:c r="T61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1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«анис»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18" s="28" t="str">
        <x:v>горечь и терпкость способны подавлять нежные продукты; содержит стимуляторы; аллергенные добавки возможны</x:v>
      </x:c>
      <x:c r="W618" s="28" t="str">
        <x:v>соль, ваниль или карамель</x:v>
      </x:c>
      <x:c r="X618" s="28" t="str">
        <x:v>ганаш, плитка, крем, мусс, напиток, глазурь или соус с анис</x:v>
      </x:c>
      <x:c r="Y618" s="28" t="str">
        <x:v>десерты</x:v>
      </x:c>
      <x:c r="Z618" s="28" t="str">
        <x:v>Высокая</x:v>
      </x:c>
      <x:c r="AA618" s="28" t="str">
        <x:v>Таблица сочетания(1).pdf | Тезариус вкусов (Ники Сегнит)(1).pdf</x:v>
      </x:c>
      <x:c r="AB618" s="28" t="str">
        <x:v>Таблица сочетания(1).pdf: 5; Тезариус вкусов (Ники Сегнит)(1).pdf: 25, 488</x:v>
      </x:c>
      <x:c r="AC618" s="28" t="str">
        <x:v>Пара встречается как table, thesaurus; научное объяснение сформировано по ароматическому профилю и пищевой матрице.</x:v>
      </x:c>
      <x:c r="AD618" s="28" t="n">
        <x:v>2</x:v>
      </x:c>
      <x:c r="AE618" s="28" t="n">
        <x:v>3</x:v>
      </x:c>
      <x:c r="AF618" s="28" t="n">
        <x:f>IF(Z618="Высокая",3,IF(Z618="Средняя",2,1))+AD618*2+MIN(AE618,3)</x:f>
        <x:v>10</x:v>
      </x:c>
    </x:row>
    <x:row r="619" ht="62" customHeight="1">
      <x:c r="A619" s="28" t="str">
        <x:v>NCT-0618</x:v>
      </x:c>
      <x:c r="B619" s="28" t="str">
        <x:v>шоколад</x:v>
      </x:c>
      <x:c r="C619" s="28" t="str">
        <x:v>Десерты и выпечка</x:v>
      </x:c>
      <x:c r="D619" s="28" t="str">
        <x:v>шоколад</x:v>
      </x:c>
      <x:c r="E619" s="28" t="str">
        <x:v>dark chocolate | Шоколад | шоколад</x:v>
      </x:c>
      <x:c r="F619" s="28" t="str">
        <x:v>Какао и шоколад</x:v>
      </x:c>
      <x:c r="G619" s="28" t="str">
        <x:v>апельсин</x:v>
      </x:c>
      <x:c r="H619" s="28" t="str">
        <x:v>orange | Апельсин | апельсин</x:v>
      </x:c>
      <x:c r="I619" s="28" t="str">
        <x:v>Фрукты и ягоды</x:v>
      </x:c>
      <x:c r="J619" s="28" t="str">
        <x:v>жареный, какаовый, фруктовый, цветочный, древесный и пряный; профиль зависит от происхождения и обжарки</x:v>
      </x:c>
      <x:c r="K619" s="28" t="str">
        <x:v>сладкий, цитрусовый</x:v>
      </x:c>
      <x:c r="L619" s="28" t="str">
        <x:v>пиразины, фураны, альдегиды, эфиры, теобромин</x:v>
      </x:c>
      <x:c r="M619" s="28" t="str">
        <x:v>лимонен, линалоол</x:v>
      </x:c>
      <x:c r="N619" s="28" t="str">
        <x:v>прямое пересечение семейств не является единственным объяснением</x:v>
      </x:c>
      <x:c r="O619" s="28" t="str">
        <x:v>надежная общая ключевая молекула не подтверждена</x:v>
      </x:c>
      <x:c r="P619" s="28" t="str">
        <x:v>контраст кислоты и жирной/горькой матрицы</x:v>
      </x:c>
      <x:c r="Q619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19" s="28" t="str">
        <x:v>мягкая терпкость; теобромин и кофеин усиливают горькое послевкусие</x:v>
      </x:c>
      <x:c r="S619" s="28" t="str">
        <x:v>какао-масло с частицами какао и сахаром; плавление во рту медленно высвобождает гидрофобные ароматы Водная фруктовая фаза требует эмульсии или мелкого измельчения, если орех или шоколад вводится как паста.</x:v>
      </x:c>
      <x:c r="T61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1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19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W619" s="28" t="str">
        <x:v>ваниль, цитрус или молочный жир</x:v>
      </x:c>
      <x:c r="X619" s="28" t="str">
        <x:v>ганаш, плитка, крем, мусс, напиток, глазурь или соус с апельсин</x:v>
      </x:c>
      <x:c r="Y619" s="28" t="str">
        <x:v>десерты</x:v>
      </x:c>
      <x:c r="Z619" s="28" t="str">
        <x:v>Высокая</x:v>
      </x:c>
      <x:c r="AA619" s="28" t="str">
        <x:v>The Art &amp; Science of Foodpairing.pdf | Таблица сочетания(1).pdf | Тезариус вкусов (Ники Сегнит)(1).pdf</x:v>
      </x:c>
      <x:c r="AB619" s="28" t="str">
        <x:v>The Art &amp; Science of Foodpairing.pdf: 236; Таблица сочетания(1).pdf: 5; Тезариус вкусов (Ники Сегнит)(1).pdf: 26, 783</x:v>
      </x:c>
      <x:c r="AC619" s="28" t="str">
        <x:v>Пара встречается как grid, table, thesaurus; научное объяснение сформировано по ароматическому профилю и пищевой матрице.</x:v>
      </x:c>
      <x:c r="AD619" s="28" t="n">
        <x:v>3</x:v>
      </x:c>
      <x:c r="AE619" s="28" t="n">
        <x:v>4</x:v>
      </x:c>
      <x:c r="AF619" s="28" t="n">
        <x:f>IF(Z619="Высокая",3,IF(Z619="Средняя",2,1))+AD619*2+MIN(AE619,3)</x:f>
        <x:v>12</x:v>
      </x:c>
    </x:row>
    <x:row r="620" ht="62" customHeight="1">
      <x:c r="A620" s="28" t="str">
        <x:v>NCT-0619</x:v>
      </x:c>
      <x:c r="B620" s="28" t="str">
        <x:v>шоколад</x:v>
      </x:c>
      <x:c r="C620" s="28" t="str">
        <x:v>Универсальные</x:v>
      </x:c>
      <x:c r="D620" s="28" t="str">
        <x:v>шоколад</x:v>
      </x:c>
      <x:c r="E620" s="28" t="str">
        <x:v>Шоколад | шоколад</x:v>
      </x:c>
      <x:c r="F620" s="28" t="str">
        <x:v>Какао и шоколад</x:v>
      </x:c>
      <x:c r="G620" s="28" t="str">
        <x:v>арбуз</x:v>
      </x:c>
      <x:c r="H620" s="28" t="str">
        <x:v>Арбуз | арбуз</x:v>
      </x:c>
      <x:c r="I620" s="28" t="str">
        <x:v>Прочее</x:v>
      </x:c>
      <x:c r="J620" s="28" t="str">
        <x:v>жареный, какаовый, фруктовый, цветочный, древесный и пряный; профиль зависит от происхождения и обжарки</x:v>
      </x:c>
      <x:c r="K620" s="28" t="str">
        <x:v>профиль зависит от конкретного продукта</x:v>
      </x:c>
      <x:c r="L620" s="28" t="str">
        <x:v>пиразины, фураны, альдегиды, эфиры, теобромин</x:v>
      </x:c>
      <x:c r="M620" s="28" t="str">
        <x:v>характерный профиль зависит от конкретного продукта</x:v>
      </x:c>
      <x:c r="N620" s="28" t="str">
        <x:v>прямое пересечение семейств не является единственным объяснением</x:v>
      </x:c>
      <x:c r="O620" s="28" t="str">
        <x:v>надежная общая ключевая молекула не подтверждена</x:v>
      </x:c>
      <x:c r="P620" s="28" t="str">
        <x:v>сенсорная комплементарность</x:v>
      </x:c>
      <x:c r="Q620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20" s="28" t="str">
        <x:v>мягкая терпкость; теобромин и кофеин усиливают горькое послевкусие</x:v>
      </x:c>
      <x:c r="S620" s="28" t="str">
        <x:v>какао-масло с частицами какао и сахаром; плавление во рту медленно высвобождает гидрофобные ароматы</x:v>
      </x:c>
      <x:c r="T62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2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«арбуз»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20" s="28" t="str">
        <x:v>горечь и терпкость способны подавлять нежные продукты; содержит стимуляторы; аллергенные добавки возможны</x:v>
      </x:c>
      <x:c r="W620" s="28" t="str">
        <x:v>соль, ваниль или карамель</x:v>
      </x:c>
      <x:c r="X620" s="28" t="str">
        <x:v>ганаш, плитка, крем, мусс, напиток, глазурь или соус с арбуз</x:v>
      </x:c>
      <x:c r="Y620" s="28" t="str">
        <x:v>десерты</x:v>
      </x:c>
      <x:c r="Z620" s="28" t="str">
        <x:v>Средняя</x:v>
      </x:c>
      <x:c r="AA620" s="28" t="str">
        <x:v>Тезариус вкусов (Ники Сегнит)(1).pdf</x:v>
      </x:c>
      <x:c r="AB620" s="28" t="str">
        <x:v>Тезариус вкусов (Ники Сегнит)(1).pdf: 27, 662</x:v>
      </x:c>
      <x:c r="AC620" s="28" t="str">
        <x:v>Пара встречается как thesaurus; научное объяснение сформировано по ароматическому профилю и пищевой матрице.</x:v>
      </x:c>
      <x:c r="AD620" s="28" t="n">
        <x:v>1</x:v>
      </x:c>
      <x:c r="AE620" s="28" t="n">
        <x:v>2</x:v>
      </x:c>
      <x:c r="AF620" s="28" t="n">
        <x:f>IF(Z620="Высокая",3,IF(Z620="Средняя",2,1))+AD620*2+MIN(AE620,3)</x:f>
        <x:v>6</x:v>
      </x:c>
    </x:row>
    <x:row r="621" ht="62" customHeight="1">
      <x:c r="A621" s="28" t="str">
        <x:v>NCT-0620</x:v>
      </x:c>
      <x:c r="B621" s="28" t="str">
        <x:v>шоколад</x:v>
      </x:c>
      <x:c r="C621" s="28" t="str">
        <x:v>Универсальные</x:v>
      </x:c>
      <x:c r="D621" s="28" t="str">
        <x:v>шоколад</x:v>
      </x:c>
      <x:c r="E621" s="28" t="str">
        <x:v>шоколад</x:v>
      </x:c>
      <x:c r="F621" s="28" t="str">
        <x:v>Какао и шоколад</x:v>
      </x:c>
      <x:c r="G621" s="28" t="str">
        <x:v>бадьян</x:v>
      </x:c>
      <x:c r="H621" s="28" t="str">
        <x:v>Бадьян</x:v>
      </x:c>
      <x:c r="I621" s="28" t="str">
        <x:v>Прочее</x:v>
      </x:c>
      <x:c r="J621" s="28" t="str">
        <x:v>жареный, какаовый, фруктовый, цветочный, древесный и пряный; профиль зависит от происхождения и обжарки</x:v>
      </x:c>
      <x:c r="K621" s="28" t="str">
        <x:v>профиль зависит от конкретного продукта</x:v>
      </x:c>
      <x:c r="L621" s="28" t="str">
        <x:v>пиразины, фураны, альдегиды, эфиры, теобромин</x:v>
      </x:c>
      <x:c r="M621" s="28" t="str">
        <x:v>характерный профиль зависит от конкретного продукта</x:v>
      </x:c>
      <x:c r="N621" s="28" t="str">
        <x:v>прямое пересечение семейств не является единственным объяснением</x:v>
      </x:c>
      <x:c r="O621" s="28" t="str">
        <x:v>надежная общая ключевая молекула не подтверждена</x:v>
      </x:c>
      <x:c r="P621" s="28" t="str">
        <x:v>сенсорная комплементарность</x:v>
      </x:c>
      <x:c r="Q621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21" s="28" t="str">
        <x:v>мягкая терпкость; теобромин и кофеин усиливают горькое послевкусие</x:v>
      </x:c>
      <x:c r="S621" s="28" t="str">
        <x:v>какао-масло с частицами какао и сахаром; плавление во рту медленно высвобождает гидрофобные ароматы</x:v>
      </x:c>
      <x:c r="T62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2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«бадьян»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21" s="28" t="str">
        <x:v>горечь и терпкость способны подавлять нежные продукты; содержит стимуляторы; аллергенные добавки возможны</x:v>
      </x:c>
      <x:c r="W621" s="28" t="str">
        <x:v>соль, ваниль или карамель</x:v>
      </x:c>
      <x:c r="X621" s="28" t="str">
        <x:v>ганаш, плитка, крем, мусс, напиток, глазурь или соус с бадьян</x:v>
      </x:c>
      <x:c r="Y621" s="28" t="str">
        <x:v>десерты</x:v>
      </x:c>
      <x:c r="Z621" s="28" t="str">
        <x:v>Гипотеза / практическая</x:v>
      </x:c>
      <x:c r="AA621" s="28" t="str">
        <x:v>Таблица сочетания(1).pdf</x:v>
      </x:c>
      <x:c r="AB621" s="28" t="str">
        <x:v>Таблица сочетания(1).pdf: 20</x:v>
      </x:c>
      <x:c r="AC621" s="28" t="str">
        <x:v>Пара встречается как table; научное объяснение сформировано по ароматическому профилю и пищевой матрице.</x:v>
      </x:c>
      <x:c r="AD621" s="28" t="n">
        <x:v>1</x:v>
      </x:c>
      <x:c r="AE621" s="28" t="n">
        <x:v>1</x:v>
      </x:c>
      <x:c r="AF621" s="28" t="n">
        <x:f>IF(Z621="Высокая",3,IF(Z621="Средняя",2,1))+AD621*2+MIN(AE621,3)</x:f>
        <x:v>4</x:v>
      </x:c>
    </x:row>
    <x:row r="622" ht="62" customHeight="1">
      <x:c r="A622" s="28" t="str">
        <x:v>NCT-0621</x:v>
      </x:c>
      <x:c r="B622" s="28" t="str">
        <x:v>шоколад</x:v>
      </x:c>
      <x:c r="C622" s="28" t="str">
        <x:v>Универсальные</x:v>
      </x:c>
      <x:c r="D622" s="28" t="str">
        <x:v>шоколад</x:v>
      </x:c>
      <x:c r="E622" s="28" t="str">
        <x:v>dark chocolate</x:v>
      </x:c>
      <x:c r="F622" s="28" t="str">
        <x:v>Какао и шоколад</x:v>
      </x:c>
      <x:c r="G622" s="28" t="str">
        <x:v>базилик</x:v>
      </x:c>
      <x:c r="H622" s="28" t="str">
        <x:v>basil</x:v>
      </x:c>
      <x:c r="I622" s="28" t="str">
        <x:v>Травы, цветы и листья</x:v>
      </x:c>
      <x:c r="J622" s="28" t="str">
        <x:v>жареный, какаовый, фруктовый, цветочный, древесный и пряный; профиль зависит от происхождения и обжарки</x:v>
      </x:c>
      <x:c r="K622" s="28" t="str">
        <x:v>зелёный, цветочный и терпеновый</x:v>
      </x:c>
      <x:c r="L622" s="28" t="str">
        <x:v>пиразины, фураны, альдегиды, эфиры, теобромин</x:v>
      </x:c>
      <x:c r="M622" s="28" t="str">
        <x:v>линалоол, терпены</x:v>
      </x:c>
      <x:c r="N622" s="28" t="str">
        <x:v>прямое пересечение семейств не является единственным объяснением</x:v>
      </x:c>
      <x:c r="O622" s="28" t="str">
        <x:v>надежная общая ключевая молекула не подтверждена</x:v>
      </x:c>
      <x:c r="P622" s="28" t="str">
        <x:v>сенсорная комплементарность</x:v>
      </x:c>
      <x:c r="Q622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22" s="28" t="str">
        <x:v>мягкая терпкость; теобромин и кофеин усиливают горькое послевкусие</x:v>
      </x:c>
      <x:c r="S622" s="28" t="str">
        <x:v>какао-масло с частицами какао и сахаром; плавление во рту медленно высвобождает гидрофобные ароматы</x:v>
      </x:c>
      <x:c r="T62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2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«базилик»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22" s="28" t="str">
        <x:v>горечь и терпкость способны подавлять нежные продукты; содержит стимуляторы; аллергенные добавки возможны</x:v>
      </x:c>
      <x:c r="W622" s="28" t="str">
        <x:v>цитрус, мёд или сливки</x:v>
      </x:c>
      <x:c r="X622" s="28" t="str">
        <x:v>ганаш, плитка, крем, мусс, напиток, глазурь или соус с базилик</x:v>
      </x:c>
      <x:c r="Y622" s="28" t="str">
        <x:v>десерты</x:v>
      </x:c>
      <x:c r="Z622" s="28" t="str">
        <x:v>Средняя</x:v>
      </x:c>
      <x:c r="AA622" s="28" t="str">
        <x:v>The Art &amp; Science of Foodpairing.pdf</x:v>
      </x:c>
      <x:c r="AB622" s="28" t="str">
        <x:v>The Art &amp; Science of Foodpairing.pdf: 74</x:v>
      </x:c>
      <x:c r="AC622" s="28" t="str">
        <x:v>Пара встречается как grid; научное объяснение сформировано по ароматическому профилю и пищевой матрице.</x:v>
      </x:c>
      <x:c r="AD622" s="28" t="n">
        <x:v>1</x:v>
      </x:c>
      <x:c r="AE622" s="28" t="n">
        <x:v>1</x:v>
      </x:c>
      <x:c r="AF622" s="28" t="n">
        <x:f>IF(Z622="Высокая",3,IF(Z622="Средняя",2,1))+AD622*2+MIN(AE622,3)</x:f>
        <x:v>5</x:v>
      </x:c>
    </x:row>
    <x:row r="623" ht="62" customHeight="1">
      <x:c r="A623" s="28" t="str">
        <x:v>NCT-0622</x:v>
      </x:c>
      <x:c r="B623" s="28" t="str">
        <x:v>шоколад</x:v>
      </x:c>
      <x:c r="C623" s="28" t="str">
        <x:v>Десерты и выпечка</x:v>
      </x:c>
      <x:c r="D623" s="28" t="str">
        <x:v>шоколад</x:v>
      </x:c>
      <x:c r="E623" s="28" t="str">
        <x:v>chocolate | cocoa powder | Шоколад | шоколад</x:v>
      </x:c>
      <x:c r="F623" s="28" t="str">
        <x:v>Какао и шоколад</x:v>
      </x:c>
      <x:c r="G623" s="28" t="str">
        <x:v>банан</x:v>
      </x:c>
      <x:c r="H623" s="28" t="str">
        <x:v>banana | Банан | банан</x:v>
      </x:c>
      <x:c r="I623" s="28" t="str">
        <x:v>Фрукты и ягоды</x:v>
      </x:c>
      <x:c r="J623" s="28" t="str">
        <x:v>жареный, какаовый, фруктовый, цветочный, древесный и пряный; профиль зависит от происхождения и обжарки</x:v>
      </x:c>
      <x:c r="K623" s="28" t="str">
        <x:v>сливочный, фруктовый</x:v>
      </x:c>
      <x:c r="L623" s="28" t="str">
        <x:v>пиразины, фураны, альдегиды, эфиры, теобромин</x:v>
      </x:c>
      <x:c r="M623" s="28" t="str">
        <x:v>изоамилацетат</x:v>
      </x:c>
      <x:c r="N623" s="28" t="str">
        <x:v>фруктовый</x:v>
      </x:c>
      <x:c r="O623" s="28" t="str">
        <x:v>надежная общая ключевая молекула не подтверждена</x:v>
      </x:c>
      <x:c r="P623" s="28" t="str">
        <x:v>пересечение ароматических семейств, контраст кислоты и жирной/горькой матрицы</x:v>
      </x:c>
      <x:c r="Q623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23" s="28" t="str">
        <x:v>мягкая терпкость; теобромин и кофеин усиливают горькое послевкусие</x:v>
      </x:c>
      <x:c r="S623" s="28" t="str">
        <x:v>какао-масло с частицами какао и сахаром; плавление во рту медленно высвобождает гидрофобные ароматы Водная фруктовая фаза требует эмульсии или мелкого измельчения, если орех или шоколад вводится как паста.</x:v>
      </x:c>
      <x:c r="T62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2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«банан» относится к группе «Фрукты и ягоды» и даёт сливочный, фруктовый. Профили пересекаются в семействах: фруктовый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механизм не следует сводить к одной общей молекуле.</x:v>
      </x:c>
      <x:c r="V623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W623" s="28" t="str">
        <x:v>ваниль, цитрус или молочный жир</x:v>
      </x:c>
      <x:c r="X623" s="28" t="str">
        <x:v>ганаш, плитка, крем, мусс, напиток, глазурь или соус с банан</x:v>
      </x:c>
      <x:c r="Y623" s="28" t="str">
        <x:v>десерты</x:v>
      </x:c>
      <x:c r="Z623" s="28" t="str">
        <x:v>Высокая</x:v>
      </x:c>
      <x:c r="AA623" s="28" t="str">
        <x:v>The Art &amp; Science of Foodpairing.pdf | Таблица сочетания(1).pdf | Тезариус вкусов (Ники Сегнит)(1).pdf</x:v>
      </x:c>
      <x:c r="AB623" s="28" t="str">
        <x:v>The Art &amp; Science of Foodpairing.pdf: 62, 342; Таблица сочетания(1).pdf: 2, 5; Тезариус вкусов (Ники Сегнит)(1).pdf: 27, 734</x:v>
      </x:c>
      <x:c r="AC623" s="28" t="str">
        <x:v>Пара встречается как grid, table, thesaurus; научное объяснение сформировано по ароматическому профилю и пищевой матрице.</x:v>
      </x:c>
      <x:c r="AD623" s="28" t="n">
        <x:v>3</x:v>
      </x:c>
      <x:c r="AE623" s="28" t="n">
        <x:v>7</x:v>
      </x:c>
      <x:c r="AF623" s="28" t="n">
        <x:f>IF(Z623="Высокая",3,IF(Z623="Средняя",2,1))+AD623*2+MIN(AE623,3)</x:f>
        <x:v>12</x:v>
      </x:c>
    </x:row>
    <x:row r="624" ht="62" customHeight="1">
      <x:c r="A624" s="28" t="str">
        <x:v>NCT-0623</x:v>
      </x:c>
      <x:c r="B624" s="28" t="str">
        <x:v>шоколад</x:v>
      </x:c>
      <x:c r="C624" s="28" t="str">
        <x:v>Еда и соусы</x:v>
      </x:c>
      <x:c r="D624" s="28" t="str">
        <x:v>шоколад</x:v>
      </x:c>
      <x:c r="E624" s="28" t="str">
        <x:v>Шоколад | шоколад</x:v>
      </x:c>
      <x:c r="F624" s="28" t="str">
        <x:v>Какао и шоколад</x:v>
      </x:c>
      <x:c r="G624" s="28" t="str">
        <x:v>бекон</x:v>
      </x:c>
      <x:c r="H624" s="28" t="str">
        <x:v>Бекон | бекон</x:v>
      </x:c>
      <x:c r="I624" s="28" t="str">
        <x:v>Мясо и птица</x:v>
      </x:c>
      <x:c r="J624" s="28" t="str">
        <x:v>жареный, какаовый, фруктовый, цветочный, древесный и пряный; профиль зависит от происхождения и обжарки</x:v>
      </x:c>
      <x:c r="K624" s="28" t="str">
        <x:v>дымный, жареный, умами</x:v>
      </x:c>
      <x:c r="L624" s="28" t="str">
        <x:v>пиразины, фураны, альдегиды, эфиры, теобромин</x:v>
      </x:c>
      <x:c r="M624" s="28" t="str">
        <x:v>пиразины, фенолы</x:v>
      </x:c>
      <x:c r="N624" s="28" t="str">
        <x:v>жареный</x:v>
      </x:c>
      <x:c r="O624" s="28" t="str">
        <x:v>пиразины</x:v>
      </x:c>
      <x:c r="P62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Q624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24" s="28" t="str">
        <x:v>мягкая терпкость; теобромин и кофеин усиливают горькое послевкусие</x:v>
      </x:c>
      <x:c r="S624" s="28" t="str">
        <x:v>какао-масло с частицами какао и сахаром; плавление во рту медленно высвобождает гидрофобные ароматы</x:v>
      </x:c>
      <x:c r="T62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2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«бекон» относится к группе «Мясо и птица» и даёт дымный, жареный,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V624" s="28" t="str">
        <x:v>горечь и терпкость способны подавлять нежные продукты; содержит стимуляторы; аллергенные добавки возможны</x:v>
      </x:c>
      <x:c r="W624" s="28" t="str">
        <x:v>соль, соевый соус, коричневое масло или специя</x:v>
      </x:c>
      <x:c r="X624" s="28" t="str">
        <x:v>ганаш, плитка, крем, мусс, напиток, глазурь или соус с бекон</x:v>
      </x:c>
      <x:c r="Y624" s="28" t="str">
        <x:v>еда, десерты, соусы/маринады</x:v>
      </x:c>
      <x:c r="Z624" s="28" t="str">
        <x:v>Средняя</x:v>
      </x:c>
      <x:c r="AA624" s="28" t="str">
        <x:v>Тезариус вкусов (Ники Сегнит)(1).pdf</x:v>
      </x:c>
      <x:c r="AB624" s="28" t="str">
        <x:v>Тезариус вкусов (Ники Сегнит)(1).pdf: 27, 449</x:v>
      </x:c>
      <x:c r="AC624" s="28" t="str">
        <x:v>Пара встречается как thesaurus; научное объяснение сформировано по ароматическому профилю и пищевой матрице.</x:v>
      </x:c>
      <x:c r="AD624" s="28" t="n">
        <x:v>1</x:v>
      </x:c>
      <x:c r="AE624" s="28" t="n">
        <x:v>2</x:v>
      </x:c>
      <x:c r="AF624" s="28" t="n">
        <x:f>IF(Z624="Высокая",3,IF(Z624="Средняя",2,1))+AD624*2+MIN(AE624,3)</x:f>
        <x:v>6</x:v>
      </x:c>
    </x:row>
    <x:row r="625" ht="62" customHeight="1">
      <x:c r="A625" s="28" t="str">
        <x:v>NCT-0624</x:v>
      </x:c>
      <x:c r="B625" s="28" t="str">
        <x:v>шоколад</x:v>
      </x:c>
      <x:c r="C625" s="28" t="str">
        <x:v>Десерты и выпечка</x:v>
      </x:c>
      <x:c r="D625" s="28" t="str">
        <x:v>шоколад</x:v>
      </x:c>
      <x:c r="E625" s="28" t="str">
        <x:v>темный шоколад</x:v>
      </x:c>
      <x:c r="F625" s="28" t="str">
        <x:v>Какао и шоколад</x:v>
      </x:c>
      <x:c r="G625" s="28" t="str">
        <x:v>белый шоколад</x:v>
      </x:c>
      <x:c r="H625" s="28" t="str">
        <x:v>Белый шоколад</x:v>
      </x:c>
      <x:c r="I625" s="28" t="str">
        <x:v>Какао и шоколад</x:v>
      </x:c>
      <x:c r="J625" s="28" t="str">
        <x:v>жареный, какаовый, фруктовый, цветочный, древесный и пряный; профиль зависит от происхождения и обжарки</x:v>
      </x:c>
      <x:c r="K625" s="28" t="str">
        <x:v>сливочный, ванильный, карамельный и маслянистый без выраженного какаового жареного профиля</x:v>
      </x:c>
      <x:c r="L625" s="28" t="str">
        <x:v>пиразины, фураны, альдегиды, эфиры, теобромин</x:v>
      </x:c>
      <x:c r="M625" s="28" t="str">
        <x:v>ванилин, диацетил, лактоны, молочные альдегиды</x:v>
      </x:c>
      <x:c r="N625" s="28" t="str">
        <x:v>прямое пересечение семейств не является единственным объяснением</x:v>
      </x:c>
      <x:c r="O625" s="28" t="str">
        <x:v>надежная общая ключевая молекула не подтверждена</x:v>
      </x:c>
      <x:c r="P625" s="28" t="str">
        <x:v>жареная химия и реакции Майяра</x:v>
      </x:c>
      <x:c r="Q625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25" s="28" t="str">
        <x:v>мягкая терпкость; теобромин и кофеин усиливают горькое послевкусие</x:v>
      </x:c>
      <x:c r="S625" s="28" t="str">
        <x:v>какао-масло с частицами какао и сахаром; плавление во рту медленно высвобождает гидрофобные ароматы</x:v>
      </x:c>
      <x:c r="T62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2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«белый шоколад» относится к группе «Какао и шоколад» и даёт сливочный, ванильный, карамельный и маслянистый без выраженного какаового жареного профиля.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25" s="28" t="str">
        <x:v>горечь и терпкость способны подавлять нежные продукты; содержит стимуляторы; аллергенные добавки возможны</x:v>
      </x:c>
      <x:c r="W625" s="28" t="str">
        <x:v>соль, ваниль или карамель</x:v>
      </x:c>
      <x:c r="X625" s="28" t="str">
        <x:v>ганаш, плитка, крем, мусс, напиток, глазурь или соус с белый шоколад</x:v>
      </x:c>
      <x:c r="Y625" s="28" t="str">
        <x:v>десерты</x:v>
      </x:c>
      <x:c r="Z625" s="28" t="str">
        <x:v>Средняя</x:v>
      </x:c>
      <x:c r="AA625" s="28" t="str">
        <x:v>Тезариус вкусов (Ники Сегнит)(1).pdf</x:v>
      </x:c>
      <x:c r="AB625" s="28" t="str">
        <x:v>Тезариус вкусов (Ники Сегнит)(1).pdf: 926</x:v>
      </x:c>
      <x:c r="AC625" s="28" t="str">
        <x:v>Пара встречается как thesaurus; научное объяснение сформировано по ароматическому профилю и пищевой матрице.</x:v>
      </x:c>
      <x:c r="AD625" s="28" t="n">
        <x:v>1</x:v>
      </x:c>
      <x:c r="AE625" s="28" t="n">
        <x:v>1</x:v>
      </x:c>
      <x:c r="AF625" s="28" t="n">
        <x:f>IF(Z625="Высокая",3,IF(Z625="Средняя",2,1))+AD625*2+MIN(AE625,3)</x:f>
        <x:v>5</x:v>
      </x:c>
    </x:row>
    <x:row r="626" ht="62" customHeight="1">
      <x:c r="A626" s="28" t="str">
        <x:v>NCT-0625</x:v>
      </x:c>
      <x:c r="B626" s="28" t="str">
        <x:v>шоколад</x:v>
      </x:c>
      <x:c r="C626" s="28" t="str">
        <x:v>Универсальные</x:v>
      </x:c>
      <x:c r="D626" s="28" t="str">
        <x:v>шоколад</x:v>
      </x:c>
      <x:c r="E626" s="28" t="str">
        <x:v>dark chocolate</x:v>
      </x:c>
      <x:c r="F626" s="28" t="str">
        <x:v>Какао и шоколад</x:v>
      </x:c>
      <x:c r="G626" s="28" t="str">
        <x:v>брокколи</x:v>
      </x:c>
      <x:c r="H626" s="28" t="str">
        <x:v>broccoli</x:v>
      </x:c>
      <x:c r="I626" s="28" t="str">
        <x:v>Прочее</x:v>
      </x:c>
      <x:c r="J626" s="28" t="str">
        <x:v>жареный, какаовый, фруктовый, цветочный, древесный и пряный; профиль зависит от происхождения и обжарки</x:v>
      </x:c>
      <x:c r="K626" s="28" t="str">
        <x:v>профиль зависит от конкретного продукта</x:v>
      </x:c>
      <x:c r="L626" s="28" t="str">
        <x:v>пиразины, фураны, альдегиды, эфиры, теобромин</x:v>
      </x:c>
      <x:c r="M626" s="28" t="str">
        <x:v>характерный профиль зависит от конкретного продукта</x:v>
      </x:c>
      <x:c r="N626" s="28" t="str">
        <x:v>прямое пересечение семейств не является единственным объяснением</x:v>
      </x:c>
      <x:c r="O626" s="28" t="str">
        <x:v>надежная общая ключевая молекула не подтверждена</x:v>
      </x:c>
      <x:c r="P626" s="28" t="str">
        <x:v>сенсорная комплементарность</x:v>
      </x:c>
      <x:c r="Q626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26" s="28" t="str">
        <x:v>мягкая терпкость; теобромин и кофеин усиливают горькое послевкусие</x:v>
      </x:c>
      <x:c r="S626" s="28" t="str">
        <x:v>какао-масло с частицами какао и сахаром; плавление во рту медленно высвобождает гидрофобные ароматы</x:v>
      </x:c>
      <x:c r="T62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2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«брокколи»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26" s="28" t="str">
        <x:v>горечь и терпкость способны подавлять нежные продукты; содержит стимуляторы; аллергенные добавки возможны</x:v>
      </x:c>
      <x:c r="W626" s="28" t="str">
        <x:v>соль, ваниль или карамель</x:v>
      </x:c>
      <x:c r="X626" s="28" t="str">
        <x:v>ганаш, плитка, крем, мусс, напиток, глазурь или соус с брокколи</x:v>
      </x:c>
      <x:c r="Y626" s="28" t="str">
        <x:v>десерты</x:v>
      </x:c>
      <x:c r="Z626" s="28" t="str">
        <x:v>Высокая</x:v>
      </x:c>
      <x:c r="AA626" s="28" t="str">
        <x:v>The Art &amp; Science of Foodpairing.pdf</x:v>
      </x:c>
      <x:c r="AB626" s="28" t="str">
        <x:v>The Art &amp; Science of Foodpairing.pdf: 60</x:v>
      </x:c>
      <x:c r="AC626" s="28" t="str">
        <x:v>Пара встречается как potential; научное объяснение сформировано по ароматическому профилю и пищевой матрице.</x:v>
      </x:c>
      <x:c r="AD626" s="28" t="n">
        <x:v>1</x:v>
      </x:c>
      <x:c r="AE626" s="28" t="n">
        <x:v>1</x:v>
      </x:c>
      <x:c r="AF626" s="28" t="n">
        <x:f>IF(Z626="Высокая",3,IF(Z626="Средняя",2,1))+AD626*2+MIN(AE626,3)</x:f>
        <x:v>6</x:v>
      </x:c>
    </x:row>
    <x:row r="627" ht="62" customHeight="1">
      <x:c r="A627" s="28" t="str">
        <x:v>NCT-0626</x:v>
      </x:c>
      <x:c r="B627" s="28" t="str">
        <x:v>шоколад</x:v>
      </x:c>
      <x:c r="C627" s="28" t="str">
        <x:v>Универсальные</x:v>
      </x:c>
      <x:c r="D627" s="28" t="str">
        <x:v>шоколад</x:v>
      </x:c>
      <x:c r="E627" s="28" t="str">
        <x:v>chocolate | Шоколад | шоколад</x:v>
      </x:c>
      <x:c r="F627" s="28" t="str">
        <x:v>Какао и шоколад</x:v>
      </x:c>
      <x:c r="G627" s="28" t="str">
        <x:v>ваниль</x:v>
      </x:c>
      <x:c r="H627" s="28" t="str">
        <x:v>vanilla | Ваниль | ваниль</x:v>
      </x:c>
      <x:c r="I627" s="28" t="str">
        <x:v>Специи</x:v>
      </x:c>
      <x:c r="J627" s="28" t="str">
        <x:v>жареный, какаовый, фруктовый, цветочный, древесный и пряный; профиль зависит от происхождения и обжарки</x:v>
      </x:c>
      <x:c r="K627" s="28" t="str">
        <x:v>ванильный, цветочный</x:v>
      </x:c>
      <x:c r="L627" s="28" t="str">
        <x:v>пиразины, фураны, альдегиды, эфиры, теобромин</x:v>
      </x:c>
      <x:c r="M627" s="28" t="str">
        <x:v>ванилин</x:v>
      </x:c>
      <x:c r="N627" s="28" t="str">
        <x:v>прямое пересечение семейств не является единственным объяснением</x:v>
      </x:c>
      <x:c r="O627" s="28" t="str">
        <x:v>надежная общая ключевая молекула не подтверждена</x:v>
      </x:c>
      <x:c r="P627" s="28" t="str">
        <x:v>сенсорная комплементарность</x:v>
      </x:c>
      <x:c r="Q627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27" s="28" t="str">
        <x:v>мягкая терпкость; теобромин и кофеин усиливают горькое послевкусие</x:v>
      </x:c>
      <x:c r="S627" s="28" t="str">
        <x:v>какао-масло с частицами какао и сахаром; плавление во рту медленно высвобождает гидрофобные ароматы</x:v>
      </x:c>
      <x:c r="T62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2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«ваниль» относится к группе «Специи» и даёт ванильный, цветочный.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27" s="28" t="str">
        <x:v>горечь и терпкость способны подавлять нежные продукты; содержит стимуляторы; аллергенные добавки возможны</x:v>
      </x:c>
      <x:c r="W627" s="28" t="str">
        <x:v>ваниль, апельсин или мёд</x:v>
      </x:c>
      <x:c r="X627" s="28" t="str">
        <x:v>ганаш, плитка, крем, мусс, напиток, глазурь или соус с ваниль</x:v>
      </x:c>
      <x:c r="Y627" s="28" t="str">
        <x:v>десерты</x:v>
      </x:c>
      <x:c r="Z627" s="28" t="str">
        <x:v>Высокая</x:v>
      </x:c>
      <x:c r="AA627" s="28" t="str">
        <x:v>The Art &amp; Science of Foodpairing.pdf | Таблица сочетания(1).pdf | Тезариус вкусов (Ники Сегнит)(1).pdf</x:v>
      </x:c>
      <x:c r="AB627" s="28" t="str">
        <x:v>The Art &amp; Science of Foodpairing.pdf: 57; Таблица сочетания(1).pdf: 5, 21; Тезариус вкусов (Ники Сегнит)(1).pdf: 27, 920</x:v>
      </x:c>
      <x:c r="AC627" s="28" t="str">
        <x:v>Пара встречается как classic, table, thesaurus; научное объяснение сформировано по ароматическому профилю и пищевой матрице.</x:v>
      </x:c>
      <x:c r="AD627" s="28" t="n">
        <x:v>3</x:v>
      </x:c>
      <x:c r="AE627" s="28" t="n">
        <x:v>5</x:v>
      </x:c>
      <x:c r="AF627" s="28" t="n">
        <x:f>IF(Z627="Высокая",3,IF(Z627="Средняя",2,1))+AD627*2+MIN(AE627,3)</x:f>
        <x:v>12</x:v>
      </x:c>
    </x:row>
    <x:row r="628" ht="62" customHeight="1">
      <x:c r="A628" s="28" t="str">
        <x:v>NCT-0627</x:v>
      </x:c>
      <x:c r="B628" s="28" t="str">
        <x:v>шоколад</x:v>
      </x:c>
      <x:c r="C628" s="28" t="str">
        <x:v>Универсальные</x:v>
      </x:c>
      <x:c r="D628" s="28" t="str">
        <x:v>шоколад</x:v>
      </x:c>
      <x:c r="E628" s="28" t="str">
        <x:v>chocolate | chocolate ganache, marzipan</x:v>
      </x:c>
      <x:c r="F628" s="28" t="str">
        <x:v>Какао и шоколад</x:v>
      </x:c>
      <x:c r="G628" s="28" t="str">
        <x:v>васаби</x:v>
      </x:c>
      <x:c r="H628" s="28" t="str">
        <x:v>wasabi</x:v>
      </x:c>
      <x:c r="I628" s="28" t="str">
        <x:v>Прочее</x:v>
      </x:c>
      <x:c r="J628" s="28" t="str">
        <x:v>жареный, какаовый, фруктовый, цветочный, древесный и пряный; профиль зависит от происхождения и обжарки</x:v>
      </x:c>
      <x:c r="K628" s="28" t="str">
        <x:v>профиль зависит от конкретного продукта</x:v>
      </x:c>
      <x:c r="L628" s="28" t="str">
        <x:v>пиразины, фураны, альдегиды, эфиры, теобромин</x:v>
      </x:c>
      <x:c r="M628" s="28" t="str">
        <x:v>характерный профиль зависит от конкретного продукта</x:v>
      </x:c>
      <x:c r="N628" s="28" t="str">
        <x:v>прямое пересечение семейств не является единственным объяснением</x:v>
      </x:c>
      <x:c r="O628" s="28" t="str">
        <x:v>надежная общая ключевая молекула не подтверждена</x:v>
      </x:c>
      <x:c r="P628" s="28" t="str">
        <x:v>сенсорная комплементарность</x:v>
      </x:c>
      <x:c r="Q628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28" s="28" t="str">
        <x:v>мягкая терпкость; теобромин и кофеин усиливают горькое послевкусие</x:v>
      </x:c>
      <x:c r="S628" s="28" t="str">
        <x:v>какао-масло с частицами какао и сахаром; плавление во рту медленно высвобождает гидрофобные ароматы</x:v>
      </x:c>
      <x:c r="T62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2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«васаби»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28" s="28" t="str">
        <x:v>горечь и терпкость способны подавлять нежные продукты; содержит стимуляторы; аллергенные добавки возможны</x:v>
      </x:c>
      <x:c r="W628" s="28" t="str">
        <x:v>соль, ваниль или карамель</x:v>
      </x:c>
      <x:c r="X628" s="28" t="str">
        <x:v>ганаш, плитка, крем, мусс, напиток, глазурь или соус с васаби</x:v>
      </x:c>
      <x:c r="Y628" s="28" t="str">
        <x:v>десерты</x:v>
      </x:c>
      <x:c r="Z628" s="28" t="str">
        <x:v>Высокая</x:v>
      </x:c>
      <x:c r="AA628" s="28" t="str">
        <x:v>The Art &amp; Science of Foodpairing.pdf</x:v>
      </x:c>
      <x:c r="AB628" s="28" t="str">
        <x:v>The Art &amp; Science of Foodpairing.pdf: 62</x:v>
      </x:c>
      <x:c r="AC628" s="28" t="str">
        <x:v>Пара встречается как chef's, grid; научное объяснение сформировано по ароматическому профилю и пищевой матрице.</x:v>
      </x:c>
      <x:c r="AD628" s="28" t="n">
        <x:v>1</x:v>
      </x:c>
      <x:c r="AE628" s="28" t="n">
        <x:v>2</x:v>
      </x:c>
      <x:c r="AF628" s="28" t="n">
        <x:f>IF(Z628="Высокая",3,IF(Z628="Средняя",2,1))+AD628*2+MIN(AE628,3)</x:f>
        <x:v>7</x:v>
      </x:c>
    </x:row>
    <x:row r="629" ht="62" customHeight="1">
      <x:c r="A629" s="28" t="str">
        <x:v>NCT-0628</x:v>
      </x:c>
      <x:c r="B629" s="28" t="str">
        <x:v>шоколад</x:v>
      </x:c>
      <x:c r="C629" s="28" t="str">
        <x:v>Десерты и выпечка</x:v>
      </x:c>
      <x:c r="D629" s="28" t="str">
        <x:v>шоколад</x:v>
      </x:c>
      <x:c r="E629" s="28" t="str">
        <x:v>Шоколад | шоколад</x:v>
      </x:c>
      <x:c r="F629" s="28" t="str">
        <x:v>Какао и шоколад</x:v>
      </x:c>
      <x:c r="G629" s="28" t="str">
        <x:v>вишня</x:v>
      </x:c>
      <x:c r="H629" s="28" t="str">
        <x:v>Вишня | вишня</x:v>
      </x:c>
      <x:c r="I629" s="28" t="str">
        <x:v>Фрукты и ягоды</x:v>
      </x:c>
      <x:c r="J629" s="28" t="str">
        <x:v>жареный, какаовый, фруктовый, цветочный, древесный и пряный; профиль зависит от происхождения и обжарки</x:v>
      </x:c>
      <x:c r="K629" s="28" t="str">
        <x:v>миндальный, фруктовый</x:v>
      </x:c>
      <x:c r="L629" s="28" t="str">
        <x:v>пиразины, фураны, альдегиды, эфиры, теобромин</x:v>
      </x:c>
      <x:c r="M629" s="28" t="str">
        <x:v>бензальдегид, эфиры</x:v>
      </x:c>
      <x:c r="N629" s="28" t="str">
        <x:v>фруктовый</x:v>
      </x:c>
      <x:c r="O629" s="28" t="str">
        <x:v>эфиры</x:v>
      </x:c>
      <x:c r="P629" s="28" t="str">
        <x:v>общие ароматические соединения, пересечение ароматических семейств, контраст кислоты и жирной/горькой матрицы</x:v>
      </x:c>
      <x:c r="Q629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29" s="28" t="str">
        <x:v>мягкая терпкость; теобромин и кофеин усиливают горькое послевкусие</x:v>
      </x:c>
      <x:c r="S629" s="28" t="str">
        <x:v>какао-масло с частицами какао и сахаром; плавление во рту медленно высвобождает гидрофобные ароматы Водная фруктовая фаза требует эмульсии или мелкого измельчения, если орех или шоколад вводится как паста.</x:v>
      </x:c>
      <x:c r="T62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2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«вишня» относится к группе «Фрукты и ягоды» и даёт миндальный, фруктовый. Молекулярный мост создают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эфиры.</x:v>
      </x:c>
      <x:c r="V629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W629" s="28" t="str">
        <x:v>ваниль, цитрус или молочный жир</x:v>
      </x:c>
      <x:c r="X629" s="28" t="str">
        <x:v>ганаш, плитка, крем, мусс, напиток, глазурь или соус с вишня</x:v>
      </x:c>
      <x:c r="Y629" s="28" t="str">
        <x:v>десерты</x:v>
      </x:c>
      <x:c r="Z629" s="28" t="str">
        <x:v>Высокая</x:v>
      </x:c>
      <x:c r="AA629" s="28" t="str">
        <x:v>Таблица сочетания(1).pdf | Тезариус вкусов (Ники Сегнит)(1).pdf</x:v>
      </x:c>
      <x:c r="AB629" s="28" t="str">
        <x:v>Таблица сочетания(1).pdf: 4, 5; Тезариус вкусов (Ники Сегнит)(1).pdf: 28, 657</x:v>
      </x:c>
      <x:c r="AC629" s="28" t="str">
        <x:v>Пара встречается как table, thesaurus; научное объяснение сформировано по ароматическому профилю и пищевой матрице.</x:v>
      </x:c>
      <x:c r="AD629" s="28" t="n">
        <x:v>2</x:v>
      </x:c>
      <x:c r="AE629" s="28" t="n">
        <x:v>4</x:v>
      </x:c>
      <x:c r="AF629" s="28" t="n">
        <x:f>IF(Z629="Высокая",3,IF(Z629="Средняя",2,1))+AD629*2+MIN(AE629,3)</x:f>
        <x:v>10</x:v>
      </x:c>
    </x:row>
    <x:row r="630" ht="62" customHeight="1">
      <x:c r="A630" s="28" t="str">
        <x:v>NCT-0629</x:v>
      </x:c>
      <x:c r="B630" s="28" t="str">
        <x:v>шоколад</x:v>
      </x:c>
      <x:c r="C630" s="28" t="str">
        <x:v>Универсальные</x:v>
      </x:c>
      <x:c r="D630" s="28" t="str">
        <x:v>шоколад</x:v>
      </x:c>
      <x:c r="E630" s="28" t="str">
        <x:v>Шоколад | шоколад</x:v>
      </x:c>
      <x:c r="F630" s="28" t="str">
        <x:v>Какао и шоколад</x:v>
      </x:c>
      <x:c r="G630" s="28" t="str">
        <x:v>гвоздика</x:v>
      </x:c>
      <x:c r="H630" s="28" t="str">
        <x:v>Гвоздика | гвоздика</x:v>
      </x:c>
      <x:c r="I630" s="28" t="str">
        <x:v>Специи</x:v>
      </x:c>
      <x:c r="J630" s="28" t="str">
        <x:v>жареный, какаовый, фруктовый, цветочный, древесный и пряный; профиль зависит от происхождения и обжарки</x:v>
      </x:c>
      <x:c r="K630" s="28" t="str">
        <x:v>древесный, пряный, фенольный</x:v>
      </x:c>
      <x:c r="L630" s="28" t="str">
        <x:v>пиразины, фураны, альдегиды, эфиры, теобромин</x:v>
      </x:c>
      <x:c r="M630" s="28" t="str">
        <x:v>эвгенол</x:v>
      </x:c>
      <x:c r="N630" s="28" t="str">
        <x:v>древесный</x:v>
      </x:c>
      <x:c r="O630" s="28" t="str">
        <x:v>надежная общая ключевая молекула не подтверждена</x:v>
      </x:c>
      <x:c r="P630" s="28" t="str">
        <x:v>пересечение ароматических семейств</x:v>
      </x:c>
      <x:c r="Q630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30" s="28" t="str">
        <x:v>мягкая терпкость; теобромин и кофеин усиливают горькое послевкусие</x:v>
      </x:c>
      <x:c r="S630" s="28" t="str">
        <x:v>какао-масло с частицами какао и сахаром; плавление во рту медленно высвобождает гидрофобные ароматы</x:v>
      </x:c>
      <x:c r="T63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3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«гвоздика» относится к группе «Специи» и даёт древесный, пряный, фенольный.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V630" s="28" t="str">
        <x:v>горечь и терпкость способны подавлять нежные продукты; содержит стимуляторы; аллергенные добавки возможны</x:v>
      </x:c>
      <x:c r="W630" s="28" t="str">
        <x:v>ваниль, апельсин или мёд</x:v>
      </x:c>
      <x:c r="X630" s="28" t="str">
        <x:v>ганаш, плитка, крем, мусс, напиток, глазурь или соус с гвоздика</x:v>
      </x:c>
      <x:c r="Y630" s="28" t="str">
        <x:v>десерты</x:v>
      </x:c>
      <x:c r="Z630" s="28" t="str">
        <x:v>Гипотеза / практическая</x:v>
      </x:c>
      <x:c r="AA630" s="28" t="str">
        <x:v>Таблица сочетания(1).pdf</x:v>
      </x:c>
      <x:c r="AB630" s="28" t="str">
        <x:v>Таблица сочетания(1).pdf: 5</x:v>
      </x:c>
      <x:c r="AC630" s="28" t="str">
        <x:v>Пара встречается как table; научное объяснение сформировано по ароматическому профилю и пищевой матрице.</x:v>
      </x:c>
      <x:c r="AD630" s="28" t="n">
        <x:v>1</x:v>
      </x:c>
      <x:c r="AE630" s="28" t="n">
        <x:v>2</x:v>
      </x:c>
      <x:c r="AF630" s="28" t="n">
        <x:f>IF(Z630="Высокая",3,IF(Z630="Средняя",2,1))+AD630*2+MIN(AE630,3)</x:f>
        <x:v>5</x:v>
      </x:c>
    </x:row>
    <x:row r="631" ht="62" customHeight="1">
      <x:c r="A631" s="28" t="str">
        <x:v>NCT-0630</x:v>
      </x:c>
      <x:c r="B631" s="28" t="str">
        <x:v>шоколад</x:v>
      </x:c>
      <x:c r="C631" s="28" t="str">
        <x:v>Универсальные</x:v>
      </x:c>
      <x:c r="D631" s="28" t="str">
        <x:v>шоколад</x:v>
      </x:c>
      <x:c r="E631" s="28" t="str">
        <x:v>chocolate | Шоколад</x:v>
      </x:c>
      <x:c r="F631" s="28" t="str">
        <x:v>Какао и шоколад</x:v>
      </x:c>
      <x:c r="G631" s="28" t="str">
        <x:v>голубика</x:v>
      </x:c>
      <x:c r="H631" s="28" t="str">
        <x:v>blueberry | голубика</x:v>
      </x:c>
      <x:c r="I631" s="28" t="str">
        <x:v>Прочее</x:v>
      </x:c>
      <x:c r="J631" s="28" t="str">
        <x:v>жареный, какаовый, фруктовый, цветочный, древесный и пряный; профиль зависит от происхождения и обжарки</x:v>
      </x:c>
      <x:c r="K631" s="28" t="str">
        <x:v>профиль зависит от конкретного продукта</x:v>
      </x:c>
      <x:c r="L631" s="28" t="str">
        <x:v>пиразины, фураны, альдегиды, эфиры, теобромин</x:v>
      </x:c>
      <x:c r="M631" s="28" t="str">
        <x:v>характерный профиль зависит от конкретного продукта</x:v>
      </x:c>
      <x:c r="N631" s="28" t="str">
        <x:v>прямое пересечение семейств не является единственным объяснением</x:v>
      </x:c>
      <x:c r="O631" s="28" t="str">
        <x:v>надежная общая ключевая молекула не подтверждена</x:v>
      </x:c>
      <x:c r="P631" s="28" t="str">
        <x:v>сенсорная комплементарность</x:v>
      </x:c>
      <x:c r="Q631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31" s="28" t="str">
        <x:v>мягкая терпкость; теобромин и кофеин усиливают горькое послевкусие</x:v>
      </x:c>
      <x:c r="S631" s="28" t="str">
        <x:v>какао-масло с частицами какао и сахаром; плавление во рту медленно высвобождает гидрофобные ароматы</x:v>
      </x:c>
      <x:c r="T63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3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«голубика»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31" s="28" t="str">
        <x:v>горечь и терпкость способны подавлять нежные продукты; содержит стимуляторы; аллергенные добавки возможны</x:v>
      </x:c>
      <x:c r="W631" s="28" t="str">
        <x:v>соль, ваниль или карамель</x:v>
      </x:c>
      <x:c r="X631" s="28" t="str">
        <x:v>ганаш, плитка, крем, мусс, напиток, глазурь или соус с голубика</x:v>
      </x:c>
      <x:c r="Y631" s="28" t="str">
        <x:v>десерты</x:v>
      </x:c>
      <x:c r="Z631" s="28" t="str">
        <x:v>Высокая</x:v>
      </x:c>
      <x:c r="AA631" s="28" t="str">
        <x:v>The Art &amp; Science of Foodpairing.pdf | Таблица сочетания(1).pdf</x:v>
      </x:c>
      <x:c r="AB631" s="28" t="str">
        <x:v>The Art &amp; Science of Foodpairing.pdf: 62; Таблица сочетания(1).pdf: 5</x:v>
      </x:c>
      <x:c r="AC631" s="28" t="str">
        <x:v>Пара встречается как grid, table; научное объяснение сформировано по ароматическому профилю и пищевой матрице.</x:v>
      </x:c>
      <x:c r="AD631" s="28" t="n">
        <x:v>2</x:v>
      </x:c>
      <x:c r="AE631" s="28" t="n">
        <x:v>2</x:v>
      </x:c>
      <x:c r="AF631" s="28" t="n">
        <x:f>IF(Z631="Высокая",3,IF(Z631="Средняя",2,1))+AD631*2+MIN(AE631,3)</x:f>
        <x:v>9</x:v>
      </x:c>
    </x:row>
    <x:row r="632" ht="62" customHeight="1">
      <x:c r="A632" s="28" t="str">
        <x:v>NCT-0631</x:v>
      </x:c>
      <x:c r="B632" s="28" t="str">
        <x:v>шоколад</x:v>
      </x:c>
      <x:c r="C632" s="28" t="str">
        <x:v>Универсальные</x:v>
      </x:c>
      <x:c r="D632" s="28" t="str">
        <x:v>шоколад</x:v>
      </x:c>
      <x:c r="E632" s="28" t="str">
        <x:v>chocolate</x:v>
      </x:c>
      <x:c r="F632" s="28" t="str">
        <x:v>Какао и шоколад</x:v>
      </x:c>
      <x:c r="G632" s="28" t="str">
        <x:v>грана падано</x:v>
      </x:c>
      <x:c r="H632" s="28" t="str">
        <x:v>Grana Padano</x:v>
      </x:c>
      <x:c r="I632" s="28" t="str">
        <x:v>Прочее</x:v>
      </x:c>
      <x:c r="J632" s="28" t="str">
        <x:v>жареный, какаовый, фруктовый, цветочный, древесный и пряный; профиль зависит от происхождения и обжарки</x:v>
      </x:c>
      <x:c r="K632" s="28" t="str">
        <x:v>профиль зависит от конкретного продукта</x:v>
      </x:c>
      <x:c r="L632" s="28" t="str">
        <x:v>пиразины, фураны, альдегиды, эфиры, теобромин</x:v>
      </x:c>
      <x:c r="M632" s="28" t="str">
        <x:v>характерный профиль зависит от конкретного продукта</x:v>
      </x:c>
      <x:c r="N632" s="28" t="str">
        <x:v>прямое пересечение семейств не является единственным объяснением</x:v>
      </x:c>
      <x:c r="O632" s="28" t="str">
        <x:v>надежная общая ключевая молекула не подтверждена</x:v>
      </x:c>
      <x:c r="P632" s="28" t="str">
        <x:v>сенсорная комплементарность</x:v>
      </x:c>
      <x:c r="Q632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32" s="28" t="str">
        <x:v>мягкая терпкость; теобромин и кофеин усиливают горькое послевкусие</x:v>
      </x:c>
      <x:c r="S632" s="28" t="str">
        <x:v>какао-масло с частицами какао и сахаром; плавление во рту медленно высвобождает гидрофобные ароматы</x:v>
      </x:c>
      <x:c r="T63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3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«грана падано»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32" s="28" t="str">
        <x:v>горечь и терпкость способны подавлять нежные продукты; содержит стимуляторы; аллергенные добавки возможны</x:v>
      </x:c>
      <x:c r="W632" s="28" t="str">
        <x:v>соль, ваниль или карамель</x:v>
      </x:c>
      <x:c r="X632" s="28" t="str">
        <x:v>ганаш, плитка, крем, мусс, напиток, глазурь или соус с грана падано</x:v>
      </x:c>
      <x:c r="Y632" s="28" t="str">
        <x:v>десерты</x:v>
      </x:c>
      <x:c r="Z632" s="28" t="str">
        <x:v>Средняя</x:v>
      </x:c>
      <x:c r="AA632" s="28" t="str">
        <x:v>The Art &amp; Science of Foodpairing.pdf</x:v>
      </x:c>
      <x:c r="AB632" s="28" t="str">
        <x:v>The Art &amp; Science of Foodpairing.pdf: 62</x:v>
      </x:c>
      <x:c r="AC632" s="28" t="str">
        <x:v>Пара встречается как grid; научное объяснение сформировано по ароматическому профилю и пищевой матрице.</x:v>
      </x:c>
      <x:c r="AD632" s="28" t="n">
        <x:v>1</x:v>
      </x:c>
      <x:c r="AE632" s="28" t="n">
        <x:v>1</x:v>
      </x:c>
      <x:c r="AF632" s="28" t="n">
        <x:f>IF(Z632="Высокая",3,IF(Z632="Средняя",2,1))+AD632*2+MIN(AE632,3)</x:f>
        <x:v>5</x:v>
      </x:c>
    </x:row>
    <x:row r="633" ht="62" customHeight="1">
      <x:c r="A633" s="28" t="str">
        <x:v>NCT-0632</x:v>
      </x:c>
      <x:c r="B633" s="28" t="str">
        <x:v>шоколад</x:v>
      </x:c>
      <x:c r="C633" s="28" t="str">
        <x:v>Универсальные</x:v>
      </x:c>
      <x:c r="D633" s="28" t="str">
        <x:v>шоколад</x:v>
      </x:c>
      <x:c r="E633" s="28" t="str">
        <x:v>шоколад</x:v>
      </x:c>
      <x:c r="F633" s="28" t="str">
        <x:v>Какао и шоколад</x:v>
      </x:c>
      <x:c r="G633" s="28" t="str">
        <x:v>гранат</x:v>
      </x:c>
      <x:c r="H633" s="28" t="str">
        <x:v>Гранат</x:v>
      </x:c>
      <x:c r="I633" s="28" t="str">
        <x:v>Прочее</x:v>
      </x:c>
      <x:c r="J633" s="28" t="str">
        <x:v>жареный, какаовый, фруктовый, цветочный, древесный и пряный; профиль зависит от происхождения и обжарки</x:v>
      </x:c>
      <x:c r="K633" s="28" t="str">
        <x:v>профиль зависит от конкретного продукта</x:v>
      </x:c>
      <x:c r="L633" s="28" t="str">
        <x:v>пиразины, фураны, альдегиды, эфиры, теобромин</x:v>
      </x:c>
      <x:c r="M633" s="28" t="str">
        <x:v>характерный профиль зависит от конкретного продукта</x:v>
      </x:c>
      <x:c r="N633" s="28" t="str">
        <x:v>прямое пересечение семейств не является единственным объяснением</x:v>
      </x:c>
      <x:c r="O633" s="28" t="str">
        <x:v>надежная общая ключевая молекула не подтверждена</x:v>
      </x:c>
      <x:c r="P633" s="28" t="str">
        <x:v>сенсорная комплементарность</x:v>
      </x:c>
      <x:c r="Q633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33" s="28" t="str">
        <x:v>мягкая терпкость; теобромин и кофеин усиливают горькое послевкусие</x:v>
      </x:c>
      <x:c r="S633" s="28" t="str">
        <x:v>какао-масло с частицами какао и сахаром; плавление во рту медленно высвобождает гидрофобные ароматы</x:v>
      </x:c>
      <x:c r="T63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3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«гранат»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33" s="28" t="str">
        <x:v>горечь и терпкость способны подавлять нежные продукты; содержит стимуляторы; аллергенные добавки возможны</x:v>
      </x:c>
      <x:c r="W633" s="28" t="str">
        <x:v>соль, ваниль или карамель</x:v>
      </x:c>
      <x:c r="X633" s="28" t="str">
        <x:v>ганаш, плитка, крем, мусс, напиток, глазурь или соус с гранат</x:v>
      </x:c>
      <x:c r="Y633" s="28" t="str">
        <x:v>десерты</x:v>
      </x:c>
      <x:c r="Z633" s="28" t="str">
        <x:v>Гипотеза / практическая</x:v>
      </x:c>
      <x:c r="AA633" s="28" t="str">
        <x:v>Таблица сочетания(1).pdf</x:v>
      </x:c>
      <x:c r="AB633" s="28" t="str">
        <x:v>Таблица сочетания(1).pdf: 17</x:v>
      </x:c>
      <x:c r="AC633" s="28" t="str">
        <x:v>Пара встречается как table; научное объяснение сформировано по ароматическому профилю и пищевой матрице.</x:v>
      </x:c>
      <x:c r="AD633" s="28" t="n">
        <x:v>1</x:v>
      </x:c>
      <x:c r="AE633" s="28" t="n">
        <x:v>1</x:v>
      </x:c>
      <x:c r="AF633" s="28" t="n">
        <x:f>IF(Z633="Высокая",3,IF(Z633="Средняя",2,1))+AD633*2+MIN(AE633,3)</x:f>
        <x:v>4</x:v>
      </x:c>
    </x:row>
    <x:row r="634" ht="62" customHeight="1">
      <x:c r="A634" s="28" t="str">
        <x:v>NCT-0633</x:v>
      </x:c>
      <x:c r="B634" s="28" t="str">
        <x:v>шоколад</x:v>
      </x:c>
      <x:c r="C634" s="28" t="str">
        <x:v>Десерты и выпечка</x:v>
      </x:c>
      <x:c r="D634" s="28" t="str">
        <x:v>шоколад</x:v>
      </x:c>
      <x:c r="E634" s="28" t="str">
        <x:v>Шоколад | шоколад</x:v>
      </x:c>
      <x:c r="F634" s="28" t="str">
        <x:v>Какао и шоколад</x:v>
      </x:c>
      <x:c r="G634" s="28" t="str">
        <x:v>груша</x:v>
      </x:c>
      <x:c r="H634" s="28" t="str">
        <x:v>Груша | груша</x:v>
      </x:c>
      <x:c r="I634" s="28" t="str">
        <x:v>Фрукты и ягоды</x:v>
      </x:c>
      <x:c r="J634" s="28" t="str">
        <x:v>жареный, какаовый, фруктовый, цветочный, древесный и пряный; профиль зависит от происхождения и обжарки</x:v>
      </x:c>
      <x:c r="K634" s="28" t="str">
        <x:v>фруктовый, цветочный и свежий</x:v>
      </x:c>
      <x:c r="L634" s="28" t="str">
        <x:v>пиразины, фураны, альдегиды, эфиры, теобромин</x:v>
      </x:c>
      <x:c r="M634" s="28" t="str">
        <x:v>альдегиды, эфиры</x:v>
      </x:c>
      <x:c r="N634" s="28" t="str">
        <x:v>фруктовый</x:v>
      </x:c>
      <x:c r="O634" s="28" t="str">
        <x:v>альдегиды, эфиры</x:v>
      </x:c>
      <x:c r="P634" s="28" t="str">
        <x:v>общие ароматические соединения, пересечение ароматических семейств, контраст кислоты и жирной/горькой матрицы</x:v>
      </x:c>
      <x:c r="Q634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34" s="28" t="str">
        <x:v>мягкая терпкость; теобромин и кофеин усиливают горькое послевкусие</x:v>
      </x:c>
      <x:c r="S634" s="28" t="str">
        <x:v>какао-масло с частицами какао и сахаром; плавление во рту медленно высвобождает гидрофобные ароматы Водная фруктовая фаза требует эмульсии или мелкого измельчения, если орех или шоколад вводится как паста.</x:v>
      </x:c>
      <x:c r="T63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3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«груша»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V634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W634" s="28" t="str">
        <x:v>ваниль, цитрус или молочный жир</x:v>
      </x:c>
      <x:c r="X634" s="28" t="str">
        <x:v>ганаш, плитка, крем, мусс, напиток, глазурь или соус с груша</x:v>
      </x:c>
      <x:c r="Y634" s="28" t="str">
        <x:v>десерты</x:v>
      </x:c>
      <x:c r="Z634" s="28" t="str">
        <x:v>Высокая</x:v>
      </x:c>
      <x:c r="AA634" s="28" t="str">
        <x:v>Таблица сочетания(1).pdf | Тезариус вкусов (Ники Сегнит)(1).pdf</x:v>
      </x:c>
      <x:c r="AB634" s="28" t="str">
        <x:v>Таблица сочетания(1).pdf: 16; Тезариус вкусов (Ники Сегнит)(1).pdf: 28, 727</x:v>
      </x:c>
      <x:c r="AC634" s="28" t="str">
        <x:v>Пара встречается как table, thesaurus; научное объяснение сформировано по ароматическому профилю и пищевой матрице.</x:v>
      </x:c>
      <x:c r="AD634" s="28" t="n">
        <x:v>2</x:v>
      </x:c>
      <x:c r="AE634" s="28" t="n">
        <x:v>3</x:v>
      </x:c>
      <x:c r="AF634" s="28" t="n">
        <x:f>IF(Z634="Высокая",3,IF(Z634="Средняя",2,1))+AD634*2+MIN(AE634,3)</x:f>
        <x:v>10</x:v>
      </x:c>
    </x:row>
    <x:row r="635" ht="62" customHeight="1">
      <x:c r="A635" s="28" t="str">
        <x:v>NCT-0634</x:v>
      </x:c>
      <x:c r="B635" s="28" t="str">
        <x:v>шоколад</x:v>
      </x:c>
      <x:c r="C635" s="28" t="str">
        <x:v>Универсальные</x:v>
      </x:c>
      <x:c r="D635" s="28" t="str">
        <x:v>шоколад</x:v>
      </x:c>
      <x:c r="E635" s="28" t="str">
        <x:v>chocolate</x:v>
      </x:c>
      <x:c r="F635" s="28" t="str">
        <x:v>Какао и шоколад</x:v>
      </x:c>
      <x:c r="G635" s="28" t="str">
        <x:v>дорадо</x:v>
      </x:c>
      <x:c r="H635" s="28" t="str">
        <x:v>seabream</x:v>
      </x:c>
      <x:c r="I635" s="28" t="str">
        <x:v>Прочее</x:v>
      </x:c>
      <x:c r="J635" s="28" t="str">
        <x:v>жареный, какаовый, фруктовый, цветочный, древесный и пряный; профиль зависит от происхождения и обжарки</x:v>
      </x:c>
      <x:c r="K635" s="28" t="str">
        <x:v>профиль зависит от конкретного продукта</x:v>
      </x:c>
      <x:c r="L635" s="28" t="str">
        <x:v>пиразины, фураны, альдегиды, эфиры, теобромин</x:v>
      </x:c>
      <x:c r="M635" s="28" t="str">
        <x:v>характерный профиль зависит от конкретного продукта</x:v>
      </x:c>
      <x:c r="N635" s="28" t="str">
        <x:v>прямое пересечение семейств не является единственным объяснением</x:v>
      </x:c>
      <x:c r="O635" s="28" t="str">
        <x:v>надежная общая ключевая молекула не подтверждена</x:v>
      </x:c>
      <x:c r="P635" s="28" t="str">
        <x:v>сенсорная комплементарность</x:v>
      </x:c>
      <x:c r="Q635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35" s="28" t="str">
        <x:v>мягкая терпкость; теобромин и кофеин усиливают горькое послевкусие</x:v>
      </x:c>
      <x:c r="S635" s="28" t="str">
        <x:v>какао-масло с частицами какао и сахаром; плавление во рту медленно высвобождает гидрофобные ароматы</x:v>
      </x:c>
      <x:c r="T63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3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«дорадо»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35" s="28" t="str">
        <x:v>горечь и терпкость способны подавлять нежные продукты; содержит стимуляторы; аллергенные добавки возможны</x:v>
      </x:c>
      <x:c r="W635" s="28" t="str">
        <x:v>соль, ваниль или карамель</x:v>
      </x:c>
      <x:c r="X635" s="28" t="str">
        <x:v>ганаш, плитка, крем, мусс, напиток, глазурь или соус с дорадо</x:v>
      </x:c>
      <x:c r="Y635" s="28" t="str">
        <x:v>десерты</x:v>
      </x:c>
      <x:c r="Z635" s="28" t="str">
        <x:v>Средняя</x:v>
      </x:c>
      <x:c r="AA635" s="28" t="str">
        <x:v>The Art &amp; Science of Foodpairing.pdf</x:v>
      </x:c>
      <x:c r="AB635" s="28" t="str">
        <x:v>The Art &amp; Science of Foodpairing.pdf: 62</x:v>
      </x:c>
      <x:c r="AC635" s="28" t="str">
        <x:v>Пара встречается как grid; научное объяснение сформировано по ароматическому профилю и пищевой матрице.</x:v>
      </x:c>
      <x:c r="AD635" s="28" t="n">
        <x:v>1</x:v>
      </x:c>
      <x:c r="AE635" s="28" t="n">
        <x:v>1</x:v>
      </x:c>
      <x:c r="AF635" s="28" t="n">
        <x:f>IF(Z635="Высокая",3,IF(Z635="Средняя",2,1))+AD635*2+MIN(AE635,3)</x:f>
        <x:v>5</x:v>
      </x:c>
    </x:row>
    <x:row r="636" ht="62" customHeight="1">
      <x:c r="A636" s="28" t="str">
        <x:v>NCT-0635</x:v>
      </x:c>
      <x:c r="B636" s="28" t="str">
        <x:v>шоколад</x:v>
      </x:c>
      <x:c r="C636" s="28" t="str">
        <x:v>Универсальные</x:v>
      </x:c>
      <x:c r="D636" s="28" t="str">
        <x:v>шоколад</x:v>
      </x:c>
      <x:c r="E636" s="28" t="str">
        <x:v>шоколад</x:v>
      </x:c>
      <x:c r="F636" s="28" t="str">
        <x:v>Какао и шоколад</x:v>
      </x:c>
      <x:c r="G636" s="28" t="str">
        <x:v>ежевика</x:v>
      </x:c>
      <x:c r="H636" s="28" t="str">
        <x:v>Ежевика</x:v>
      </x:c>
      <x:c r="I636" s="28" t="str">
        <x:v>Прочее</x:v>
      </x:c>
      <x:c r="J636" s="28" t="str">
        <x:v>жареный, какаовый, фруктовый, цветочный, древесный и пряный; профиль зависит от происхождения и обжарки</x:v>
      </x:c>
      <x:c r="K636" s="28" t="str">
        <x:v>профиль зависит от конкретного продукта</x:v>
      </x:c>
      <x:c r="L636" s="28" t="str">
        <x:v>пиразины, фураны, альдегиды, эфиры, теобромин</x:v>
      </x:c>
      <x:c r="M636" s="28" t="str">
        <x:v>характерный профиль зависит от конкретного продукта</x:v>
      </x:c>
      <x:c r="N636" s="28" t="str">
        <x:v>прямое пересечение семейств не является единственным объяснением</x:v>
      </x:c>
      <x:c r="O636" s="28" t="str">
        <x:v>надежная общая ключевая молекула не подтверждена</x:v>
      </x:c>
      <x:c r="P636" s="28" t="str">
        <x:v>сенсорная комплементарность</x:v>
      </x:c>
      <x:c r="Q636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36" s="28" t="str">
        <x:v>мягкая терпкость; теобромин и кофеин усиливают горькое послевкусие</x:v>
      </x:c>
      <x:c r="S636" s="28" t="str">
        <x:v>какао-масло с частицами какао и сахаром; плавление во рту медленно высвобождает гидрофобные ароматы</x:v>
      </x:c>
      <x:c r="T63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3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«ежевика»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36" s="28" t="str">
        <x:v>горечь и терпкость способны подавлять нежные продукты; содержит стимуляторы; аллергенные добавки возможны</x:v>
      </x:c>
      <x:c r="W636" s="28" t="str">
        <x:v>соль, ваниль или карамель</x:v>
      </x:c>
      <x:c r="X636" s="28" t="str">
        <x:v>ганаш, плитка, крем, мусс, напиток, глазурь или соус с ежевика</x:v>
      </x:c>
      <x:c r="Y636" s="28" t="str">
        <x:v>десерты</x:v>
      </x:c>
      <x:c r="Z636" s="28" t="str">
        <x:v>Гипотеза / практическая</x:v>
      </x:c>
      <x:c r="AA636" s="28" t="str">
        <x:v>Таблица сочетания(1).pdf</x:v>
      </x:c>
      <x:c r="AB636" s="28" t="str">
        <x:v>Таблица сочетания(1).pdf: 2</x:v>
      </x:c>
      <x:c r="AC636" s="28" t="str">
        <x:v>Пара встречается как table; научное объяснение сформировано по ароматическому профилю и пищевой матрице.</x:v>
      </x:c>
      <x:c r="AD636" s="28" t="n">
        <x:v>1</x:v>
      </x:c>
      <x:c r="AE636" s="28" t="n">
        <x:v>1</x:v>
      </x:c>
      <x:c r="AF636" s="28" t="n">
        <x:f>IF(Z636="Высокая",3,IF(Z636="Средняя",2,1))+AD636*2+MIN(AE636,3)</x:f>
        <x:v>4</x:v>
      </x:c>
    </x:row>
    <x:row r="637" ht="62" customHeight="1">
      <x:c r="A637" s="28" t="str">
        <x:v>NCT-0636</x:v>
      </x:c>
      <x:c r="B637" s="28" t="str">
        <x:v>шоколад</x:v>
      </x:c>
      <x:c r="C637" s="28" t="str">
        <x:v>Еда и соусы</x:v>
      </x:c>
      <x:c r="D637" s="28" t="str">
        <x:v>шоколад</x:v>
      </x:c>
      <x:c r="E637" s="28" t="str">
        <x:v>chocolate</x:v>
      </x:c>
      <x:c r="F637" s="28" t="str">
        <x:v>Какао и шоколад</x:v>
      </x:c>
      <x:c r="G637" s="28" t="str">
        <x:v>запечённая свёкла</x:v>
      </x:c>
      <x:c r="H637" s="28" t="str">
        <x:v>roasted beetroot</x:v>
      </x:c>
      <x:c r="I637" s="28" t="str">
        <x:v>Овощи, бобовые и грибы</x:v>
      </x:c>
      <x:c r="J637" s="28" t="str">
        <x:v>жареный, какаовый, фруктовый, цветочный, древесный и пряный; профиль зависит от происхождения и обжарки</x:v>
      </x:c>
      <x:c r="K637" s="28" t="str">
        <x:v>землистый, сладкий</x:v>
      </x:c>
      <x:c r="L637" s="28" t="str">
        <x:v>пиразины, фураны, альдегиды, эфиры, теобромин</x:v>
      </x:c>
      <x:c r="M637" s="28" t="str">
        <x:v>геосмин</x:v>
      </x:c>
      <x:c r="N637" s="28" t="str">
        <x:v>прямое пересечение семейств не является единственным объяснением</x:v>
      </x:c>
      <x:c r="O637" s="28" t="str">
        <x:v>надежная общая ключевая молекула не подтверждена</x:v>
      </x:c>
      <x:c r="P637" s="28" t="str">
        <x:v>сенсорная комплементарность</x:v>
      </x:c>
      <x:c r="Q637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37" s="28" t="str">
        <x:v>мягкая терпкость; теобромин и кофеин усиливают горькое послевкусие</x:v>
      </x:c>
      <x:c r="S637" s="28" t="str">
        <x:v>какао-масло с частицами какао и сахаром; плавление во рту медленно высвобождает гидрофобные ароматы</x:v>
      </x:c>
      <x:c r="T63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3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«запечённая свёкла» относится к группе «Овощи, бобовые и грибы» и даёт землистый, сладкий.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37" s="28" t="str">
        <x:v>горечь и терпкость способны подавлять нежные продукты; содержит стимуляторы; аллергенные добавки возможны</x:v>
      </x:c>
      <x:c r="W637" s="28" t="str">
        <x:v>соль, ваниль или карамель</x:v>
      </x:c>
      <x:c r="X637" s="28" t="str">
        <x:v>ганаш, плитка, крем, мусс, напиток, глазурь или соус с запечённая свёкла</x:v>
      </x:c>
      <x:c r="Y637" s="28" t="str">
        <x:v>еда, десерты, соусы/маринады</x:v>
      </x:c>
      <x:c r="Z637" s="28" t="str">
        <x:v>Средняя</x:v>
      </x:c>
      <x:c r="AA637" s="28" t="str">
        <x:v>The Art &amp; Science of Foodpairing.pdf</x:v>
      </x:c>
      <x:c r="AB637" s="28" t="str">
        <x:v>The Art &amp; Science of Foodpairing.pdf: 62</x:v>
      </x:c>
      <x:c r="AC637" s="28" t="str">
        <x:v>Пара встречается как grid; научное объяснение сформировано по ароматическому профилю и пищевой матрице.</x:v>
      </x:c>
      <x:c r="AD637" s="28" t="n">
        <x:v>1</x:v>
      </x:c>
      <x:c r="AE637" s="28" t="n">
        <x:v>1</x:v>
      </x:c>
      <x:c r="AF637" s="28" t="n">
        <x:f>IF(Z637="Высокая",3,IF(Z637="Средняя",2,1))+AD637*2+MIN(AE637,3)</x:f>
        <x:v>5</x:v>
      </x:c>
    </x:row>
    <x:row r="638" ht="62" customHeight="1">
      <x:c r="A638" s="28" t="str">
        <x:v>NCT-0637</x:v>
      </x:c>
      <x:c r="B638" s="28" t="str">
        <x:v>шоколад</x:v>
      </x:c>
      <x:c r="C638" s="28" t="str">
        <x:v>Напитки</x:v>
      </x:c>
      <x:c r="D638" s="28" t="str">
        <x:v>шоколад</x:v>
      </x:c>
      <x:c r="E638" s="28" t="str">
        <x:v>chocolate</x:v>
      </x:c>
      <x:c r="F638" s="28" t="str">
        <x:v>Какао и шоколад</x:v>
      </x:c>
      <x:c r="G638" s="28" t="str">
        <x:v>зелёный чай</x:v>
      </x:c>
      <x:c r="H638" s="28" t="str">
        <x:v>matcha</x:v>
      </x:c>
      <x:c r="I638" s="28" t="str">
        <x:v>Чай</x:v>
      </x:c>
      <x:c r="J638" s="28" t="str">
        <x:v>жареный, какаовый, фруктовый, цветочный, древесный и пряный; профиль зависит от происхождения и обжарки</x:v>
      </x:c>
      <x:c r="K638" s="28" t="str">
        <x:v>зелёный, морской, травянистый, цветочный и слегка жареный; у матча — умами</x:v>
      </x:c>
      <x:c r="L638" s="28" t="str">
        <x:v>пиразины, фураны, альдегиды, эфиры, теобромин</x:v>
      </x:c>
      <x:c r="M638" s="28" t="str">
        <x:v>гексаналь, индол, катехины, линалоол, цис-3-гексенол</x:v>
      </x:c>
      <x:c r="N638" s="28" t="str">
        <x:v>прямое пересечение семейств не является единственным объяснением</x:v>
      </x:c>
      <x:c r="O638" s="28" t="str">
        <x:v>надежная общая ключевая молекула не подтверждена</x:v>
      </x:c>
      <x:c r="P638" s="28" t="str">
        <x:v>сенсорная комплементарность</x:v>
      </x:c>
      <x:c r="Q638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38" s="28" t="str">
        <x:v>мягкая терпкость; теобромин и кофеин усиливают горькое послевкусие</x:v>
      </x:c>
      <x:c r="S638" s="28" t="str">
        <x:v>какао-масло с частицами какао и сахаром; плавление во рту медленно высвобождает гидрофобные ароматы Вода извлекает танины быстрее, чем гидрофобные ореховые и какаовые молекулы, поэтому полезна жировая или спиртовая мостовая фаза.</x:v>
      </x:c>
      <x:c r="T63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3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«зелёный чай» относится к группе «Чай» и даёт зелёный, морской, травянистый, цветочный и слегка жареный; у матча — умами.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38" s="28" t="str">
        <x:v>горечь и терпкость способны подавлять нежные продукты; содержит стимуляторы; аллергенные добавки возможны</x:v>
      </x:c>
      <x:c r="W638" s="28" t="str">
        <x:v>соль, ваниль или карамель</x:v>
      </x:c>
      <x:c r="X638" s="28" t="str">
        <x:v>ганаш, плитка, крем, мусс, напиток, глазурь или соус с зелёный чай</x:v>
      </x:c>
      <x:c r="Y638" s="28" t="str">
        <x:v>напитки, десерты</x:v>
      </x:c>
      <x:c r="Z638" s="28" t="str">
        <x:v>Средняя</x:v>
      </x:c>
      <x:c r="AA638" s="28" t="str">
        <x:v>The Art &amp; Science of Foodpairing.pdf</x:v>
      </x:c>
      <x:c r="AB638" s="28" t="str">
        <x:v>The Art &amp; Science of Foodpairing.pdf: 62</x:v>
      </x:c>
      <x:c r="AC638" s="28" t="str">
        <x:v>Пара встречается как grid; научное объяснение сформировано по ароматическому профилю и пищевой матрице.</x:v>
      </x:c>
      <x:c r="AD638" s="28" t="n">
        <x:v>1</x:v>
      </x:c>
      <x:c r="AE638" s="28" t="n">
        <x:v>1</x:v>
      </x:c>
      <x:c r="AF638" s="28" t="n">
        <x:f>IF(Z638="Высокая",3,IF(Z638="Средняя",2,1))+AD638*2+MIN(AE638,3)</x:f>
        <x:v>5</x:v>
      </x:c>
    </x:row>
    <x:row r="639" ht="62" customHeight="1">
      <x:c r="A639" s="28" t="str">
        <x:v>NCT-0638</x:v>
      </x:c>
      <x:c r="B639" s="28" t="str">
        <x:v>шоколад</x:v>
      </x:c>
      <x:c r="C639" s="28" t="str">
        <x:v>Универсальные</x:v>
      </x:c>
      <x:c r="D639" s="28" t="str">
        <x:v>шоколад</x:v>
      </x:c>
      <x:c r="E639" s="28" t="str">
        <x:v>Шоколад | шоколад</x:v>
      </x:c>
      <x:c r="F639" s="28" t="str">
        <x:v>Какао и шоколад</x:v>
      </x:c>
      <x:c r="G639" s="28" t="str">
        <x:v>имбирь</x:v>
      </x:c>
      <x:c r="H639" s="28" t="str">
        <x:v>Имбирь | имбирь</x:v>
      </x:c>
      <x:c r="I639" s="28" t="str">
        <x:v>Специи</x:v>
      </x:c>
      <x:c r="J639" s="28" t="str">
        <x:v>жареный, какаовый, фруктовый, цветочный, древесный и пряный; профиль зависит от происхождения и обжарки</x:v>
      </x:c>
      <x:c r="K639" s="28" t="str">
        <x:v>пряный, тёплый, цитрусовый</x:v>
      </x:c>
      <x:c r="L639" s="28" t="str">
        <x:v>пиразины, фураны, альдегиды, эфиры, теобромин</x:v>
      </x:c>
      <x:c r="M639" s="28" t="str">
        <x:v>гингеролы, цитраль</x:v>
      </x:c>
      <x:c r="N639" s="28" t="str">
        <x:v>прямое пересечение семейств не является единственным объяснением</x:v>
      </x:c>
      <x:c r="O639" s="28" t="str">
        <x:v>надежная общая ключевая молекула не подтверждена</x:v>
      </x:c>
      <x:c r="P639" s="28" t="str">
        <x:v>сенсорная комплементарность</x:v>
      </x:c>
      <x:c r="Q639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39" s="28" t="str">
        <x:v>мягкая терпкость; теобромин и кофеин усиливают горькое послевкусие; у острого партнёра тройничный эффект может доминировать</x:v>
      </x:c>
      <x:c r="S639" s="28" t="str">
        <x:v>какао-масло с частицами какао и сахаром; плавление во рту медленно высвобождает гидрофобные ароматы</x:v>
      </x:c>
      <x:c r="T63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3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«имбирь» относится к группе «Специи» и даёт пряный, тёплый, цитрусовый.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39" s="28" t="str">
        <x:v>горечь и терпкость способны подавлять нежные продукты; содержит стимуляторы; аллергенные добавки возможны</x:v>
      </x:c>
      <x:c r="W639" s="28" t="str">
        <x:v>ваниль, апельсин или мёд</x:v>
      </x:c>
      <x:c r="X639" s="28" t="str">
        <x:v>ганаш, плитка, крем, мусс, напиток, глазурь или соус с имбирь</x:v>
      </x:c>
      <x:c r="Y639" s="28" t="str">
        <x:v>десерты</x:v>
      </x:c>
      <x:c r="Z639" s="28" t="str">
        <x:v>Средняя</x:v>
      </x:c>
      <x:c r="AA639" s="28" t="str">
        <x:v>Тезариус вкусов (Ники Сегнит)(1).pdf</x:v>
      </x:c>
      <x:c r="AB639" s="28" t="str">
        <x:v>Тезариус вкусов (Ники Сегнит)(1).pdf: 29, 822</x:v>
      </x:c>
      <x:c r="AC639" s="28" t="str">
        <x:v>Пара встречается как thesaurus; научное объяснение сформировано по ароматическому профилю и пищевой матрице.</x:v>
      </x:c>
      <x:c r="AD639" s="28" t="n">
        <x:v>1</x:v>
      </x:c>
      <x:c r="AE639" s="28" t="n">
        <x:v>2</x:v>
      </x:c>
      <x:c r="AF639" s="28" t="n">
        <x:f>IF(Z639="Высокая",3,IF(Z639="Средняя",2,1))+AD639*2+MIN(AE639,3)</x:f>
        <x:v>6</x:v>
      </x:c>
    </x:row>
    <x:row r="640" ht="62" customHeight="1">
      <x:c r="A640" s="28" t="str">
        <x:v>NCT-0639</x:v>
      </x:c>
      <x:c r="B640" s="28" t="str">
        <x:v>шоколад</x:v>
      </x:c>
      <x:c r="C640" s="28" t="str">
        <x:v>Десерты и выпечка</x:v>
      </x:c>
      <x:c r="D640" s="28" t="str">
        <x:v>шоколад</x:v>
      </x:c>
      <x:c r="E640" s="28" t="str">
        <x:v>Шоколад | шоколад</x:v>
      </x:c>
      <x:c r="F640" s="28" t="str">
        <x:v>Какао и шоколад</x:v>
      </x:c>
      <x:c r="G640" s="28" t="str">
        <x:v>инжир</x:v>
      </x:c>
      <x:c r="H640" s="28" t="str">
        <x:v>Инжир | инжир</x:v>
      </x:c>
      <x:c r="I640" s="28" t="str">
        <x:v>Фрукты и ягоды</x:v>
      </x:c>
      <x:c r="J640" s="28" t="str">
        <x:v>жареный, какаовый, фруктовый, цветочный, древесный и пряный; профиль зависит от происхождения и обжарки</x:v>
      </x:c>
      <x:c r="K640" s="28" t="str">
        <x:v>фруктовый, цветочный и свежий</x:v>
      </x:c>
      <x:c r="L640" s="28" t="str">
        <x:v>пиразины, фураны, альдегиды, эфиры, теобромин</x:v>
      </x:c>
      <x:c r="M640" s="28" t="str">
        <x:v>альдегиды, эфиры</x:v>
      </x:c>
      <x:c r="N640" s="28" t="str">
        <x:v>фруктовый</x:v>
      </x:c>
      <x:c r="O640" s="28" t="str">
        <x:v>альдегиды, эфиры</x:v>
      </x:c>
      <x:c r="P640" s="28" t="str">
        <x:v>общие ароматические соединения, пересечение ароматических семейств, контраст кислоты и жирной/горькой матрицы</x:v>
      </x:c>
      <x:c r="Q640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40" s="28" t="str">
        <x:v>мягкая терпкость; теобромин и кофеин усиливают горькое послевкусие</x:v>
      </x:c>
      <x:c r="S640" s="28" t="str">
        <x:v>какао-масло с частицами какао и сахаром; плавление во рту медленно высвобождает гидрофобные ароматы Водная фруктовая фаза требует эмульсии или мелкого измельчения, если орех или шоколад вводится как паста.</x:v>
      </x:c>
      <x:c r="T64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4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«инжир»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V640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W640" s="28" t="str">
        <x:v>ваниль, цитрус или молочный жир</x:v>
      </x:c>
      <x:c r="X640" s="28" t="str">
        <x:v>ганаш, плитка, крем, мусс, напиток, глазурь или соус с инжир</x:v>
      </x:c>
      <x:c r="Y640" s="28" t="str">
        <x:v>десерты</x:v>
      </x:c>
      <x:c r="Z640" s="28" t="str">
        <x:v>Средняя</x:v>
      </x:c>
      <x:c r="AA640" s="28" t="str">
        <x:v>Тезариус вкусов (Ники Сегнит)(1).pdf</x:v>
      </x:c>
      <x:c r="AB640" s="28" t="str">
        <x:v>Тезариус вкусов (Ники Сегнит)(1).pdf: 29, 896</x:v>
      </x:c>
      <x:c r="AC640" s="28" t="str">
        <x:v>Пара встречается как thesaurus; научное объяснение сформировано по ароматическому профилю и пищевой матрице.</x:v>
      </x:c>
      <x:c r="AD640" s="28" t="n">
        <x:v>1</x:v>
      </x:c>
      <x:c r="AE640" s="28" t="n">
        <x:v>2</x:v>
      </x:c>
      <x:c r="AF640" s="28" t="n">
        <x:f>IF(Z640="Высокая",3,IF(Z640="Средняя",2,1))+AD640*2+MIN(AE640,3)</x:f>
        <x:v>6</x:v>
      </x:c>
    </x:row>
    <x:row r="641" ht="62" customHeight="1">
      <x:c r="A641" s="28" t="str">
        <x:v>NCT-0640</x:v>
      </x:c>
      <x:c r="B641" s="28" t="str">
        <x:v>шоколад</x:v>
      </x:c>
      <x:c r="C641" s="28" t="str">
        <x:v>Еда и соусы</x:v>
      </x:c>
      <x:c r="D641" s="28" t="str">
        <x:v>шоколад</x:v>
      </x:c>
      <x:c r="E641" s="28" t="str">
        <x:v>chocolate</x:v>
      </x:c>
      <x:c r="F641" s="28" t="str">
        <x:v>Какао и шоколад</x:v>
      </x:c>
      <x:c r="G641" s="28" t="str">
        <x:v>кабачок</x:v>
      </x:c>
      <x:c r="H641" s="28" t="str">
        <x:v>courgette</x:v>
      </x:c>
      <x:c r="I641" s="28" t="str">
        <x:v>Овощи, бобовые и грибы</x:v>
      </x:c>
      <x:c r="J641" s="28" t="str">
        <x:v>жареный, какаовый, фруктовый, цветочный, древесный и пряный; профиль зависит от происхождения и обжарки</x:v>
      </x:c>
      <x:c r="K641" s="28" t="str">
        <x:v>зелёный, землистый или умами</x:v>
      </x:c>
      <x:c r="L641" s="28" t="str">
        <x:v>пиразины, фураны, альдегиды, эфиры, теобромин</x:v>
      </x:c>
      <x:c r="M641" s="28" t="str">
        <x:v>альдегиды, сернистые соединения</x:v>
      </x:c>
      <x:c r="N641" s="28" t="str">
        <x:v>прямое пересечение семейств не является единственным объяснением</x:v>
      </x:c>
      <x:c r="O641" s="28" t="str">
        <x:v>альдегиды</x:v>
      </x:c>
      <x:c r="P641" s="28" t="str">
        <x:v>общие ароматические соединения</x:v>
      </x:c>
      <x:c r="Q641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41" s="28" t="str">
        <x:v>мягкая терпкость; теобромин и кофеин усиливают горькое послевкусие</x:v>
      </x:c>
      <x:c r="S641" s="28" t="str">
        <x:v>какао-масло с частицами какао и сахаром; плавление во рту медленно высвобождает гидрофобные ароматы</x:v>
      </x:c>
      <x:c r="T64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4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«кабачок»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V641" s="28" t="str">
        <x:v>горечь и терпкость способны подавлять нежные продукты; содержит стимуляторы; аллергенные добавки возможны</x:v>
      </x:c>
      <x:c r="W641" s="28" t="str">
        <x:v>соль, ваниль или карамель</x:v>
      </x:c>
      <x:c r="X641" s="28" t="str">
        <x:v>ганаш, плитка, крем, мусс, напиток, глазурь или соус с кабачок</x:v>
      </x:c>
      <x:c r="Y641" s="28" t="str">
        <x:v>еда, десерты, соусы/маринады</x:v>
      </x:c>
      <x:c r="Z641" s="28" t="str">
        <x:v>Средняя</x:v>
      </x:c>
      <x:c r="AA641" s="28" t="str">
        <x:v>The Art &amp; Science of Foodpairing.pdf</x:v>
      </x:c>
      <x:c r="AB641" s="28" t="str">
        <x:v>The Art &amp; Science of Foodpairing.pdf: 62</x:v>
      </x:c>
      <x:c r="AC641" s="28" t="str">
        <x:v>Пара встречается как grid; научное объяснение сформировано по ароматическому профилю и пищевой матрице.</x:v>
      </x:c>
      <x:c r="AD641" s="28" t="n">
        <x:v>1</x:v>
      </x:c>
      <x:c r="AE641" s="28" t="n">
        <x:v>1</x:v>
      </x:c>
      <x:c r="AF641" s="28" t="n">
        <x:f>IF(Z641="Высокая",3,IF(Z641="Средняя",2,1))+AD641*2+MIN(AE641,3)</x:f>
        <x:v>5</x:v>
      </x:c>
    </x:row>
    <x:row r="642" ht="62" customHeight="1">
      <x:c r="A642" s="28" t="str">
        <x:v>NCT-0641</x:v>
      </x:c>
      <x:c r="B642" s="28" t="str">
        <x:v>шоколад</x:v>
      </x:c>
      <x:c r="C642" s="28" t="str">
        <x:v>Десерты и выпечка</x:v>
      </x:c>
      <x:c r="D642" s="28" t="str">
        <x:v>шоколад</x:v>
      </x:c>
      <x:c r="E642" s="28" t="str">
        <x:v>Шоколад | шоколад</x:v>
      </x:c>
      <x:c r="F642" s="28" t="str">
        <x:v>Какао и шоколад</x:v>
      </x:c>
      <x:c r="G642" s="28" t="str">
        <x:v>карамель</x:v>
      </x:c>
      <x:c r="H642" s="28" t="str">
        <x:v>Карамель | карамель</x:v>
      </x:c>
      <x:c r="I642" s="28" t="str">
        <x:v>Выпечка, сахара и десерты</x:v>
      </x:c>
      <x:c r="J642" s="28" t="str">
        <x:v>жареный, какаовый, фруктовый, цветочный, древесный и пряный; профиль зависит от происхождения и обжарки</x:v>
      </x:c>
      <x:c r="K642" s="28" t="str">
        <x:v>жареный, карамельный</x:v>
      </x:c>
      <x:c r="L642" s="28" t="str">
        <x:v>пиразины, фураны, альдегиды, эфиры, теобромин</x:v>
      </x:c>
      <x:c r="M642" s="28" t="str">
        <x:v>мальтол, фураны</x:v>
      </x:c>
      <x:c r="N642" s="28" t="str">
        <x:v>жареный</x:v>
      </x:c>
      <x:c r="O642" s="28" t="str">
        <x:v>фураны</x:v>
      </x:c>
      <x:c r="P642" s="28" t="str">
        <x:v>общие ароматические соединения, пересечение ароматических семейств, жареная химия и реакции Майяра</x:v>
      </x:c>
      <x:c r="Q642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42" s="28" t="str">
        <x:v>мягкая терпкость; теобромин и кофеин усиливают горькое послевкусие</x:v>
      </x:c>
      <x:c r="S642" s="28" t="str">
        <x:v>какао-масло с частицами какао и сахаром; плавление во рту медленно высвобождает гидрофобные ароматы</x:v>
      </x:c>
      <x:c r="T64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4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«карамель» относится к группе «Выпечка, сахара и десерты» и даёт жареный, карамельный. Молекулярный мост создают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жареный; фураны.</x:v>
      </x:c>
      <x:c r="V642" s="28" t="str">
        <x:v>горечь и терпкость способны подавлять нежные продукты; содержит стимуляторы; аллергенные добавки возможны</x:v>
      </x:c>
      <x:c r="W642" s="28" t="str">
        <x:v>соль, ваниль или карамель</x:v>
      </x:c>
      <x:c r="X642" s="28" t="str">
        <x:v>ганаш, плитка, крем, мусс, напиток, глазурь или соус с карамель</x:v>
      </x:c>
      <x:c r="Y642" s="28" t="str">
        <x:v>десерты</x:v>
      </x:c>
      <x:c r="Z642" s="28" t="str">
        <x:v>Гипотеза / практическая</x:v>
      </x:c>
      <x:c r="AA642" s="28" t="str">
        <x:v>Таблица сочетания(1).pdf</x:v>
      </x:c>
      <x:c r="AB642" s="28" t="str">
        <x:v>Таблица сочетания(1).pdf: 3, 5</x:v>
      </x:c>
      <x:c r="AC642" s="28" t="str">
        <x:v>Пара встречается как table; научное объяснение сформировано по ароматическому профилю и пищевой матрице.</x:v>
      </x:c>
      <x:c r="AD642" s="28" t="n">
        <x:v>1</x:v>
      </x:c>
      <x:c r="AE642" s="28" t="n">
        <x:v>2</x:v>
      </x:c>
      <x:c r="AF642" s="28" t="n">
        <x:f>IF(Z642="Высокая",3,IF(Z642="Средняя",2,1))+AD642*2+MIN(AE642,3)</x:f>
        <x:v>5</x:v>
      </x:c>
    </x:row>
    <x:row r="643" ht="62" customHeight="1">
      <x:c r="A643" s="28" t="str">
        <x:v>NCT-0642</x:v>
      </x:c>
      <x:c r="B643" s="28" t="str">
        <x:v>шоколад</x:v>
      </x:c>
      <x:c r="C643" s="28" t="str">
        <x:v>Универсальные</x:v>
      </x:c>
      <x:c r="D643" s="28" t="str">
        <x:v>шоколад</x:v>
      </x:c>
      <x:c r="E643" s="28" t="str">
        <x:v>Шоколад | шоколад</x:v>
      </x:c>
      <x:c r="F643" s="28" t="str">
        <x:v>Какао и шоколад</x:v>
      </x:c>
      <x:c r="G643" s="28" t="str">
        <x:v>кардамон</x:v>
      </x:c>
      <x:c r="H643" s="28" t="str">
        <x:v>Кардамон | кардамон</x:v>
      </x:c>
      <x:c r="I643" s="28" t="str">
        <x:v>Специи</x:v>
      </x:c>
      <x:c r="J643" s="28" t="str">
        <x:v>жареный, какаовый, фруктовый, цветочный, древесный и пряный; профиль зависит от происхождения и обжарки</x:v>
      </x:c>
      <x:c r="K643" s="28" t="str">
        <x:v>камфорный, цветочный, цитрусовый</x:v>
      </x:c>
      <x:c r="L643" s="28" t="str">
        <x:v>пиразины, фураны, альдегиды, эфиры, теобромин</x:v>
      </x:c>
      <x:c r="M643" s="28" t="str">
        <x:v>1,8-цинеол, линалоол</x:v>
      </x:c>
      <x:c r="N643" s="28" t="str">
        <x:v>прямое пересечение семейств не является единственным объяснением</x:v>
      </x:c>
      <x:c r="O643" s="28" t="str">
        <x:v>надежная общая ключевая молекула не подтверждена</x:v>
      </x:c>
      <x:c r="P643" s="28" t="str">
        <x:v>сенсорная комплементарность</x:v>
      </x:c>
      <x:c r="Q643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43" s="28" t="str">
        <x:v>мягкая терпкость; теобромин и кофеин усиливают горькое послевкусие</x:v>
      </x:c>
      <x:c r="S643" s="28" t="str">
        <x:v>какао-масло с частицами какао и сахаром; плавление во рту медленно высвобождает гидрофобные ароматы</x:v>
      </x:c>
      <x:c r="T64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4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«кардамон» относится к группе «Специи» и даёт камфорный, цветочный, цитрусовый.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43" s="28" t="str">
        <x:v>горечь и терпкость способны подавлять нежные продукты; содержит стимуляторы; аллергенные добавки возможны</x:v>
      </x:c>
      <x:c r="W643" s="28" t="str">
        <x:v>ваниль, апельсин или мёд</x:v>
      </x:c>
      <x:c r="X643" s="28" t="str">
        <x:v>ганаш, плитка, крем, мусс, напиток, глазурь или соус с кардамон</x:v>
      </x:c>
      <x:c r="Y643" s="28" t="str">
        <x:v>десерты</x:v>
      </x:c>
      <x:c r="Z643" s="28" t="str">
        <x:v>Средняя</x:v>
      </x:c>
      <x:c r="AA643" s="28" t="str">
        <x:v>Тезариус вкусов (Ники Сегнит)(1).pdf</x:v>
      </x:c>
      <x:c r="AB643" s="28" t="str">
        <x:v>Тезариус вкусов (Ники Сегнит)(1).pdf: 29, 830</x:v>
      </x:c>
      <x:c r="AC643" s="28" t="str">
        <x:v>Пара встречается как thesaurus; научное объяснение сформировано по ароматическому профилю и пищевой матрице.</x:v>
      </x:c>
      <x:c r="AD643" s="28" t="n">
        <x:v>1</x:v>
      </x:c>
      <x:c r="AE643" s="28" t="n">
        <x:v>2</x:v>
      </x:c>
      <x:c r="AF643" s="28" t="n">
        <x:f>IF(Z643="Высокая",3,IF(Z643="Средняя",2,1))+AD643*2+MIN(AE643,3)</x:f>
        <x:v>6</x:v>
      </x:c>
    </x:row>
    <x:row r="644" ht="62" customHeight="1">
      <x:c r="A644" s="28" t="str">
        <x:v>NCT-0643</x:v>
      </x:c>
      <x:c r="B644" s="28" t="str">
        <x:v>шоколад</x:v>
      </x:c>
      <x:c r="C644" s="28" t="str">
        <x:v>Десерты и выпечка</x:v>
      </x:c>
      <x:c r="D644" s="28" t="str">
        <x:v>шоколад</x:v>
      </x:c>
      <x:c r="E644" s="28" t="str">
        <x:v>Шоколад | шоколад</x:v>
      </x:c>
      <x:c r="F644" s="28" t="str">
        <x:v>Какао и шоколад</x:v>
      </x:c>
      <x:c r="G644" s="28" t="str">
        <x:v>кленовый сироп</x:v>
      </x:c>
      <x:c r="H644" s="28" t="str">
        <x:v>Кленовый сироп | кленовый сироп</x:v>
      </x:c>
      <x:c r="I644" s="28" t="str">
        <x:v>Выпечка, сахара и десерты</x:v>
      </x:c>
      <x:c r="J644" s="28" t="str">
        <x:v>жареный, какаовый, фруктовый, цветочный, древесный и пряный; профиль зависит от происхождения и обжарки</x:v>
      </x:c>
      <x:c r="K644" s="28" t="str">
        <x:v>сладкий, карамельный и жареный</x:v>
      </x:c>
      <x:c r="L644" s="28" t="str">
        <x:v>пиразины, фураны, альдегиды, эфиры, теобромин</x:v>
      </x:c>
      <x:c r="M644" s="28" t="str">
        <x:v>мальтол, пиразины, фураны</x:v>
      </x:c>
      <x:c r="N644" s="28" t="str">
        <x:v>жареный</x:v>
      </x:c>
      <x:c r="O644" s="28" t="str">
        <x:v>пиразины, фураны</x:v>
      </x:c>
      <x:c r="P644" s="28" t="str">
        <x:v>общие ароматические соединения, пересечение ароматических семейств, жареная химия и реакции Майяра</x:v>
      </x:c>
      <x:c r="Q644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44" s="28" t="str">
        <x:v>мягкая терпкость; теобромин и кофеин усиливают горькое послевкусие</x:v>
      </x:c>
      <x:c r="S644" s="28" t="str">
        <x:v>какао-масло с частицами какао и сахаром; плавление во рту медленно высвобождает гидрофобные ароматы</x:v>
      </x:c>
      <x:c r="T64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4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жареный; пиразины, фураны.</x:v>
      </x:c>
      <x:c r="V644" s="28" t="str">
        <x:v>горечь и терпкость способны подавлять нежные продукты; содержит стимуляторы; аллергенные добавки возможны</x:v>
      </x:c>
      <x:c r="W644" s="28" t="str">
        <x:v>соль, ваниль или карамель</x:v>
      </x:c>
      <x:c r="X644" s="28" t="str">
        <x:v>ганаш, плитка, крем, мусс, напиток, глазурь или соус с кленовый сироп</x:v>
      </x:c>
      <x:c r="Y644" s="28" t="str">
        <x:v>напитки, десерты</x:v>
      </x:c>
      <x:c r="Z644" s="28" t="str">
        <x:v>Гипотеза / практическая</x:v>
      </x:c>
      <x:c r="AA644" s="28" t="str">
        <x:v>Таблица сочетания(1).pdf</x:v>
      </x:c>
      <x:c r="AB644" s="28" t="str">
        <x:v>Таблица сочетания(1).pdf: 5, 13</x:v>
      </x:c>
      <x:c r="AC644" s="28" t="str">
        <x:v>Пара встречается как table; научное объяснение сформировано по ароматическому профилю и пищевой матрице.</x:v>
      </x:c>
      <x:c r="AD644" s="28" t="n">
        <x:v>1</x:v>
      </x:c>
      <x:c r="AE644" s="28" t="n">
        <x:v>2</x:v>
      </x:c>
      <x:c r="AF644" s="28" t="n">
        <x:f>IF(Z644="Высокая",3,IF(Z644="Средняя",2,1))+AD644*2+MIN(AE644,3)</x:f>
        <x:v>5</x:v>
      </x:c>
    </x:row>
    <x:row r="645" ht="62" customHeight="1">
      <x:c r="A645" s="28" t="str">
        <x:v>NCT-0644</x:v>
      </x:c>
      <x:c r="B645" s="28" t="str">
        <x:v>шоколад</x:v>
      </x:c>
      <x:c r="C645" s="28" t="str">
        <x:v>Универсальные</x:v>
      </x:c>
      <x:c r="D645" s="28" t="str">
        <x:v>шоколад</x:v>
      </x:c>
      <x:c r="E645" s="28" t="str">
        <x:v>Шоколад | шоколад</x:v>
      </x:c>
      <x:c r="F645" s="28" t="str">
        <x:v>Какао и шоколад</x:v>
      </x:c>
      <x:c r="G645" s="28" t="str">
        <x:v>клубника</x:v>
      </x:c>
      <x:c r="H645" s="28" t="str">
        <x:v>Клубника | клубника</x:v>
      </x:c>
      <x:c r="I645" s="28" t="str">
        <x:v>Прочее</x:v>
      </x:c>
      <x:c r="J645" s="28" t="str">
        <x:v>жареный, какаовый, фруктовый, цветочный, древесный и пряный; профиль зависит от происхождения и обжарки</x:v>
      </x:c>
      <x:c r="K645" s="28" t="str">
        <x:v>зелёный, карамельный, фруктовый</x:v>
      </x:c>
      <x:c r="L645" s="28" t="str">
        <x:v>пиразины, фураны, альдегиды, эфиры, теобромин</x:v>
      </x:c>
      <x:c r="M645" s="28" t="str">
        <x:v>фуранеол, эфиры</x:v>
      </x:c>
      <x:c r="N645" s="28" t="str">
        <x:v>фруктовый</x:v>
      </x:c>
      <x:c r="O645" s="28" t="str">
        <x:v>эфиры</x:v>
      </x:c>
      <x:c r="P645" s="28" t="str">
        <x:v>общие ароматические соединения, пересечение ароматических семейств</x:v>
      </x:c>
      <x:c r="Q645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45" s="28" t="str">
        <x:v>мягкая терпкость; теобромин и кофеин усиливают горькое послевкусие</x:v>
      </x:c>
      <x:c r="S645" s="28" t="str">
        <x:v>какао-масло с частицами какао и сахаром; плавление во рту медленно высвобождает гидрофобные ароматы</x:v>
      </x:c>
      <x:c r="T64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4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«клубника» относится к группе «Прочее» и даёт зелёный, карамельный, фруктовый. Молекулярный мост создают эфиры Какао-масло медленно высвобождает липофильные ароматы, а сахар и соль изменяют воспринимаемую горечь. Итог: фруктовый; эфиры.</x:v>
      </x:c>
      <x:c r="V645" s="28" t="str">
        <x:v>горечь и терпкость способны подавлять нежные продукты; содержит стимуляторы; аллергенные добавки возможны</x:v>
      </x:c>
      <x:c r="W645" s="28" t="str">
        <x:v>соль, ваниль или карамель</x:v>
      </x:c>
      <x:c r="X645" s="28" t="str">
        <x:v>ганаш, плитка, крем, мусс, напиток, глазурь или соус с клубника</x:v>
      </x:c>
      <x:c r="Y645" s="28" t="str">
        <x:v>десерты</x:v>
      </x:c>
      <x:c r="Z645" s="28" t="str">
        <x:v>Высокая</x:v>
      </x:c>
      <x:c r="AA645" s="28" t="str">
        <x:v>Таблица сочетания(1).pdf | Тезариус вкусов (Ники Сегнит)(1).pdf</x:v>
      </x:c>
      <x:c r="AB645" s="28" t="str">
        <x:v>Таблица сочетания(1).pdf: 5, 20; Тезариус вкусов (Ники Сегнит)(1).pdf: 31, 699</x:v>
      </x:c>
      <x:c r="AC645" s="28" t="str">
        <x:v>Пара встречается как table, thesaurus; научное объяснение сформировано по ароматическому профилю и пищевой матрице.</x:v>
      </x:c>
      <x:c r="AD645" s="28" t="n">
        <x:v>2</x:v>
      </x:c>
      <x:c r="AE645" s="28" t="n">
        <x:v>4</x:v>
      </x:c>
      <x:c r="AF645" s="28" t="n">
        <x:f>IF(Z645="Высокая",3,IF(Z645="Средняя",2,1))+AD645*2+MIN(AE645,3)</x:f>
        <x:v>10</x:v>
      </x:c>
    </x:row>
    <x:row r="646" ht="62" customHeight="1">
      <x:c r="A646" s="28" t="str">
        <x:v>NCT-0645</x:v>
      </x:c>
      <x:c r="B646" s="28" t="str">
        <x:v>шоколад</x:v>
      </x:c>
      <x:c r="C646" s="28" t="str">
        <x:v>Универсальные</x:v>
      </x:c>
      <x:c r="D646" s="28" t="str">
        <x:v>шоколад</x:v>
      </x:c>
      <x:c r="E646" s="28" t="str">
        <x:v>chocolate</x:v>
      </x:c>
      <x:c r="F646" s="28" t="str">
        <x:v>Какао и шоколад</x:v>
      </x:c>
      <x:c r="G646" s="28" t="str">
        <x:v>клюква</x:v>
      </x:c>
      <x:c r="H646" s="28" t="str">
        <x:v>cranberry</x:v>
      </x:c>
      <x:c r="I646" s="28" t="str">
        <x:v>Прочее</x:v>
      </x:c>
      <x:c r="J646" s="28" t="str">
        <x:v>жареный, какаовый, фруктовый, цветочный, древесный и пряный; профиль зависит от происхождения и обжарки</x:v>
      </x:c>
      <x:c r="K646" s="28" t="str">
        <x:v>профиль зависит от конкретного продукта</x:v>
      </x:c>
      <x:c r="L646" s="28" t="str">
        <x:v>пиразины, фураны, альдегиды, эфиры, теобромин</x:v>
      </x:c>
      <x:c r="M646" s="28" t="str">
        <x:v>характерный профиль зависит от конкретного продукта</x:v>
      </x:c>
      <x:c r="N646" s="28" t="str">
        <x:v>прямое пересечение семейств не является единственным объяснением</x:v>
      </x:c>
      <x:c r="O646" s="28" t="str">
        <x:v>надежная общая ключевая молекула не подтверждена</x:v>
      </x:c>
      <x:c r="P646" s="28" t="str">
        <x:v>сенсорная комплементарность</x:v>
      </x:c>
      <x:c r="Q646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46" s="28" t="str">
        <x:v>мягкая терпкость; теобромин и кофеин усиливают горькое послевкусие</x:v>
      </x:c>
      <x:c r="S646" s="28" t="str">
        <x:v>какао-масло с частицами какао и сахаром; плавление во рту медленно высвобождает гидрофобные ароматы</x:v>
      </x:c>
      <x:c r="T64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4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«клюква»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46" s="28" t="str">
        <x:v>горечь и терпкость способны подавлять нежные продукты; содержит стимуляторы; аллергенные добавки возможны</x:v>
      </x:c>
      <x:c r="W646" s="28" t="str">
        <x:v>соль, ваниль или карамель</x:v>
      </x:c>
      <x:c r="X646" s="28" t="str">
        <x:v>ганаш, плитка, крем, мусс, напиток, глазурь или соус с клюква</x:v>
      </x:c>
      <x:c r="Y646" s="28" t="str">
        <x:v>десерты</x:v>
      </x:c>
      <x:c r="Z646" s="28" t="str">
        <x:v>Средняя</x:v>
      </x:c>
      <x:c r="AA646" s="28" t="str">
        <x:v>The Art &amp; Science of Foodpairing.pdf</x:v>
      </x:c>
      <x:c r="AB646" s="28" t="str">
        <x:v>The Art &amp; Science of Foodpairing.pdf: 62</x:v>
      </x:c>
      <x:c r="AC646" s="28" t="str">
        <x:v>Пара встречается как grid; научное объяснение сформировано по ароматическому профилю и пищевой матрице.</x:v>
      </x:c>
      <x:c r="AD646" s="28" t="n">
        <x:v>1</x:v>
      </x:c>
      <x:c r="AE646" s="28" t="n">
        <x:v>1</x:v>
      </x:c>
      <x:c r="AF646" s="28" t="n">
        <x:f>IF(Z646="Высокая",3,IF(Z646="Средняя",2,1))+AD646*2+MIN(AE646,3)</x:f>
        <x:v>5</x:v>
      </x:c>
    </x:row>
    <x:row r="647" ht="62" customHeight="1">
      <x:c r="A647" s="28" t="str">
        <x:v>NCT-0646</x:v>
      </x:c>
      <x:c r="B647" s="28" t="str">
        <x:v>шоколад</x:v>
      </x:c>
      <x:c r="C647" s="28" t="str">
        <x:v>Универсальные</x:v>
      </x:c>
      <x:c r="D647" s="28" t="str">
        <x:v>шоколад</x:v>
      </x:c>
      <x:c r="E647" s="28" t="str">
        <x:v>Шоколад | шоколад</x:v>
      </x:c>
      <x:c r="F647" s="28" t="str">
        <x:v>Какао и шоколад</x:v>
      </x:c>
      <x:c r="G647" s="28" t="str">
        <x:v>козий сыр</x:v>
      </x:c>
      <x:c r="H647" s="28" t="str">
        <x:v>Козий сыр | козий сыр</x:v>
      </x:c>
      <x:c r="I647" s="28" t="str">
        <x:v>Молочные продукты и сыры</x:v>
      </x:c>
      <x:c r="J647" s="28" t="str">
        <x:v>жареный, какаовый, фруктовый, цветочный, древесный и пряный; профиль зависит от происхождения и обжарки</x:v>
      </x:c>
      <x:c r="K647" s="28" t="str">
        <x:v>молочный, умами, ферментированный</x:v>
      </x:c>
      <x:c r="L647" s="28" t="str">
        <x:v>пиразины, фураны, альдегиды, эфиры, теобромин</x:v>
      </x:c>
      <x:c r="M647" s="28" t="str">
        <x:v>диацетил, жирные кислоты</x:v>
      </x:c>
      <x:c r="N647" s="28" t="str">
        <x:v>прямое пересечение семейств не является единственным объяснением</x:v>
      </x:c>
      <x:c r="O647" s="28" t="str">
        <x:v>надежная общая ключевая молекула не подтверждена</x:v>
      </x:c>
      <x:c r="P647" s="28" t="str">
        <x:v>жировая экстракция и связывание полифенолов белком</x:v>
      </x:c>
      <x:c r="Q647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47" s="28" t="str">
        <x:v>мягкая терпкость; теобромин и кофеин усиливают горькое послевкусие</x:v>
      </x:c>
      <x:c r="S647" s="28" t="str">
        <x:v>какао-масло с частицами какао и сахаром; плавление во рту медленно высвобождает гидрофобные ароматы Совпадающие жирные фазы облегчают перенос аромата, но могут сделать продукт тяжёлым.</x:v>
      </x:c>
      <x:c r="T64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4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«козий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47" s="28" t="str">
        <x:v>горечь и терпкость способны подавлять нежные продукты; содержит стимуляторы; аллергенные добавки возможны; жир способен приглушить тонкую ароматику; белок связывает полифенолы</x:v>
      </x:c>
      <x:c r="W647" s="28" t="str">
        <x:v>мёд, карамель или фруктовая кислота</x:v>
      </x:c>
      <x:c r="X647" s="28" t="str">
        <x:v>ганаш, плитка, крем, мусс, напиток, глазурь или соус с козий сыр</x:v>
      </x:c>
      <x:c r="Y647" s="28" t="str">
        <x:v>десерты</x:v>
      </x:c>
      <x:c r="Z647" s="28" t="str">
        <x:v>Средняя</x:v>
      </x:c>
      <x:c r="AA647" s="28" t="str">
        <x:v>Тезариус вкусов (Ники Сегнит)(1).pdf</x:v>
      </x:c>
      <x:c r="AB647" s="28" t="str">
        <x:v>Тезариус вкусов (Ники Сегнит)(1).pdf: 31, 145</x:v>
      </x:c>
      <x:c r="AC647" s="28" t="str">
        <x:v>Пара встречается как thesaurus; научное объяснение сформировано по ароматическому профилю и пищевой матрице.</x:v>
      </x:c>
      <x:c r="AD647" s="28" t="n">
        <x:v>1</x:v>
      </x:c>
      <x:c r="AE647" s="28" t="n">
        <x:v>2</x:v>
      </x:c>
      <x:c r="AF647" s="28" t="n">
        <x:f>IF(Z647="Высокая",3,IF(Z647="Средняя",2,1))+AD647*2+MIN(AE647,3)</x:f>
        <x:v>6</x:v>
      </x:c>
    </x:row>
    <x:row r="648" ht="62" customHeight="1">
      <x:c r="A648" s="28" t="str">
        <x:v>NCT-0647</x:v>
      </x:c>
      <x:c r="B648" s="28" t="str">
        <x:v>шоколад</x:v>
      </x:c>
      <x:c r="C648" s="28" t="str">
        <x:v>Универсальные</x:v>
      </x:c>
      <x:c r="D648" s="28" t="str">
        <x:v>шоколад</x:v>
      </x:c>
      <x:c r="E648" s="28" t="str">
        <x:v>Шоколад | шоколад</x:v>
      </x:c>
      <x:c r="F648" s="28" t="str">
        <x:v>Какао и шоколад</x:v>
      </x:c>
      <x:c r="G648" s="28" t="str">
        <x:v>кокос</x:v>
      </x:c>
      <x:c r="H648" s="28" t="str">
        <x:v>Кокос | кокос</x:v>
      </x:c>
      <x:c r="I648" s="28" t="str">
        <x:v>Прочее</x:v>
      </x:c>
      <x:c r="J648" s="28" t="str">
        <x:v>жареный, какаовый, фруктовый, цветочный, древесный и пряный; профиль зависит от происхождения и обжарки</x:v>
      </x:c>
      <x:c r="K648" s="28" t="str">
        <x:v>лактонный, сливочный</x:v>
      </x:c>
      <x:c r="L648" s="28" t="str">
        <x:v>пиразины, фураны, альдегиды, эфиры, теобромин</x:v>
      </x:c>
      <x:c r="M648" s="28" t="str">
        <x:v>лактоны</x:v>
      </x:c>
      <x:c r="N648" s="28" t="str">
        <x:v>прямое пересечение семейств не является единственным объяснением</x:v>
      </x:c>
      <x:c r="O648" s="28" t="str">
        <x:v>надежная общая ключевая молекула не подтверждена</x:v>
      </x:c>
      <x:c r="P648" s="28" t="str">
        <x:v>сенсорная комплементарность</x:v>
      </x:c>
      <x:c r="Q648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48" s="28" t="str">
        <x:v>мягкая терпкость; теобромин и кофеин усиливают горькое послевкусие</x:v>
      </x:c>
      <x:c r="S648" s="28" t="str">
        <x:v>какао-масло с частицами какао и сахаром; плавление во рту медленно высвобождает гидрофобные ароматы</x:v>
      </x:c>
      <x:c r="T64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4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«кокос» относится к группе «Прочее» и даёт лактонный, сливочный.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48" s="28" t="str">
        <x:v>горечь и терпкость способны подавлять нежные продукты; содержит стимуляторы; аллергенные добавки возможны</x:v>
      </x:c>
      <x:c r="W648" s="28" t="str">
        <x:v>соль, ваниль или карамель</x:v>
      </x:c>
      <x:c r="X648" s="28" t="str">
        <x:v>ганаш, плитка, крем, мусс, напиток, глазурь или соус с кокос</x:v>
      </x:c>
      <x:c r="Y648" s="28" t="str">
        <x:v>десерты</x:v>
      </x:c>
      <x:c r="Z648" s="28" t="str">
        <x:v>Высокая</x:v>
      </x:c>
      <x:c r="AA648" s="28" t="str">
        <x:v>Таблица сочетания(1).pdf | Тезариус вкусов (Ники Сегнит)(1).pdf</x:v>
      </x:c>
      <x:c r="AB648" s="28" t="str">
        <x:v>Таблица сочетания(1).pdf: 5; Тезариус вкусов (Ники Сегнит)(1).pdf: 31, 761</x:v>
      </x:c>
      <x:c r="AC648" s="28" t="str">
        <x:v>Пара встречается как table, thesaurus; научное объяснение сформировано по ароматическому профилю и пищевой матрице.</x:v>
      </x:c>
      <x:c r="AD648" s="28" t="n">
        <x:v>2</x:v>
      </x:c>
      <x:c r="AE648" s="28" t="n">
        <x:v>3</x:v>
      </x:c>
      <x:c r="AF648" s="28" t="n">
        <x:f>IF(Z648="Высокая",3,IF(Z648="Средняя",2,1))+AD648*2+MIN(AE648,3)</x:f>
        <x:v>10</x:v>
      </x:c>
    </x:row>
    <x:row r="649" ht="62" customHeight="1">
      <x:c r="A649" s="28" t="str">
        <x:v>NCT-0648</x:v>
      </x:c>
      <x:c r="B649" s="28" t="str">
        <x:v>шоколад</x:v>
      </x:c>
      <x:c r="C649" s="28" t="str">
        <x:v>Универсальные</x:v>
      </x:c>
      <x:c r="D649" s="28" t="str">
        <x:v>шоколад</x:v>
      </x:c>
      <x:c r="E649" s="28" t="str">
        <x:v>chocolate</x:v>
      </x:c>
      <x:c r="F649" s="28" t="str">
        <x:v>Какао и шоколад</x:v>
      </x:c>
      <x:c r="G649" s="28" t="str">
        <x:v>кокосовая вода</x:v>
      </x:c>
      <x:c r="H649" s="28" t="str">
        <x:v>coconut water</x:v>
      </x:c>
      <x:c r="I649" s="28" t="str">
        <x:v>Прочее</x:v>
      </x:c>
      <x:c r="J649" s="28" t="str">
        <x:v>жареный, какаовый, фруктовый, цветочный, древесный и пряный; профиль зависит от происхождения и обжарки</x:v>
      </x:c>
      <x:c r="K649" s="28" t="str">
        <x:v>лактонный, сливочный</x:v>
      </x:c>
      <x:c r="L649" s="28" t="str">
        <x:v>пиразины, фураны, альдегиды, эфиры, теобромин</x:v>
      </x:c>
      <x:c r="M649" s="28" t="str">
        <x:v>лактоны</x:v>
      </x:c>
      <x:c r="N649" s="28" t="str">
        <x:v>прямое пересечение семейств не является единственным объяснением</x:v>
      </x:c>
      <x:c r="O649" s="28" t="str">
        <x:v>надежная общая ключевая молекула не подтверждена</x:v>
      </x:c>
      <x:c r="P649" s="28" t="str">
        <x:v>сенсорная комплементарность</x:v>
      </x:c>
      <x:c r="Q649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49" s="28" t="str">
        <x:v>мягкая терпкость; теобромин и кофеин усиливают горькое послевкусие</x:v>
      </x:c>
      <x:c r="S649" s="28" t="str">
        <x:v>какао-масло с частицами какао и сахаром; плавление во рту медленно высвобождает гидрофобные ароматы</x:v>
      </x:c>
      <x:c r="T64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4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«кокосовая вода» относится к группе «Прочее» и даёт лактонный, сливочный.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49" s="28" t="str">
        <x:v>горечь и терпкость способны подавлять нежные продукты; содержит стимуляторы; аллергенные добавки возможны</x:v>
      </x:c>
      <x:c r="W649" s="28" t="str">
        <x:v>соль, ваниль или карамель</x:v>
      </x:c>
      <x:c r="X649" s="28" t="str">
        <x:v>ганаш, плитка, крем, мусс, напиток, глазурь или соус с кокосовая вода</x:v>
      </x:c>
      <x:c r="Y649" s="28" t="str">
        <x:v>десерты</x:v>
      </x:c>
      <x:c r="Z649" s="28" t="str">
        <x:v>Средняя</x:v>
      </x:c>
      <x:c r="AA649" s="28" t="str">
        <x:v>The Art &amp; Science of Foodpairing.pdf</x:v>
      </x:c>
      <x:c r="AB649" s="28" t="str">
        <x:v>The Art &amp; Science of Foodpairing.pdf: 62</x:v>
      </x:c>
      <x:c r="AC649" s="28" t="str">
        <x:v>Пара встречается как grid; научное объяснение сформировано по ароматическому профилю и пищевой матрице.</x:v>
      </x:c>
      <x:c r="AD649" s="28" t="n">
        <x:v>1</x:v>
      </x:c>
      <x:c r="AE649" s="28" t="n">
        <x:v>1</x:v>
      </x:c>
      <x:c r="AF649" s="28" t="n">
        <x:f>IF(Z649="Высокая",3,IF(Z649="Средняя",2,1))+AD649*2+MIN(AE649,3)</x:f>
        <x:v>5</x:v>
      </x:c>
    </x:row>
    <x:row r="650" ht="62" customHeight="1">
      <x:c r="A650" s="28" t="str">
        <x:v>NCT-0649</x:v>
      </x:c>
      <x:c r="B650" s="28" t="str">
        <x:v>шоколад</x:v>
      </x:c>
      <x:c r="C650" s="28" t="str">
        <x:v>Универсальные</x:v>
      </x:c>
      <x:c r="D650" s="28" t="str">
        <x:v>шоколад</x:v>
      </x:c>
      <x:c r="E650" s="28" t="str">
        <x:v>chocolate</x:v>
      </x:c>
      <x:c r="F650" s="28" t="str">
        <x:v>Какао и шоколад</x:v>
      </x:c>
      <x:c r="G650" s="28" t="str">
        <x:v>кольраби</x:v>
      </x:c>
      <x:c r="H650" s="28" t="str">
        <x:v>kohlrabi</x:v>
      </x:c>
      <x:c r="I650" s="28" t="str">
        <x:v>Прочее</x:v>
      </x:c>
      <x:c r="J650" s="28" t="str">
        <x:v>жареный, какаовый, фруктовый, цветочный, древесный и пряный; профиль зависит от происхождения и обжарки</x:v>
      </x:c>
      <x:c r="K650" s="28" t="str">
        <x:v>профиль зависит от конкретного продукта</x:v>
      </x:c>
      <x:c r="L650" s="28" t="str">
        <x:v>пиразины, фураны, альдегиды, эфиры, теобромин</x:v>
      </x:c>
      <x:c r="M650" s="28" t="str">
        <x:v>характерный профиль зависит от конкретного продукта</x:v>
      </x:c>
      <x:c r="N650" s="28" t="str">
        <x:v>прямое пересечение семейств не является единственным объяснением</x:v>
      </x:c>
      <x:c r="O650" s="28" t="str">
        <x:v>надежная общая ключевая молекула не подтверждена</x:v>
      </x:c>
      <x:c r="P650" s="28" t="str">
        <x:v>сенсорная комплементарность</x:v>
      </x:c>
      <x:c r="Q650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50" s="28" t="str">
        <x:v>мягкая терпкость; теобромин и кофеин усиливают горькое послевкусие</x:v>
      </x:c>
      <x:c r="S650" s="28" t="str">
        <x:v>какао-масло с частицами какао и сахаром; плавление во рту медленно высвобождает гидрофобные ароматы</x:v>
      </x:c>
      <x:c r="T65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5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«кольраби»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50" s="28" t="str">
        <x:v>горечь и терпкость способны подавлять нежные продукты; содержит стимуляторы; аллергенные добавки возможны</x:v>
      </x:c>
      <x:c r="W650" s="28" t="str">
        <x:v>соль, ваниль или карамель</x:v>
      </x:c>
      <x:c r="X650" s="28" t="str">
        <x:v>ганаш, плитка, крем, мусс, напиток, глазурь или соус с кольраби</x:v>
      </x:c>
      <x:c r="Y650" s="28" t="str">
        <x:v>десерты</x:v>
      </x:c>
      <x:c r="Z650" s="28" t="str">
        <x:v>Средняя</x:v>
      </x:c>
      <x:c r="AA650" s="28" t="str">
        <x:v>The Art &amp; Science of Foodpairing.pdf</x:v>
      </x:c>
      <x:c r="AB650" s="28" t="str">
        <x:v>The Art &amp; Science of Foodpairing.pdf: 62</x:v>
      </x:c>
      <x:c r="AC650" s="28" t="str">
        <x:v>Пара встречается как grid; научное объяснение сформировано по ароматическому профилю и пищевой матрице.</x:v>
      </x:c>
      <x:c r="AD650" s="28" t="n">
        <x:v>1</x:v>
      </x:c>
      <x:c r="AE650" s="28" t="n">
        <x:v>1</x:v>
      </x:c>
      <x:c r="AF650" s="28" t="n">
        <x:f>IF(Z650="Высокая",3,IF(Z650="Средняя",2,1))+AD650*2+MIN(AE650,3)</x:f>
        <x:v>5</x:v>
      </x:c>
    </x:row>
    <x:row r="651" ht="62" customHeight="1">
      <x:c r="A651" s="28" t="str">
        <x:v>NCT-0650</x:v>
      </x:c>
      <x:c r="B651" s="28" t="str">
        <x:v>шоколад</x:v>
      </x:c>
      <x:c r="C651" s="28" t="str">
        <x:v>Универсальные</x:v>
      </x:c>
      <x:c r="D651" s="28" t="str">
        <x:v>шоколад</x:v>
      </x:c>
      <x:c r="E651" s="28" t="str">
        <x:v>chocolate | Шоколад | шоколад</x:v>
      </x:c>
      <x:c r="F651" s="28" t="str">
        <x:v>Какао и шоколад</x:v>
      </x:c>
      <x:c r="G651" s="28" t="str">
        <x:v>корица</x:v>
      </x:c>
      <x:c r="H651" s="28" t="str">
        <x:v>cinnamon | Корица | корица</x:v>
      </x:c>
      <x:c r="I651" s="28" t="str">
        <x:v>Специи</x:v>
      </x:c>
      <x:c r="J651" s="28" t="str">
        <x:v>жареный, какаовый, фруктовый, цветочный, древесный и пряный; профиль зависит от происхождения и обжарки</x:v>
      </x:c>
      <x:c r="K651" s="28" t="str">
        <x:v>древесный, пряный</x:v>
      </x:c>
      <x:c r="L651" s="28" t="str">
        <x:v>пиразины, фураны, альдегиды, эфиры, теобромин</x:v>
      </x:c>
      <x:c r="M651" s="28" t="str">
        <x:v>циннамальдегид, эвгенол</x:v>
      </x:c>
      <x:c r="N651" s="28" t="str">
        <x:v>древесный</x:v>
      </x:c>
      <x:c r="O651" s="28" t="str">
        <x:v>надежная общая ключевая молекула не подтверждена</x:v>
      </x:c>
      <x:c r="P651" s="28" t="str">
        <x:v>пересечение ароматических семейств</x:v>
      </x:c>
      <x:c r="Q651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51" s="28" t="str">
        <x:v>мягкая терпкость; теобромин и кофеин усиливают горькое послевкусие</x:v>
      </x:c>
      <x:c r="S651" s="28" t="str">
        <x:v>какао-масло с частицами какао и сахаром; плавление во рту медленно высвобождает гидрофобные ароматы</x:v>
      </x:c>
      <x:c r="T65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5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«корица» относится к группе «Специи» и даёт древесный, пряный.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V651" s="28" t="str">
        <x:v>горечь и терпкость способны подавлять нежные продукты; содержит стимуляторы; аллергенные добавки возможны</x:v>
      </x:c>
      <x:c r="W651" s="28" t="str">
        <x:v>ваниль, апельсин или мёд</x:v>
      </x:c>
      <x:c r="X651" s="28" t="str">
        <x:v>ганаш, плитка, крем, мусс, напиток, глазурь или соус с корица</x:v>
      </x:c>
      <x:c r="Y651" s="28" t="str">
        <x:v>десерты</x:v>
      </x:c>
      <x:c r="Z651" s="28" t="str">
        <x:v>Высокая</x:v>
      </x:c>
      <x:c r="AA651" s="28" t="str">
        <x:v>The Art &amp; Science of Foodpairing.pdf | Таблица сочетания(1).pdf | Тезариус вкусов (Ники Сегнит)(1).pdf</x:v>
      </x:c>
      <x:c r="AB651" s="28" t="str">
        <x:v>The Art &amp; Science of Foodpairing.pdf: 62; Таблица сочетания(1).pdf: 5; Тезариус вкусов (Ники Сегнит)(1).pdf: 32, 580</x:v>
      </x:c>
      <x:c r="AC651" s="28" t="str">
        <x:v>Пара встречается как grid, table, thesaurus; научное объяснение сформировано по ароматическому профилю и пищевой матрице.</x:v>
      </x:c>
      <x:c r="AD651" s="28" t="n">
        <x:v>3</x:v>
      </x:c>
      <x:c r="AE651" s="28" t="n">
        <x:v>5</x:v>
      </x:c>
      <x:c r="AF651" s="28" t="n">
        <x:f>IF(Z651="Высокая",3,IF(Z651="Средняя",2,1))+AD651*2+MIN(AE651,3)</x:f>
        <x:v>12</x:v>
      </x:c>
    </x:row>
    <x:row r="652" ht="62" customHeight="1">
      <x:c r="A652" s="28" t="str">
        <x:v>NCT-0651</x:v>
      </x:c>
      <x:c r="B652" s="28" t="str">
        <x:v>шоколад</x:v>
      </x:c>
      <x:c r="C652" s="28" t="str">
        <x:v>Универсальные</x:v>
      </x:c>
      <x:c r="D652" s="28" t="str">
        <x:v>шоколад</x:v>
      </x:c>
      <x:c r="E652" s="28" t="str">
        <x:v>cocoa powder</x:v>
      </x:c>
      <x:c r="F652" s="28" t="str">
        <x:v>Какао и шоколад</x:v>
      </x:c>
      <x:c r="G652" s="28" t="str">
        <x:v>корица и кассия</x:v>
      </x:c>
      <x:c r="H652" s="28" t="str">
        <x:v>cinnaman and cassia bark</x:v>
      </x:c>
      <x:c r="I652" s="28" t="str">
        <x:v>Специи</x:v>
      </x:c>
      <x:c r="J652" s="28" t="str">
        <x:v>жареный, какаовый, фруктовый, цветочный, древесный и пряный; профиль зависит от происхождения и обжарки</x:v>
      </x:c>
      <x:c r="K652" s="28" t="str">
        <x:v>древесный, пряный</x:v>
      </x:c>
      <x:c r="L652" s="28" t="str">
        <x:v>пиразины, фураны, альдегиды, эфиры, теобромин</x:v>
      </x:c>
      <x:c r="M652" s="28" t="str">
        <x:v>циннамальдегид, эвгенол</x:v>
      </x:c>
      <x:c r="N652" s="28" t="str">
        <x:v>древесный</x:v>
      </x:c>
      <x:c r="O652" s="28" t="str">
        <x:v>надежная общая ключевая молекула не подтверждена</x:v>
      </x:c>
      <x:c r="P652" s="28" t="str">
        <x:v>пересечение ароматических семейств</x:v>
      </x:c>
      <x:c r="Q652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52" s="28" t="str">
        <x:v>мягкая терпкость; теобромин и кофеин усиливают горькое послевкусие</x:v>
      </x:c>
      <x:c r="S652" s="28" t="str">
        <x:v>какао-масло с частицами какао и сахаром; плавление во рту медленно высвобождает гидрофобные ароматы</x:v>
      </x:c>
      <x:c r="T65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5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«корица и кассия» относится к группе «Специи» и даёт древесный, пряный.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V652" s="28" t="str">
        <x:v>горечь и терпкость способны подавлять нежные продукты; содержит стимуляторы; аллергенные добавки возможны</x:v>
      </x:c>
      <x:c r="W652" s="28" t="str">
        <x:v>ваниль, апельсин или мёд</x:v>
      </x:c>
      <x:c r="X652" s="28" t="str">
        <x:v>ганаш, плитка, крем, мусс, напиток, глазурь или соус с корица и кассия</x:v>
      </x:c>
      <x:c r="Y652" s="28" t="str">
        <x:v>десерты</x:v>
      </x:c>
      <x:c r="Z652" s="28" t="str">
        <x:v>Средняя</x:v>
      </x:c>
      <x:c r="AA652" s="28" t="str">
        <x:v>The Art &amp; Science of Foodpairing.pdf</x:v>
      </x:c>
      <x:c r="AB652" s="28" t="str">
        <x:v>The Art &amp; Science of Foodpairing.pdf: 130</x:v>
      </x:c>
      <x:c r="AC652" s="28" t="str">
        <x:v>Пара встречается как grid; научное объяснение сформировано по ароматическому профилю и пищевой матрице.</x:v>
      </x:c>
      <x:c r="AD652" s="28" t="n">
        <x:v>1</x:v>
      </x:c>
      <x:c r="AE652" s="28" t="n">
        <x:v>1</x:v>
      </x:c>
      <x:c r="AF652" s="28" t="n">
        <x:f>IF(Z652="Высокая",3,IF(Z652="Средняя",2,1))+AD652*2+MIN(AE652,3)</x:f>
        <x:v>5</x:v>
      </x:c>
    </x:row>
    <x:row r="653" ht="62" customHeight="1">
      <x:c r="A653" s="28" t="str">
        <x:v>NCT-0652</x:v>
      </x:c>
      <x:c r="B653" s="28" t="str">
        <x:v>шоколад</x:v>
      </x:c>
      <x:c r="C653" s="28" t="str">
        <x:v>Напитки</x:v>
      </x:c>
      <x:c r="D653" s="28" t="str">
        <x:v>шоколад</x:v>
      </x:c>
      <x:c r="E653" s="28" t="str">
        <x:v>chocolate | dark chocolate | Шоколад | шоколад</x:v>
      </x:c>
      <x:c r="F653" s="28" t="str">
        <x:v>Какао и шоколад</x:v>
      </x:c>
      <x:c r="G653" s="28" t="str">
        <x:v>кофе</x:v>
      </x:c>
      <x:c r="H653" s="28" t="str">
        <x:v>Colombian coffee | coffee | Кофе | кофе</x:v>
      </x:c>
      <x:c r="I653" s="28" t="str">
        <x:v>Кофе</x:v>
      </x:c>
      <x:c r="J653" s="28" t="str">
        <x:v>жареный, какаовый, фруктовый, цветочный, древесный и пряный; профиль зависит от происхождения и обжарки</x:v>
      </x:c>
      <x:c r="K653" s="28" t="str">
        <x:v>жареный, ореховый, карамельный, цветочный, фруктовый, фенольный и древесный</x:v>
      </x:c>
      <x:c r="L653" s="28" t="str">
        <x:v>пиразины, фураны, альдегиды, эфиры, теобромин</x:v>
      </x:c>
      <x:c r="M653" s="28" t="str">
        <x:v>2-фурфурилтиол, гваякол, диацетил, пиразины, фураны</x:v>
      </x:c>
      <x:c r="N653" s="28" t="str">
        <x:v>жареный</x:v>
      </x:c>
      <x:c r="O653" s="28" t="str">
        <x:v>пиразины, фураны</x:v>
      </x:c>
      <x:c r="P653" s="28" t="str">
        <x:v>общие ароматические соединения, пересечение ароматических семейств, жареная химия и реакции Майяра</x:v>
      </x:c>
      <x:c r="Q653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53" s="28" t="str">
        <x:v>мягкая терпкость; теобромин и кофеин усиливают горькое послевкусие</x:v>
      </x:c>
      <x:c r="S653" s="28" t="str">
        <x:v>какао-масло с частицами какао и сахаром; плавление во рту медленно высвобождает гидрофобные ароматы</x:v>
      </x:c>
      <x:c r="T65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5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жареный; пиразины, фураны.</x:v>
      </x:c>
      <x:c r="V653" s="28" t="str">
        <x:v>горечь и терпкость способны подавлять нежные продукты; содержит стимуляторы; аллергенные добавки возможны</x:v>
      </x:c>
      <x:c r="W653" s="28" t="str">
        <x:v>соль, ваниль или карамель</x:v>
      </x:c>
      <x:c r="X653" s="28" t="str">
        <x:v>ганаш, плитка, крем, мусс, напиток, глазурь или соус с кофе</x:v>
      </x:c>
      <x:c r="Y653" s="28" t="str">
        <x:v>напитки, десерты</x:v>
      </x:c>
      <x:c r="Z653" s="28" t="str">
        <x:v>Высокая</x:v>
      </x:c>
      <x:c r="AA653" s="28" t="str">
        <x:v>The Art &amp; Science of Foodpairing.pdf | Таблица сочетания(1).pdf | Тезариус вкусов (Ники Сегнит)(1).pdf</x:v>
      </x:c>
      <x:c r="AB653" s="28" t="str">
        <x:v>The Art &amp; Science of Foodpairing.pdf: 62, 296, 297; Таблица сочетания(1).pdf: 5, 6; Тезариус вкусов (Ники Сегнит)(1).pdf: 32, 48</x:v>
      </x:c>
      <x:c r="AC653" s="28" t="str">
        <x:v>Пара встречается как classic, grid, table, thesaurus; научное объяснение сформировано по ароматическому профилю и пищевой матрице.</x:v>
      </x:c>
      <x:c r="AD653" s="28" t="n">
        <x:v>3</x:v>
      </x:c>
      <x:c r="AE653" s="28" t="n">
        <x:v>7</x:v>
      </x:c>
      <x:c r="AF653" s="28" t="n">
        <x:f>IF(Z653="Высокая",3,IF(Z653="Средняя",2,1))+AD653*2+MIN(AE653,3)</x:f>
        <x:v>12</x:v>
      </x:c>
    </x:row>
    <x:row r="654" ht="62" customHeight="1">
      <x:c r="A654" s="28" t="str">
        <x:v>NCT-0653</x:v>
      </x:c>
      <x:c r="B654" s="28" t="str">
        <x:v>шоколад</x:v>
      </x:c>
      <x:c r="C654" s="28" t="str">
        <x:v>Десерты и выпечка</x:v>
      </x:c>
      <x:c r="D654" s="28" t="str">
        <x:v>шоколад</x:v>
      </x:c>
      <x:c r="E654" s="28" t="str">
        <x:v>шоколад</x:v>
      </x:c>
      <x:c r="F654" s="28" t="str">
        <x:v>Какао и шоколад</x:v>
      </x:c>
      <x:c r="G654" s="28" t="str">
        <x:v>красный апельсин</x:v>
      </x:c>
      <x:c r="H654" s="28" t="str">
        <x:v>Красный апельсин</x:v>
      </x:c>
      <x:c r="I654" s="28" t="str">
        <x:v>Фрукты и ягоды</x:v>
      </x:c>
      <x:c r="J654" s="28" t="str">
        <x:v>жареный, какаовый, фруктовый, цветочный, древесный и пряный; профиль зависит от происхождения и обжарки</x:v>
      </x:c>
      <x:c r="K654" s="28" t="str">
        <x:v>сладкий, цитрусовый</x:v>
      </x:c>
      <x:c r="L654" s="28" t="str">
        <x:v>пиразины, фураны, альдегиды, эфиры, теобромин</x:v>
      </x:c>
      <x:c r="M654" s="28" t="str">
        <x:v>лимонен, линалоол</x:v>
      </x:c>
      <x:c r="N654" s="28" t="str">
        <x:v>прямое пересечение семейств не является единственным объяснением</x:v>
      </x:c>
      <x:c r="O654" s="28" t="str">
        <x:v>надежная общая ключевая молекула не подтверждена</x:v>
      </x:c>
      <x:c r="P654" s="28" t="str">
        <x:v>контраст кислоты и жирной/горькой матрицы</x:v>
      </x:c>
      <x:c r="Q654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54" s="28" t="str">
        <x:v>мягкая терпкость; теобромин и кофеин усиливают горькое послевкусие</x:v>
      </x:c>
      <x:c r="S654" s="28" t="str">
        <x:v>какао-масло с частицами какао и сахаром; плавление во рту медленно высвобождает гидрофобные ароматы Водная фруктовая фаза требует эмульсии или мелкого измельчения, если орех или шоколад вводится как паста.</x:v>
      </x:c>
      <x:c r="T65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5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«красный 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54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W654" s="28" t="str">
        <x:v>ваниль, цитрус или молочный жир</x:v>
      </x:c>
      <x:c r="X654" s="28" t="str">
        <x:v>ганаш, плитка, крем, мусс, напиток, глазурь или соус с красный апельсин</x:v>
      </x:c>
      <x:c r="Y654" s="28" t="str">
        <x:v>десерты</x:v>
      </x:c>
      <x:c r="Z654" s="28" t="str">
        <x:v>Гипотеза / практическая</x:v>
      </x:c>
      <x:c r="AA654" s="28" t="str">
        <x:v>Таблица сочетания(1).pdf</x:v>
      </x:c>
      <x:c r="AB654" s="28" t="str">
        <x:v>Таблица сочетания(1).pdf: 3</x:v>
      </x:c>
      <x:c r="AC654" s="28" t="str">
        <x:v>Пара встречается как table; научное объяснение сформировано по ароматическому профилю и пищевой матрице.</x:v>
      </x:c>
      <x:c r="AD654" s="28" t="n">
        <x:v>1</x:v>
      </x:c>
      <x:c r="AE654" s="28" t="n">
        <x:v>1</x:v>
      </x:c>
      <x:c r="AF654" s="28" t="n">
        <x:f>IF(Z654="Высокая",3,IF(Z654="Средняя",2,1))+AD654*2+MIN(AE654,3)</x:f>
        <x:v>4</x:v>
      </x:c>
    </x:row>
    <x:row r="655" ht="62" customHeight="1">
      <x:c r="A655" s="28" t="str">
        <x:v>NCT-0654</x:v>
      </x:c>
      <x:c r="B655" s="28" t="str">
        <x:v>шоколад</x:v>
      </x:c>
      <x:c r="C655" s="28" t="str">
        <x:v>Десерты и выпечка</x:v>
      </x:c>
      <x:c r="D655" s="28" t="str">
        <x:v>шоколад</x:v>
      </x:c>
      <x:c r="E655" s="28" t="str">
        <x:v>Шоколад | шоколад</x:v>
      </x:c>
      <x:c r="F655" s="28" t="str">
        <x:v>Какао и шоколад</x:v>
      </x:c>
      <x:c r="G655" s="28" t="str">
        <x:v>лайм</x:v>
      </x:c>
      <x:c r="H655" s="28" t="str">
        <x:v>Лайм | лайм</x:v>
      </x:c>
      <x:c r="I655" s="28" t="str">
        <x:v>Фрукты и ягоды</x:v>
      </x:c>
      <x:c r="J655" s="28" t="str">
        <x:v>жареный, какаовый, фруктовый, цветочный, древесный и пряный; профиль зависит от происхождения и обжарки</x:v>
      </x:c>
      <x:c r="K655" s="28" t="str">
        <x:v>зелёный, цитрусовый</x:v>
      </x:c>
      <x:c r="L655" s="28" t="str">
        <x:v>пиразины, фураны, альдегиды, эфиры, теобромин</x:v>
      </x:c>
      <x:c r="M655" s="28" t="str">
        <x:v>лимонен, цитраль</x:v>
      </x:c>
      <x:c r="N655" s="28" t="str">
        <x:v>прямое пересечение семейств не является единственным объяснением</x:v>
      </x:c>
      <x:c r="O655" s="28" t="str">
        <x:v>надежная общая ключевая молекула не подтверждена</x:v>
      </x:c>
      <x:c r="P655" s="28" t="str">
        <x:v>контраст кислоты и жирной/горькой матрицы</x:v>
      </x:c>
      <x:c r="Q655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55" s="28" t="str">
        <x:v>мягкая терпкость; теобромин и кофеин усиливают горькое послевкусие</x:v>
      </x:c>
      <x:c r="S655" s="28" t="str">
        <x:v>какао-масло с частицами какао и сахаром; плавление во рту медленно высвобождает гидрофобные ароматы Водная фруктовая фаза требует эмульсии или мелкого измельчения, если орех или шоколад вводится как паста.</x:v>
      </x:c>
      <x:c r="T65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5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«лайм» относится к группе «Фрукты и ягоды» и даёт зелёный, цитрусовый.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55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W655" s="28" t="str">
        <x:v>ваниль, цитрус или молочный жир</x:v>
      </x:c>
      <x:c r="X655" s="28" t="str">
        <x:v>ганаш, плитка, крем, мусс, напиток, глазурь или соус с лайм</x:v>
      </x:c>
      <x:c r="Y655" s="28" t="str">
        <x:v>десерты</x:v>
      </x:c>
      <x:c r="Z655" s="28" t="str">
        <x:v>Средняя</x:v>
      </x:c>
      <x:c r="AA655" s="28" t="str">
        <x:v>Тезариус вкусов (Ники Сегнит)(1).pdf</x:v>
      </x:c>
      <x:c r="AB655" s="28" t="str">
        <x:v>Тезариус вкусов (Ники Сегнит)(1).pdf: 32, 798</x:v>
      </x:c>
      <x:c r="AC655" s="28" t="str">
        <x:v>Пара встречается как thesaurus; научное объяснение сформировано по ароматическому профилю и пищевой матрице.</x:v>
      </x:c>
      <x:c r="AD655" s="28" t="n">
        <x:v>1</x:v>
      </x:c>
      <x:c r="AE655" s="28" t="n">
        <x:v>2</x:v>
      </x:c>
      <x:c r="AF655" s="28" t="n">
        <x:f>IF(Z655="Высокая",3,IF(Z655="Средняя",2,1))+AD655*2+MIN(AE655,3)</x:f>
        <x:v>6</x:v>
      </x:c>
    </x:row>
    <x:row r="656" ht="62" customHeight="1">
      <x:c r="A656" s="28" t="str">
        <x:v>NCT-0655</x:v>
      </x:c>
      <x:c r="B656" s="28" t="str">
        <x:v>шоколад</x:v>
      </x:c>
      <x:c r="C656" s="28" t="str">
        <x:v>Десерты и выпечка</x:v>
      </x:c>
      <x:c r="D656" s="28" t="str">
        <x:v>шоколад</x:v>
      </x:c>
      <x:c r="E656" s="28" t="str">
        <x:v>Шоколад | шоколад</x:v>
      </x:c>
      <x:c r="F656" s="28" t="str">
        <x:v>Какао и шоколад</x:v>
      </x:c>
      <x:c r="G656" s="28" t="str">
        <x:v>лимон</x:v>
      </x:c>
      <x:c r="H656" s="28" t="str">
        <x:v>Лимон | лимон</x:v>
      </x:c>
      <x:c r="I656" s="28" t="str">
        <x:v>Фрукты и ягоды</x:v>
      </x:c>
      <x:c r="J656" s="28" t="str">
        <x:v>жареный, какаовый, фруктовый, цветочный, древесный и пряный; профиль зависит от происхождения и обжарки</x:v>
      </x:c>
      <x:c r="K656" s="28" t="str">
        <x:v>кислый, цитрусовый</x:v>
      </x:c>
      <x:c r="L656" s="28" t="str">
        <x:v>пиразины, фураны, альдегиды, эфиры, теобромин</x:v>
      </x:c>
      <x:c r="M656" s="28" t="str">
        <x:v>лимонен, цитраль</x:v>
      </x:c>
      <x:c r="N656" s="28" t="str">
        <x:v>прямое пересечение семейств не является единственным объяснением</x:v>
      </x:c>
      <x:c r="O656" s="28" t="str">
        <x:v>надежная общая ключевая молекула не подтверждена</x:v>
      </x:c>
      <x:c r="P656" s="28" t="str">
        <x:v>контраст кислоты и жирной/горькой матрицы</x:v>
      </x:c>
      <x:c r="Q656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56" s="28" t="str">
        <x:v>мягкая терпкость; теобромин и кофеин усиливают горькое послевкусие</x:v>
      </x:c>
      <x:c r="S656" s="28" t="str">
        <x:v>какао-масло с частицами какао и сахаром; плавление во рту медленно высвобождает гидрофобные ароматы Водная фруктовая фаза требует эмульсии или мелкого измельчения, если орех или шоколад вводится как паста.</x:v>
      </x:c>
      <x:c r="T65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5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56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W656" s="28" t="str">
        <x:v>ваниль, цитрус или молочный жир</x:v>
      </x:c>
      <x:c r="X656" s="28" t="str">
        <x:v>ганаш, плитка, крем, мусс, напиток, глазурь или соус с лимон</x:v>
      </x:c>
      <x:c r="Y656" s="28" t="str">
        <x:v>десерты</x:v>
      </x:c>
      <x:c r="Z656" s="28" t="str">
        <x:v>Средняя</x:v>
      </x:c>
      <x:c r="AA656" s="28" t="str">
        <x:v>Тезариус вкусов (Ники Сегнит)(1).pdf</x:v>
      </x:c>
      <x:c r="AB656" s="28" t="str">
        <x:v>Тезариус вкусов (Ники Сегнит)(1).pdf: 33, 811</x:v>
      </x:c>
      <x:c r="AC656" s="28" t="str">
        <x:v>Пара встречается как thesaurus; научное объяснение сформировано по ароматическому профилю и пищевой матрице.</x:v>
      </x:c>
      <x:c r="AD656" s="28" t="n">
        <x:v>1</x:v>
      </x:c>
      <x:c r="AE656" s="28" t="n">
        <x:v>2</x:v>
      </x:c>
      <x:c r="AF656" s="28" t="n">
        <x:f>IF(Z656="Высокая",3,IF(Z656="Средняя",2,1))+AD656*2+MIN(AE656,3)</x:f>
        <x:v>6</x:v>
      </x:c>
    </x:row>
    <x:row r="657" ht="62" customHeight="1">
      <x:c r="A657" s="28" t="str">
        <x:v>NCT-0656</x:v>
      </x:c>
      <x:c r="B657" s="28" t="str">
        <x:v>шоколад</x:v>
      </x:c>
      <x:c r="C657" s="28" t="str">
        <x:v>Десерты и выпечка</x:v>
      </x:c>
      <x:c r="D657" s="28" t="str">
        <x:v>шоколад</x:v>
      </x:c>
      <x:c r="E657" s="28" t="str">
        <x:v>chocolate</x:v>
      </x:c>
      <x:c r="F657" s="28" t="str">
        <x:v>Какао и шоколад</x:v>
      </x:c>
      <x:c r="G657" s="28" t="str">
        <x:v>лист макрут-лайма</x:v>
      </x:c>
      <x:c r="H657" s="28" t="str">
        <x:v>makrut lime leaf</x:v>
      </x:c>
      <x:c r="I657" s="28" t="str">
        <x:v>Фрукты и ягоды</x:v>
      </x:c>
      <x:c r="J657" s="28" t="str">
        <x:v>жареный, какаовый, фруктовый, цветочный, древесный и пряный; профиль зависит от происхождения и обжарки</x:v>
      </x:c>
      <x:c r="K657" s="28" t="str">
        <x:v>зелёный, цитрусовый</x:v>
      </x:c>
      <x:c r="L657" s="28" t="str">
        <x:v>пиразины, фураны, альдегиды, эфиры, теобромин</x:v>
      </x:c>
      <x:c r="M657" s="28" t="str">
        <x:v>лимонен, цитраль</x:v>
      </x:c>
      <x:c r="N657" s="28" t="str">
        <x:v>прямое пересечение семейств не является единственным объяснением</x:v>
      </x:c>
      <x:c r="O657" s="28" t="str">
        <x:v>надежная общая ключевая молекула не подтверждена</x:v>
      </x:c>
      <x:c r="P657" s="28" t="str">
        <x:v>контраст кислоты и жирной/горькой матрицы</x:v>
      </x:c>
      <x:c r="Q657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57" s="28" t="str">
        <x:v>мягкая терпкость; теобромин и кофеин усиливают горькое послевкусие</x:v>
      </x:c>
      <x:c r="S657" s="28" t="str">
        <x:v>какао-масло с частицами какао и сахаром; плавление во рту медленно высвобождает гидрофобные ароматы Водная фруктовая фаза требует эмульсии или мелкого измельчения, если орех или шоколад вводится как паста.</x:v>
      </x:c>
      <x:c r="T65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5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«лист макрут-лайма» относится к группе «Фрукты и ягоды» и даёт зелёный, цитрусовый.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57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W657" s="28" t="str">
        <x:v>ваниль, цитрус или молочный жир</x:v>
      </x:c>
      <x:c r="X657" s="28" t="str">
        <x:v>ганаш, плитка, крем, мусс, напиток, глазурь или соус с лист макрут-лайма</x:v>
      </x:c>
      <x:c r="Y657" s="28" t="str">
        <x:v>десерты</x:v>
      </x:c>
      <x:c r="Z657" s="28" t="str">
        <x:v>Средняя</x:v>
      </x:c>
      <x:c r="AA657" s="28" t="str">
        <x:v>The Art &amp; Science of Foodpairing.pdf</x:v>
      </x:c>
      <x:c r="AB657" s="28" t="str">
        <x:v>The Art &amp; Science of Foodpairing.pdf: 62</x:v>
      </x:c>
      <x:c r="AC657" s="28" t="str">
        <x:v>Пара встречается как grid; научное объяснение сформировано по ароматическому профилю и пищевой матрице.</x:v>
      </x:c>
      <x:c r="AD657" s="28" t="n">
        <x:v>1</x:v>
      </x:c>
      <x:c r="AE657" s="28" t="n">
        <x:v>1</x:v>
      </x:c>
      <x:c r="AF657" s="28" t="n">
        <x:f>IF(Z657="Высокая",3,IF(Z657="Средняя",2,1))+AD657*2+MIN(AE657,3)</x:f>
        <x:v>5</x:v>
      </x:c>
    </x:row>
    <x:row r="658" ht="62" customHeight="1">
      <x:c r="A658" s="28" t="str">
        <x:v>NCT-0657</x:v>
      </x:c>
      <x:c r="B658" s="28" t="str">
        <x:v>шоколад</x:v>
      </x:c>
      <x:c r="C658" s="28" t="str">
        <x:v>Универсальные</x:v>
      </x:c>
      <x:c r="D658" s="28" t="str">
        <x:v>шоколад</x:v>
      </x:c>
      <x:c r="E658" s="28" t="str">
        <x:v>chocolate</x:v>
      </x:c>
      <x:c r="F658" s="28" t="str">
        <x:v>Какао и шоколад</x:v>
      </x:c>
      <x:c r="G658" s="28" t="str">
        <x:v>мадрасская паста карри</x:v>
      </x:c>
      <x:c r="H658" s="28" t="str">
        <x:v>Madras curry paste</x:v>
      </x:c>
      <x:c r="I658" s="28" t="str">
        <x:v>Прочее</x:v>
      </x:c>
      <x:c r="J658" s="28" t="str">
        <x:v>жареный, какаовый, фруктовый, цветочный, древесный и пряный; профиль зависит от происхождения и обжарки</x:v>
      </x:c>
      <x:c r="K658" s="28" t="str">
        <x:v>профиль зависит от конкретного продукта</x:v>
      </x:c>
      <x:c r="L658" s="28" t="str">
        <x:v>пиразины, фураны, альдегиды, эфиры, теобромин</x:v>
      </x:c>
      <x:c r="M658" s="28" t="str">
        <x:v>характерный профиль зависит от конкретного продукта</x:v>
      </x:c>
      <x:c r="N658" s="28" t="str">
        <x:v>прямое пересечение семейств не является единственным объяснением</x:v>
      </x:c>
      <x:c r="O658" s="28" t="str">
        <x:v>надежная общая ключевая молекула не подтверждена</x:v>
      </x:c>
      <x:c r="P658" s="28" t="str">
        <x:v>сенсорная комплементарность</x:v>
      </x:c>
      <x:c r="Q658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58" s="28" t="str">
        <x:v>мягкая терпкость; теобромин и кофеин усиливают горькое послевкусие</x:v>
      </x:c>
      <x:c r="S658" s="28" t="str">
        <x:v>какао-масло с частицами какао и сахаром; плавление во рту медленно высвобождает гидрофобные ароматы</x:v>
      </x:c>
      <x:c r="T65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5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«мадрасская паста карри»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58" s="28" t="str">
        <x:v>горечь и терпкость способны подавлять нежные продукты; содержит стимуляторы; аллергенные добавки возможны</x:v>
      </x:c>
      <x:c r="W658" s="28" t="str">
        <x:v>соль, ваниль или карамель</x:v>
      </x:c>
      <x:c r="X658" s="28" t="str">
        <x:v>ганаш, плитка, крем, мусс, напиток, глазурь или соус с мадрасская паста карри</x:v>
      </x:c>
      <x:c r="Y658" s="28" t="str">
        <x:v>десерты</x:v>
      </x:c>
      <x:c r="Z658" s="28" t="str">
        <x:v>Средняя</x:v>
      </x:c>
      <x:c r="AA658" s="28" t="str">
        <x:v>The Art &amp; Science of Foodpairing.pdf</x:v>
      </x:c>
      <x:c r="AB658" s="28" t="str">
        <x:v>The Art &amp; Science of Foodpairing.pdf: 62</x:v>
      </x:c>
      <x:c r="AC658" s="28" t="str">
        <x:v>Пара встречается как grid; научное объяснение сформировано по ароматическому профилю и пищевой матрице.</x:v>
      </x:c>
      <x:c r="AD658" s="28" t="n">
        <x:v>1</x:v>
      </x:c>
      <x:c r="AE658" s="28" t="n">
        <x:v>1</x:v>
      </x:c>
      <x:c r="AF658" s="28" t="n">
        <x:f>IF(Z658="Высокая",3,IF(Z658="Средняя",2,1))+AD658*2+MIN(AE658,3)</x:f>
        <x:v>5</x:v>
      </x:c>
    </x:row>
    <x:row r="659" ht="62" customHeight="1">
      <x:c r="A659" s="28" t="str">
        <x:v>NCT-0658</x:v>
      </x:c>
      <x:c r="B659" s="28" t="str">
        <x:v>шоколад</x:v>
      </x:c>
      <x:c r="C659" s="28" t="str">
        <x:v>Универсальные</x:v>
      </x:c>
      <x:c r="D659" s="28" t="str">
        <x:v>шоколад</x:v>
      </x:c>
      <x:c r="E659" s="28" t="str">
        <x:v>Шоколад | шоколад</x:v>
      </x:c>
      <x:c r="F659" s="28" t="str">
        <x:v>Какао и шоколад</x:v>
      </x:c>
      <x:c r="G659" s="28" t="str">
        <x:v>малина</x:v>
      </x:c>
      <x:c r="H659" s="28" t="str">
        <x:v>Малина | малина</x:v>
      </x:c>
      <x:c r="I659" s="28" t="str">
        <x:v>Прочее</x:v>
      </x:c>
      <x:c r="J659" s="28" t="str">
        <x:v>жареный, какаовый, фруктовый, цветочный, древесный и пряный; профиль зависит от происхождения и обжарки</x:v>
      </x:c>
      <x:c r="K659" s="28" t="str">
        <x:v>цветочный, ягодный</x:v>
      </x:c>
      <x:c r="L659" s="28" t="str">
        <x:v>пиразины, фураны, альдегиды, эфиры, теобромин</x:v>
      </x:c>
      <x:c r="M659" s="28" t="str">
        <x:v>иононы, малиновый кетон</x:v>
      </x:c>
      <x:c r="N659" s="28" t="str">
        <x:v>прямое пересечение семейств не является единственным объяснением</x:v>
      </x:c>
      <x:c r="O659" s="28" t="str">
        <x:v>надежная общая ключевая молекула не подтверждена</x:v>
      </x:c>
      <x:c r="P659" s="28" t="str">
        <x:v>сенсорная комплементарность</x:v>
      </x:c>
      <x:c r="Q659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59" s="28" t="str">
        <x:v>мягкая терпкость; теобромин и кофеин усиливают горькое послевкусие</x:v>
      </x:c>
      <x:c r="S659" s="28" t="str">
        <x:v>какао-масло с частицами какао и сахаром; плавление во рту медленно высвобождает гидрофобные ароматы</x:v>
      </x:c>
      <x:c r="T65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5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«малина» относится к группе «Прочее» и даёт цветочный, ягодный.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59" s="28" t="str">
        <x:v>горечь и терпкость способны подавлять нежные продукты; содержит стимуляторы; аллергенные добавки возможны</x:v>
      </x:c>
      <x:c r="W659" s="28" t="str">
        <x:v>соль, ваниль или карамель</x:v>
      </x:c>
      <x:c r="X659" s="28" t="str">
        <x:v>ганаш, плитка, крем, мусс, напиток, глазурь или соус с малина</x:v>
      </x:c>
      <x:c r="Y659" s="28" t="str">
        <x:v>десерты</x:v>
      </x:c>
      <x:c r="Z659" s="28" t="str">
        <x:v>Высокая</x:v>
      </x:c>
      <x:c r="AA659" s="28" t="str">
        <x:v>Таблица сочетания(1).pdf | Тезариус вкусов (Ники Сегнит)(1).pdf</x:v>
      </x:c>
      <x:c r="AB659" s="28" t="str">
        <x:v>Таблица сочетания(1).pdf: 5; Тезариус вкусов (Ники Сегнит)(1).pdf: 33, 890</x:v>
      </x:c>
      <x:c r="AC659" s="28" t="str">
        <x:v>Пара встречается как table, thesaurus; научное объяснение сформировано по ароматическому профилю и пищевой матрице.</x:v>
      </x:c>
      <x:c r="AD659" s="28" t="n">
        <x:v>2</x:v>
      </x:c>
      <x:c r="AE659" s="28" t="n">
        <x:v>3</x:v>
      </x:c>
      <x:c r="AF659" s="28" t="n">
        <x:f>IF(Z659="Высокая",3,IF(Z659="Средняя",2,1))+AD659*2+MIN(AE659,3)</x:f>
        <x:v>10</x:v>
      </x:c>
    </x:row>
    <x:row r="660" ht="62" customHeight="1">
      <x:c r="A660" s="28" t="str">
        <x:v>NCT-0659</x:v>
      </x:c>
      <x:c r="B660" s="28" t="str">
        <x:v>шоколад</x:v>
      </x:c>
      <x:c r="C660" s="28" t="str">
        <x:v>Универсальные</x:v>
      </x:c>
      <x:c r="D660" s="28" t="str">
        <x:v>шоколад</x:v>
      </x:c>
      <x:c r="E660" s="28" t="str">
        <x:v>шоколад</x:v>
      </x:c>
      <x:c r="F660" s="28" t="str">
        <x:v>Какао и шоколад</x:v>
      </x:c>
      <x:c r="G660" s="28" t="str">
        <x:v>мандарин</x:v>
      </x:c>
      <x:c r="H660" s="28" t="str">
        <x:v>Мандарин</x:v>
      </x:c>
      <x:c r="I660" s="28" t="str">
        <x:v>Прочее</x:v>
      </x:c>
      <x:c r="J660" s="28" t="str">
        <x:v>жареный, какаовый, фруктовый, цветочный, древесный и пряный; профиль зависит от происхождения и обжарки</x:v>
      </x:c>
      <x:c r="K660" s="28" t="str">
        <x:v>профиль зависит от конкретного продукта</x:v>
      </x:c>
      <x:c r="L660" s="28" t="str">
        <x:v>пиразины, фураны, альдегиды, эфиры, теобромин</x:v>
      </x:c>
      <x:c r="M660" s="28" t="str">
        <x:v>характерный профиль зависит от конкретного продукта</x:v>
      </x:c>
      <x:c r="N660" s="28" t="str">
        <x:v>прямое пересечение семейств не является единственным объяснением</x:v>
      </x:c>
      <x:c r="O660" s="28" t="str">
        <x:v>надежная общая ключевая молекула не подтверждена</x:v>
      </x:c>
      <x:c r="P660" s="28" t="str">
        <x:v>сенсорная комплементарность</x:v>
      </x:c>
      <x:c r="Q660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60" s="28" t="str">
        <x:v>мягкая терпкость; теобромин и кофеин усиливают горькое послевкусие</x:v>
      </x:c>
      <x:c r="S660" s="28" t="str">
        <x:v>какао-масло с частицами какао и сахаром; плавление во рту медленно высвобождает гидрофобные ароматы</x:v>
      </x:c>
      <x:c r="T66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6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«мандарин»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60" s="28" t="str">
        <x:v>горечь и терпкость способны подавлять нежные продукты; содержит стимуляторы; аллергенные добавки возможны</x:v>
      </x:c>
      <x:c r="W660" s="28" t="str">
        <x:v>соль, ваниль или карамель</x:v>
      </x:c>
      <x:c r="X660" s="28" t="str">
        <x:v>ганаш, плитка, крем, мусс, напиток, глазурь или соус с мандарин</x:v>
      </x:c>
      <x:c r="Y660" s="28" t="str">
        <x:v>десерты</x:v>
      </x:c>
      <x:c r="Z660" s="28" t="str">
        <x:v>Гипотеза / практическая</x:v>
      </x:c>
      <x:c r="AA660" s="28" t="str">
        <x:v>Таблица сочетания(1).pdf</x:v>
      </x:c>
      <x:c r="AB660" s="28" t="str">
        <x:v>Таблица сочетания(1).pdf: 12</x:v>
      </x:c>
      <x:c r="AC660" s="28" t="str">
        <x:v>Пара встречается как table; научное объяснение сформировано по ароматическому профилю и пищевой матрице.</x:v>
      </x:c>
      <x:c r="AD660" s="28" t="n">
        <x:v>1</x:v>
      </x:c>
      <x:c r="AE660" s="28" t="n">
        <x:v>1</x:v>
      </x:c>
      <x:c r="AF660" s="28" t="n">
        <x:f>IF(Z660="Высокая",3,IF(Z660="Средняя",2,1))+AD660*2+MIN(AE660,3)</x:f>
        <x:v>4</x:v>
      </x:c>
    </x:row>
    <x:row r="661" ht="62" customHeight="1">
      <x:c r="A661" s="28" t="str">
        <x:v>NCT-0660</x:v>
      </x:c>
      <x:c r="B661" s="28" t="str">
        <x:v>шоколад</x:v>
      </x:c>
      <x:c r="C661" s="28" t="str">
        <x:v>Универсальные</x:v>
      </x:c>
      <x:c r="D661" s="28" t="str">
        <x:v>шоколад</x:v>
      </x:c>
      <x:c r="E661" s="28" t="str">
        <x:v>chocolate</x:v>
      </x:c>
      <x:c r="F661" s="28" t="str">
        <x:v>Какао и шоколад</x:v>
      </x:c>
      <x:c r="G661" s="28" t="str">
        <x:v>морской фенхель</x:v>
      </x:c>
      <x:c r="H661" s="28" t="str">
        <x:v>sea fennel (rocksamphire)</x:v>
      </x:c>
      <x:c r="I661" s="28" t="str">
        <x:v>Прочее</x:v>
      </x:c>
      <x:c r="J661" s="28" t="str">
        <x:v>жареный, какаовый, фруктовый, цветочный, древесный и пряный; профиль зависит от происхождения и обжарки</x:v>
      </x:c>
      <x:c r="K661" s="28" t="str">
        <x:v>профиль зависит от конкретного продукта</x:v>
      </x:c>
      <x:c r="L661" s="28" t="str">
        <x:v>пиразины, фураны, альдегиды, эфиры, теобромин</x:v>
      </x:c>
      <x:c r="M661" s="28" t="str">
        <x:v>характерный профиль зависит от конкретного продукта</x:v>
      </x:c>
      <x:c r="N661" s="28" t="str">
        <x:v>прямое пересечение семейств не является единственным объяснением</x:v>
      </x:c>
      <x:c r="O661" s="28" t="str">
        <x:v>надежная общая ключевая молекула не подтверждена</x:v>
      </x:c>
      <x:c r="P661" s="28" t="str">
        <x:v>сенсорная комплементарность</x:v>
      </x:c>
      <x:c r="Q661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61" s="28" t="str">
        <x:v>мягкая терпкость; теобромин и кофеин усиливают горькое послевкусие</x:v>
      </x:c>
      <x:c r="S661" s="28" t="str">
        <x:v>какао-масло с частицами какао и сахаром; плавление во рту медленно высвобождает гидрофобные ароматы</x:v>
      </x:c>
      <x:c r="T66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6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«морской фенхель»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61" s="28" t="str">
        <x:v>горечь и терпкость способны подавлять нежные продукты; содержит стимуляторы; аллергенные добавки возможны</x:v>
      </x:c>
      <x:c r="W661" s="28" t="str">
        <x:v>соль, ваниль или карамель</x:v>
      </x:c>
      <x:c r="X661" s="28" t="str">
        <x:v>ганаш, плитка, крем, мусс, напиток, глазурь или соус с морской фенхель</x:v>
      </x:c>
      <x:c r="Y661" s="28" t="str">
        <x:v>десерты</x:v>
      </x:c>
      <x:c r="Z661" s="28" t="str">
        <x:v>Средняя</x:v>
      </x:c>
      <x:c r="AA661" s="28" t="str">
        <x:v>The Art &amp; Science of Foodpairing.pdf</x:v>
      </x:c>
      <x:c r="AB661" s="28" t="str">
        <x:v>The Art &amp; Science of Foodpairing.pdf: 62</x:v>
      </x:c>
      <x:c r="AC661" s="28" t="str">
        <x:v>Пара встречается как grid; научное объяснение сформировано по ароматическому профилю и пищевой матрице.</x:v>
      </x:c>
      <x:c r="AD661" s="28" t="n">
        <x:v>1</x:v>
      </x:c>
      <x:c r="AE661" s="28" t="n">
        <x:v>1</x:v>
      </x:c>
      <x:c r="AF661" s="28" t="n">
        <x:f>IF(Z661="Высокая",3,IF(Z661="Средняя",2,1))+AD661*2+MIN(AE661,3)</x:f>
        <x:v>5</x:v>
      </x:c>
    </x:row>
    <x:row r="662" ht="62" customHeight="1">
      <x:c r="A662" s="28" t="str">
        <x:v>NCT-0661</x:v>
      </x:c>
      <x:c r="B662" s="28" t="str">
        <x:v>шоколад</x:v>
      </x:c>
      <x:c r="C662" s="28" t="str">
        <x:v>Десерты и выпечка</x:v>
      </x:c>
      <x:c r="D662" s="28" t="str">
        <x:v>шоколад</x:v>
      </x:c>
      <x:c r="E662" s="28" t="str">
        <x:v>Шоколад | шоколад</x:v>
      </x:c>
      <x:c r="F662" s="28" t="str">
        <x:v>Какао и шоколад</x:v>
      </x:c>
      <x:c r="G662" s="28" t="str">
        <x:v>мускатный орех</x:v>
      </x:c>
      <x:c r="H662" s="28" t="str">
        <x:v>Мускатный орех | мускатный орех</x:v>
      </x:c>
      <x:c r="I662" s="28" t="str">
        <x:v>Орехи и семена</x:v>
      </x:c>
      <x:c r="J662" s="28" t="str">
        <x:v>жареный, какаовый, фруктовый, цветочный, древесный и пряный; профиль зависит от происхождения и обжарки</x:v>
      </x:c>
      <x:c r="K662" s="28" t="str">
        <x:v>камфорный, ореховый, пряный</x:v>
      </x:c>
      <x:c r="L662" s="28" t="str">
        <x:v>пиразины, фураны, альдегиды, эфиры, теобромин</x:v>
      </x:c>
      <x:c r="M662" s="28" t="str">
        <x:v>пинены, сабинен</x:v>
      </x:c>
      <x:c r="N662" s="28" t="str">
        <x:v>прямое пересечение семейств не является единственным объяснением</x:v>
      </x:c>
      <x:c r="O662" s="28" t="str">
        <x:v>надежная общая ключевая молекула не подтверждена</x:v>
      </x:c>
      <x:c r="P662" s="28" t="str">
        <x:v>жареная химия и реакции Майяра</x:v>
      </x:c>
      <x:c r="Q662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62" s="28" t="str">
        <x:v>мягкая терпкость; теобромин и кофеин усиливают горькое послевкусие</x:v>
      </x:c>
      <x:c r="S662" s="28" t="str">
        <x:v>какао-масло с частицами какао и сахаром; плавление во рту медленно высвобождает гидрофобные ароматы</x:v>
      </x:c>
      <x:c r="T66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6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«мускатный орех» относится к группе «Орехи и семена» и даёт камфорный, ореховый, пряный.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62" s="28" t="str">
        <x:v>горечь и терпкость способны подавлять нежные продукты; содержит стимуляторы; аллергенные добавки возможны</x:v>
      </x:c>
      <x:c r="W662" s="28" t="str">
        <x:v>соль, ваниль или карамель</x:v>
      </x:c>
      <x:c r="X662" s="28" t="str">
        <x:v>ганаш, плитка, крем, мусс, напиток, глазурь или соус с мускатный орех</x:v>
      </x:c>
      <x:c r="Y662" s="28" t="str">
        <x:v>десерты</x:v>
      </x:c>
      <x:c r="Z662" s="28" t="str">
        <x:v>Средняя</x:v>
      </x:c>
      <x:c r="AA662" s="28" t="str">
        <x:v>Тезариус вкусов (Ники Сегнит)(1).pdf</x:v>
      </x:c>
      <x:c r="AB662" s="28" t="str">
        <x:v>Тезариус вкусов (Ники Сегнит)(1).pdf: 34, 592</x:v>
      </x:c>
      <x:c r="AC662" s="28" t="str">
        <x:v>Пара встречается как thesaurus; научное объяснение сформировано по ароматическому профилю и пищевой матрице.</x:v>
      </x:c>
      <x:c r="AD662" s="28" t="n">
        <x:v>1</x:v>
      </x:c>
      <x:c r="AE662" s="28" t="n">
        <x:v>2</x:v>
      </x:c>
      <x:c r="AF662" s="28" t="n">
        <x:f>IF(Z662="Высокая",3,IF(Z662="Средняя",2,1))+AD662*2+MIN(AE662,3)</x:f>
        <x:v>6</x:v>
      </x:c>
    </x:row>
    <x:row r="663" ht="62" customHeight="1">
      <x:c r="A663" s="28" t="str">
        <x:v>NCT-0662</x:v>
      </x:c>
      <x:c r="B663" s="28" t="str">
        <x:v>шоколад</x:v>
      </x:c>
      <x:c r="C663" s="28" t="str">
        <x:v>Универсальные</x:v>
      </x:c>
      <x:c r="D663" s="28" t="str">
        <x:v>шоколад</x:v>
      </x:c>
      <x:c r="E663" s="28" t="str">
        <x:v>Шоколад | шоколад</x:v>
      </x:c>
      <x:c r="F663" s="28" t="str">
        <x:v>Какао и шоколад</x:v>
      </x:c>
      <x:c r="G663" s="28" t="str">
        <x:v>мята</x:v>
      </x:c>
      <x:c r="H663" s="28" t="str">
        <x:v>Мята | мята</x:v>
      </x:c>
      <x:c r="I663" s="28" t="str">
        <x:v>Травы, цветы и листья</x:v>
      </x:c>
      <x:c r="J663" s="28" t="str">
        <x:v>жареный, какаовый, фруктовый, цветочный, древесный и пряный; профиль зависит от происхождения и обжарки</x:v>
      </x:c>
      <x:c r="K663" s="28" t="str">
        <x:v>зелёный, холодящий</x:v>
      </x:c>
      <x:c r="L663" s="28" t="str">
        <x:v>пиразины, фураны, альдегиды, эфиры, теобромин</x:v>
      </x:c>
      <x:c r="M663" s="28" t="str">
        <x:v>ментол</x:v>
      </x:c>
      <x:c r="N663" s="28" t="str">
        <x:v>прямое пересечение семейств не является единственным объяснением</x:v>
      </x:c>
      <x:c r="O663" s="28" t="str">
        <x:v>надежная общая ключевая молекула не подтверждена</x:v>
      </x:c>
      <x:c r="P663" s="28" t="str">
        <x:v>сенсорная комплементарность</x:v>
      </x:c>
      <x:c r="Q663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63" s="28" t="str">
        <x:v>мягкая терпкость; теобромин и кофеин усиливают горькое послевкусие</x:v>
      </x:c>
      <x:c r="S663" s="28" t="str">
        <x:v>какао-масло с частицами какао и сахаром; плавление во рту медленно высвобождает гидрофобные ароматы</x:v>
      </x:c>
      <x:c r="T66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6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«мята» относится к группе «Травы, цветы и листья» и даёт зелёный, холодящий.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63" s="28" t="str">
        <x:v>горечь и терпкость способны подавлять нежные продукты; содержит стимуляторы; аллергенные добавки возможны</x:v>
      </x:c>
      <x:c r="W663" s="28" t="str">
        <x:v>цитрус, мёд или сливки</x:v>
      </x:c>
      <x:c r="X663" s="28" t="str">
        <x:v>ганаш, плитка, крем, мусс, напиток, глазурь или соус с мята</x:v>
      </x:c>
      <x:c r="Y663" s="28" t="str">
        <x:v>десерты</x:v>
      </x:c>
      <x:c r="Z663" s="28" t="str">
        <x:v>Высокая</x:v>
      </x:c>
      <x:c r="AA663" s="28" t="str">
        <x:v>Таблица сочетания(1).pdf | Тезариус вкусов (Ники Сегнит)(1).pdf</x:v>
      </x:c>
      <x:c r="AB663" s="28" t="str">
        <x:v>Таблица сочетания(1).pdf: 5; Тезариус вкусов (Ники Сегнит)(1).pdf: 35, 871</x:v>
      </x:c>
      <x:c r="AC663" s="28" t="str">
        <x:v>Пара встречается как table, thesaurus; научное объяснение сформировано по ароматическому профилю и пищевой матрице.</x:v>
      </x:c>
      <x:c r="AD663" s="28" t="n">
        <x:v>2</x:v>
      </x:c>
      <x:c r="AE663" s="28" t="n">
        <x:v>3</x:v>
      </x:c>
      <x:c r="AF663" s="28" t="n">
        <x:f>IF(Z663="Высокая",3,IF(Z663="Средняя",2,1))+AD663*2+MIN(AE663,3)</x:f>
        <x:v>10</x:v>
      </x:c>
    </x:row>
    <x:row r="664" ht="62" customHeight="1">
      <x:c r="A664" s="28" t="str">
        <x:v>NCT-0663</x:v>
      </x:c>
      <x:c r="B664" s="28" t="str">
        <x:v>шоколад</x:v>
      </x:c>
      <x:c r="C664" s="28" t="str">
        <x:v>Десерты и выпечка</x:v>
      </x:c>
      <x:c r="D664" s="28" t="str">
        <x:v>шоколад</x:v>
      </x:c>
      <x:c r="E664" s="28" t="str">
        <x:v>Шоколад | шоколад</x:v>
      </x:c>
      <x:c r="F664" s="28" t="str">
        <x:v>Какао и шоколад</x:v>
      </x:c>
      <x:c r="G664" s="28" t="str">
        <x:v>мёд</x:v>
      </x:c>
      <x:c r="H664" s="28" t="str">
        <x:v>Мёд | мёд</x:v>
      </x:c>
      <x:c r="I664" s="28" t="str">
        <x:v>Выпечка, сахара и десерты</x:v>
      </x:c>
      <x:c r="J664" s="28" t="str">
        <x:v>жареный, какаовый, фруктовый, цветочный, древесный и пряный; профиль зависит от происхождения и обжарки</x:v>
      </x:c>
      <x:c r="K664" s="28" t="str">
        <x:v>медовый, цветочный</x:v>
      </x:c>
      <x:c r="L664" s="28" t="str">
        <x:v>пиразины, фураны, альдегиды, эфиры, теобромин</x:v>
      </x:c>
      <x:c r="M664" s="28" t="str">
        <x:v>норизопреноиды, фенилуксусная кислота</x:v>
      </x:c>
      <x:c r="N664" s="28" t="str">
        <x:v>прямое пересечение семейств не является единственным объяснением</x:v>
      </x:c>
      <x:c r="O664" s="28" t="str">
        <x:v>надежная общая ключевая молекула не подтверждена</x:v>
      </x:c>
      <x:c r="P664" s="28" t="str">
        <x:v>жареная химия и реакции Майяра</x:v>
      </x:c>
      <x:c r="Q664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64" s="28" t="str">
        <x:v>мягкая терпкость; теобромин и кофеин усиливают горькое послевкусие</x:v>
      </x:c>
      <x:c r="S664" s="28" t="str">
        <x:v>какао-масло с частицами какао и сахаром; плавление во рту медленно высвобождает гидрофобные ароматы</x:v>
      </x:c>
      <x:c r="T66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6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«мёд» относится к группе «Выпечка, сахара и десерты» и даёт медовый, цветочный.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64" s="28" t="str">
        <x:v>горечь и терпкость способны подавлять нежные продукты; содержит стимуляторы; аллергенные добавки возможны</x:v>
      </x:c>
      <x:c r="W664" s="28" t="str">
        <x:v>соль, ваниль или карамель</x:v>
      </x:c>
      <x:c r="X664" s="28" t="str">
        <x:v>ганаш, плитка, крем, мусс, напиток, глазурь или соус с мёд</x:v>
      </x:c>
      <x:c r="Y664" s="28" t="str">
        <x:v>десерты</x:v>
      </x:c>
      <x:c r="Z664" s="28" t="str">
        <x:v>Гипотеза / практическая</x:v>
      </x:c>
      <x:c r="AA664" s="28" t="str">
        <x:v>Таблица сочетания(1).pdf</x:v>
      </x:c>
      <x:c r="AB664" s="28" t="str">
        <x:v>Таблица сочетания(1).pdf: 5, 9</x:v>
      </x:c>
      <x:c r="AC664" s="28" t="str">
        <x:v>Пара встречается как table; научное объяснение сформировано по ароматическому профилю и пищевой матрице.</x:v>
      </x:c>
      <x:c r="AD664" s="28" t="n">
        <x:v>1</x:v>
      </x:c>
      <x:c r="AE664" s="28" t="n">
        <x:v>2</x:v>
      </x:c>
      <x:c r="AF664" s="28" t="n">
        <x:f>IF(Z664="Высокая",3,IF(Z664="Средняя",2,1))+AD664*2+MIN(AE664,3)</x:f>
        <x:v>5</x:v>
      </x:c>
    </x:row>
    <x:row r="665" ht="62" customHeight="1">
      <x:c r="A665" s="28" t="str">
        <x:v>NCT-0664</x:v>
      </x:c>
      <x:c r="B665" s="28" t="str">
        <x:v>шоколад</x:v>
      </x:c>
      <x:c r="C665" s="28" t="str">
        <x:v>Универсальные</x:v>
      </x:c>
      <x:c r="D665" s="28" t="str">
        <x:v>шоколад</x:v>
      </x:c>
      <x:c r="E665" s="28" t="str">
        <x:v>тёмный шоколад</x:v>
      </x:c>
      <x:c r="F665" s="28" t="str">
        <x:v>Какао и шоколад</x:v>
      </x:c>
      <x:c r="G665" s="28" t="str">
        <x:v>нектарин</x:v>
      </x:c>
      <x:c r="H665" s="28" t="str">
        <x:v>Нектарин</x:v>
      </x:c>
      <x:c r="I665" s="28" t="str">
        <x:v>Прочее</x:v>
      </x:c>
      <x:c r="J665" s="28" t="str">
        <x:v>жареный, какаовый, фруктовый, цветочный, древесный и пряный; профиль зависит от происхождения и обжарки</x:v>
      </x:c>
      <x:c r="K665" s="28" t="str">
        <x:v>профиль зависит от конкретного продукта</x:v>
      </x:c>
      <x:c r="L665" s="28" t="str">
        <x:v>пиразины, фураны, альдегиды, эфиры, теобромин</x:v>
      </x:c>
      <x:c r="M665" s="28" t="str">
        <x:v>характерный профиль зависит от конкретного продукта</x:v>
      </x:c>
      <x:c r="N665" s="28" t="str">
        <x:v>прямое пересечение семейств не является единственным объяснением</x:v>
      </x:c>
      <x:c r="O665" s="28" t="str">
        <x:v>надежная общая ключевая молекула не подтверждена</x:v>
      </x:c>
      <x:c r="P665" s="28" t="str">
        <x:v>сенсорная комплементарность</x:v>
      </x:c>
      <x:c r="Q665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65" s="28" t="str">
        <x:v>мягкая терпкость; теобромин и кофеин усиливают горькое послевкусие</x:v>
      </x:c>
      <x:c r="S665" s="28" t="str">
        <x:v>какао-масло с частицами какао и сахаром; плавление во рту медленно высвобождает гидрофобные ароматы</x:v>
      </x:c>
      <x:c r="T66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6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«нектарин»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65" s="28" t="str">
        <x:v>горечь и терпкость способны подавлять нежные продукты; содержит стимуляторы; аллергенные добавки возможны</x:v>
      </x:c>
      <x:c r="W665" s="28" t="str">
        <x:v>соль, ваниль или карамель</x:v>
      </x:c>
      <x:c r="X665" s="28" t="str">
        <x:v>ганаш, плитка, крем, мусс, напиток, глазурь или соус с нектарин</x:v>
      </x:c>
      <x:c r="Y665" s="28" t="str">
        <x:v>десерты</x:v>
      </x:c>
      <x:c r="Z665" s="28" t="str">
        <x:v>Гипотеза / практическая</x:v>
      </x:c>
      <x:c r="AA665" s="28" t="str">
        <x:v>Таблица сочетания(1).pdf</x:v>
      </x:c>
      <x:c r="AB665" s="28" t="str">
        <x:v>Таблица сочетания(1).pdf: 14</x:v>
      </x:c>
      <x:c r="AC665" s="28" t="str">
        <x:v>Пара встречается как table; научное объяснение сформировано по ароматическому профилю и пищевой матрице.</x:v>
      </x:c>
      <x:c r="AD665" s="28" t="n">
        <x:v>1</x:v>
      </x:c>
      <x:c r="AE665" s="28" t="n">
        <x:v>1</x:v>
      </x:c>
      <x:c r="AF665" s="28" t="n">
        <x:f>IF(Z665="Высокая",3,IF(Z665="Средняя",2,1))+AD665*2+MIN(AE665,3)</x:f>
        <x:v>4</x:v>
      </x:c>
    </x:row>
    <x:row r="666" ht="62" customHeight="1">
      <x:c r="A666" s="28" t="str">
        <x:v>NCT-0665</x:v>
      </x:c>
      <x:c r="B666" s="28" t="str">
        <x:v>шоколад</x:v>
      </x:c>
      <x:c r="C666" s="28" t="str">
        <x:v>Универсальные</x:v>
      </x:c>
      <x:c r="D666" s="28" t="str">
        <x:v>шоколад</x:v>
      </x:c>
      <x:c r="E666" s="28" t="str">
        <x:v>chocolate | dark chocolate</x:v>
      </x:c>
      <x:c r="F666" s="28" t="str">
        <x:v>Какао и шоколад</x:v>
      </x:c>
      <x:c r="G666" s="28" t="str">
        <x:v>оливковое масло</x:v>
      </x:c>
      <x:c r="H666" s="28" t="str">
        <x:v>olive oil</x:v>
      </x:c>
      <x:c r="I666" s="28" t="str">
        <x:v>Масла и жиры</x:v>
      </x:c>
      <x:c r="J666" s="28" t="str">
        <x:v>жареный, какаовый, фруктовый, цветочный, древесный и пряный; профиль зависит от происхождения и обжарки</x:v>
      </x:c>
      <x:c r="K666" s="28" t="str">
        <x:v>жирный и мягкий</x:v>
      </x:c>
      <x:c r="L666" s="28" t="str">
        <x:v>пиразины, фураны, альдегиды, эфиры, теобромин</x:v>
      </x:c>
      <x:c r="M666" s="28" t="str">
        <x:v>альдегиды, лактоны</x:v>
      </x:c>
      <x:c r="N666" s="28" t="str">
        <x:v>фруктовый</x:v>
      </x:c>
      <x:c r="O666" s="28" t="str">
        <x:v>альдегиды</x:v>
      </x:c>
      <x:c r="P666" s="28" t="str">
        <x:v>общие ароматические соединения, пересечение ароматических семейств</x:v>
      </x:c>
      <x:c r="Q666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66" s="28" t="str">
        <x:v>мягкая терпкость; теобромин и кофеин усиливают горькое послевкусие</x:v>
      </x:c>
      <x:c r="S666" s="28" t="str">
        <x:v>какао-масло с частицами какао и сахаром; плавление во рту медленно высвобождает гидрофобные ароматы</x:v>
      </x:c>
      <x:c r="T66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6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«оливковое масло» относится к группе «Масла и жиры» и даёт жирный и мягкий. Молекулярный мост создают альдегиды Какао-масло медленно высвобождает липофильные ароматы, а сахар и соль изменяют воспринимаемую горечь. Итог: фруктовый; альдегиды.</x:v>
      </x:c>
      <x:c r="V666" s="28" t="str">
        <x:v>горечь и терпкость способны подавлять нежные продукты; содержит стимуляторы; аллергенные добавки возможны</x:v>
      </x:c>
      <x:c r="W666" s="28" t="str">
        <x:v>соль, ваниль или карамель</x:v>
      </x:c>
      <x:c r="X666" s="28" t="str">
        <x:v>ганаш, плитка, крем, мусс, напиток, глазурь или соус с оливковое масло</x:v>
      </x:c>
      <x:c r="Y666" s="28" t="str">
        <x:v>десерты</x:v>
      </x:c>
      <x:c r="Z666" s="28" t="str">
        <x:v>Высокая</x:v>
      </x:c>
      <x:c r="AA666" s="28" t="str">
        <x:v>The Art &amp; Science of Foodpairing.pdf</x:v>
      </x:c>
      <x:c r="AB666" s="28" t="str">
        <x:v>The Art &amp; Science of Foodpairing.pdf: 171, 172</x:v>
      </x:c>
      <x:c r="AC666" s="28" t="str">
        <x:v>Пара встречается как grid, potential; научное объяснение сформировано по ароматическому профилю и пищевой матрице.</x:v>
      </x:c>
      <x:c r="AD666" s="28" t="n">
        <x:v>1</x:v>
      </x:c>
      <x:c r="AE666" s="28" t="n">
        <x:v>2</x:v>
      </x:c>
      <x:c r="AF666" s="28" t="n">
        <x:f>IF(Z666="Высокая",3,IF(Z666="Средняя",2,1))+AD666*2+MIN(AE666,3)</x:f>
        <x:v>7</x:v>
      </x:c>
    </x:row>
    <x:row r="667" ht="62" customHeight="1">
      <x:c r="A667" s="28" t="str">
        <x:v>NCT-0666</x:v>
      </x:c>
      <x:c r="B667" s="28" t="str">
        <x:v>шоколад</x:v>
      </x:c>
      <x:c r="C667" s="28" t="str">
        <x:v>Универсальные</x:v>
      </x:c>
      <x:c r="D667" s="28" t="str">
        <x:v>шоколад</x:v>
      </x:c>
      <x:c r="E667" s="28" t="str">
        <x:v>chocolate</x:v>
      </x:c>
      <x:c r="F667" s="28" t="str">
        <x:v>Какао и шоколад</x:v>
      </x:c>
      <x:c r="G667" s="28" t="str">
        <x:v>оливковое масло арбекина</x:v>
      </x:c>
      <x:c r="H667" s="28" t="str">
        <x:v>Arbequina olive oil</x:v>
      </x:c>
      <x:c r="I667" s="28" t="str">
        <x:v>Масла и жиры</x:v>
      </x:c>
      <x:c r="J667" s="28" t="str">
        <x:v>жареный, какаовый, фруктовый, цветочный, древесный и пряный; профиль зависит от происхождения и обжарки</x:v>
      </x:c>
      <x:c r="K667" s="28" t="str">
        <x:v>жирный и мягкий</x:v>
      </x:c>
      <x:c r="L667" s="28" t="str">
        <x:v>пиразины, фураны, альдегиды, эфиры, теобромин</x:v>
      </x:c>
      <x:c r="M667" s="28" t="str">
        <x:v>альдегиды, лактоны</x:v>
      </x:c>
      <x:c r="N667" s="28" t="str">
        <x:v>фруктовый</x:v>
      </x:c>
      <x:c r="O667" s="28" t="str">
        <x:v>альдегиды</x:v>
      </x:c>
      <x:c r="P667" s="28" t="str">
        <x:v>общие ароматические соединения, пересечение ароматических семейств</x:v>
      </x:c>
      <x:c r="Q667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67" s="28" t="str">
        <x:v>мягкая терпкость; теобромин и кофеин усиливают горькое послевкусие</x:v>
      </x:c>
      <x:c r="S667" s="28" t="str">
        <x:v>какао-масло с частицами какао и сахаром; плавление во рту медленно высвобождает гидрофобные ароматы</x:v>
      </x:c>
      <x:c r="T66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6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«оливковое масло арбекина» относится к группе «Масла и жиры» и даёт жирный и мягкий. Молекулярный мост создают альдегиды Какао-масло медленно высвобождает липофильные ароматы, а сахар и соль изменяют воспринимаемую горечь. Итог: фруктовый; альдегиды.</x:v>
      </x:c>
      <x:c r="V667" s="28" t="str">
        <x:v>горечь и терпкость способны подавлять нежные продукты; содержит стимуляторы; аллергенные добавки возможны</x:v>
      </x:c>
      <x:c r="W667" s="28" t="str">
        <x:v>соль, ваниль или карамель</x:v>
      </x:c>
      <x:c r="X667" s="28" t="str">
        <x:v>ганаш, плитка, крем, мусс, напиток, глазурь или соус с оливковое масло арбекина</x:v>
      </x:c>
      <x:c r="Y667" s="28" t="str">
        <x:v>десерты</x:v>
      </x:c>
      <x:c r="Z667" s="28" t="str">
        <x:v>Средняя</x:v>
      </x:c>
      <x:c r="AA667" s="28" t="str">
        <x:v>The Art &amp; Science of Foodpairing.pdf</x:v>
      </x:c>
      <x:c r="AB667" s="28" t="str">
        <x:v>The Art &amp; Science of Foodpairing.pdf: 62</x:v>
      </x:c>
      <x:c r="AC667" s="28" t="str">
        <x:v>Пара встречается как grid; научное объяснение сформировано по ароматическому профилю и пищевой матрице.</x:v>
      </x:c>
      <x:c r="AD667" s="28" t="n">
        <x:v>1</x:v>
      </x:c>
      <x:c r="AE667" s="28" t="n">
        <x:v>1</x:v>
      </x:c>
      <x:c r="AF667" s="28" t="n">
        <x:f>IF(Z667="Высокая",3,IF(Z667="Средняя",2,1))+AD667*2+MIN(AE667,3)</x:f>
        <x:v>5</x:v>
      </x:c>
    </x:row>
    <x:row r="668" ht="62" customHeight="1">
      <x:c r="A668" s="28" t="str">
        <x:v>NCT-0667</x:v>
      </x:c>
      <x:c r="B668" s="28" t="str">
        <x:v>шоколад</x:v>
      </x:c>
      <x:c r="C668" s="28" t="str">
        <x:v>Универсальные</x:v>
      </x:c>
      <x:c r="D668" s="28" t="str">
        <x:v>шоколад</x:v>
      </x:c>
      <x:c r="E668" s="28" t="str">
        <x:v>chocolate</x:v>
      </x:c>
      <x:c r="F668" s="28" t="str">
        <x:v>Какао и шоколад</x:v>
      </x:c>
      <x:c r="G668" s="28" t="str">
        <x:v>пак-чой</x:v>
      </x:c>
      <x:c r="H668" s="28" t="str">
        <x:v>pakchoi</x:v>
      </x:c>
      <x:c r="I668" s="28" t="str">
        <x:v>Прочее</x:v>
      </x:c>
      <x:c r="J668" s="28" t="str">
        <x:v>жареный, какаовый, фруктовый, цветочный, древесный и пряный; профиль зависит от происхождения и обжарки</x:v>
      </x:c>
      <x:c r="K668" s="28" t="str">
        <x:v>профиль зависит от конкретного продукта</x:v>
      </x:c>
      <x:c r="L668" s="28" t="str">
        <x:v>пиразины, фураны, альдегиды, эфиры, теобромин</x:v>
      </x:c>
      <x:c r="M668" s="28" t="str">
        <x:v>характерный профиль зависит от конкретного продукта</x:v>
      </x:c>
      <x:c r="N668" s="28" t="str">
        <x:v>прямое пересечение семейств не является единственным объяснением</x:v>
      </x:c>
      <x:c r="O668" s="28" t="str">
        <x:v>надежная общая ключевая молекула не подтверждена</x:v>
      </x:c>
      <x:c r="P668" s="28" t="str">
        <x:v>сенсорная комплементарность</x:v>
      </x:c>
      <x:c r="Q668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68" s="28" t="str">
        <x:v>мягкая терпкость; теобромин и кофеин усиливают горькое послевкусие</x:v>
      </x:c>
      <x:c r="S668" s="28" t="str">
        <x:v>какао-масло с частицами какао и сахаром; плавление во рту медленно высвобождает гидрофобные ароматы</x:v>
      </x:c>
      <x:c r="T66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6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«пак-чой»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68" s="28" t="str">
        <x:v>горечь и терпкость способны подавлять нежные продукты; содержит стимуляторы; аллергенные добавки возможны</x:v>
      </x:c>
      <x:c r="W668" s="28" t="str">
        <x:v>соль, ваниль или карамель</x:v>
      </x:c>
      <x:c r="X668" s="28" t="str">
        <x:v>ганаш, плитка, крем, мусс, напиток, глазурь или соус с пак-чой</x:v>
      </x:c>
      <x:c r="Y668" s="28" t="str">
        <x:v>десерты</x:v>
      </x:c>
      <x:c r="Z668" s="28" t="str">
        <x:v>Средняя</x:v>
      </x:c>
      <x:c r="AA668" s="28" t="str">
        <x:v>The Art &amp; Science of Foodpairing.pdf</x:v>
      </x:c>
      <x:c r="AB668" s="28" t="str">
        <x:v>The Art &amp; Science of Foodpairing.pdf: 62</x:v>
      </x:c>
      <x:c r="AC668" s="28" t="str">
        <x:v>Пара встречается как grid; научное объяснение сформировано по ароматическому профилю и пищевой матрице.</x:v>
      </x:c>
      <x:c r="AD668" s="28" t="n">
        <x:v>1</x:v>
      </x:c>
      <x:c r="AE668" s="28" t="n">
        <x:v>1</x:v>
      </x:c>
      <x:c r="AF668" s="28" t="n">
        <x:f>IF(Z668="Высокая",3,IF(Z668="Средняя",2,1))+AD668*2+MIN(AE668,3)</x:f>
        <x:v>5</x:v>
      </x:c>
    </x:row>
    <x:row r="669" ht="62" customHeight="1">
      <x:c r="A669" s="28" t="str">
        <x:v>NCT-0668</x:v>
      </x:c>
      <x:c r="B669" s="28" t="str">
        <x:v>шоколад</x:v>
      </x:c>
      <x:c r="C669" s="28" t="str">
        <x:v>Десерты и выпечка</x:v>
      </x:c>
      <x:c r="D669" s="28" t="str">
        <x:v>шоколад</x:v>
      </x:c>
      <x:c r="E669" s="28" t="str">
        <x:v>chocolate | шоколад</x:v>
      </x:c>
      <x:c r="F669" s="28" t="str">
        <x:v>Какао и шоколад</x:v>
      </x:c>
      <x:c r="G669" s="28" t="str">
        <x:v>персик</x:v>
      </x:c>
      <x:c r="H669" s="28" t="str">
        <x:v>peach | Персик</x:v>
      </x:c>
      <x:c r="I669" s="28" t="str">
        <x:v>Фрукты и ягоды</x:v>
      </x:c>
      <x:c r="J669" s="28" t="str">
        <x:v>жареный, какаовый, фруктовый, цветочный, древесный и пряный; профиль зависит от происхождения и обжарки</x:v>
      </x:c>
      <x:c r="K669" s="28" t="str">
        <x:v>лактонный, фруктовый, цветочный</x:v>
      </x:c>
      <x:c r="L669" s="28" t="str">
        <x:v>пиразины, фураны, альдегиды, эфиры, теобромин</x:v>
      </x:c>
      <x:c r="M669" s="28" t="str">
        <x:v>лактоны, линалоол</x:v>
      </x:c>
      <x:c r="N669" s="28" t="str">
        <x:v>фруктовый</x:v>
      </x:c>
      <x:c r="O669" s="28" t="str">
        <x:v>надежная общая ключевая молекула не подтверждена</x:v>
      </x:c>
      <x:c r="P669" s="28" t="str">
        <x:v>пересечение ароматических семейств, контраст кислоты и жирной/горькой матрицы</x:v>
      </x:c>
      <x:c r="Q669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69" s="28" t="str">
        <x:v>мягкая терпкость; теобромин и кофеин усиливают горькое послевкусие</x:v>
      </x:c>
      <x:c r="S669" s="28" t="str">
        <x:v>какао-масло с частицами какао и сахаром; плавление во рту медленно высвобождает гидрофобные ароматы Водная фруктовая фаза требует эмульсии или мелкого измельчения, если орех или шоколад вводится как паста.</x:v>
      </x:c>
      <x:c r="T66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6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«персик» относится к группе «Фрукты и ягоды» и даёт лактонный, фруктовый, цветочный. Профили пересекаются в семействах: фруктовый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механизм не следует сводить к одной общей молекуле.</x:v>
      </x:c>
      <x:c r="V669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W669" s="28" t="str">
        <x:v>ваниль, цитрус или молочный жир</x:v>
      </x:c>
      <x:c r="X669" s="28" t="str">
        <x:v>ганаш, плитка, крем, мусс, напиток, глазурь или соус с персик</x:v>
      </x:c>
      <x:c r="Y669" s="28" t="str">
        <x:v>десерты</x:v>
      </x:c>
      <x:c r="Z669" s="28" t="str">
        <x:v>Высокая</x:v>
      </x:c>
      <x:c r="AA669" s="28" t="str">
        <x:v>The Art &amp; Science of Foodpairing.pdf | Таблица сочетания(1).pdf</x:v>
      </x:c>
      <x:c r="AB669" s="28" t="str">
        <x:v>The Art &amp; Science of Foodpairing.pdf: 62; Таблица сочетания(1).pdf: 15</x:v>
      </x:c>
      <x:c r="AC669" s="28" t="str">
        <x:v>Пара встречается как grid, table; научное объяснение сформировано по ароматическому профилю и пищевой матрице.</x:v>
      </x:c>
      <x:c r="AD669" s="28" t="n">
        <x:v>2</x:v>
      </x:c>
      <x:c r="AE669" s="28" t="n">
        <x:v>2</x:v>
      </x:c>
      <x:c r="AF669" s="28" t="n">
        <x:f>IF(Z669="Высокая",3,IF(Z669="Средняя",2,1))+AD669*2+MIN(AE669,3)</x:f>
        <x:v>9</x:v>
      </x:c>
    </x:row>
    <x:row r="670" ht="62" customHeight="1">
      <x:c r="A670" s="28" t="str">
        <x:v>NCT-0669</x:v>
      </x:c>
      <x:c r="B670" s="28" t="str">
        <x:v>шоколад</x:v>
      </x:c>
      <x:c r="C670" s="28" t="str">
        <x:v>Напитки</x:v>
      </x:c>
      <x:c r="D670" s="28" t="str">
        <x:v>шоколад</x:v>
      </x:c>
      <x:c r="E670" s="28" t="str">
        <x:v>chocolate</x:v>
      </x:c>
      <x:c r="F670" s="28" t="str">
        <x:v>Какао и шоколад</x:v>
      </x:c>
      <x:c r="G670" s="28" t="str">
        <x:v>портвейн</x:v>
      </x:c>
      <x:c r="H670" s="28" t="str">
        <x:v>port</x:v>
      </x:c>
      <x:c r="I670" s="28" t="str">
        <x:v>Алкогольные напитки</x:v>
      </x:c>
      <x:c r="J670" s="28" t="str">
        <x:v>жареный, какаовый, фруктовый, цветочный, древесный и пряный; профиль зависит от происхождения и обжарки</x:v>
      </x:c>
      <x:c r="K670" s="28" t="str">
        <x:v>спиртовой, фруктовый или древесный</x:v>
      </x:c>
      <x:c r="L670" s="28" t="str">
        <x:v>пиразины, фураны, альдегиды, эфиры, теобромин</x:v>
      </x:c>
      <x:c r="M670" s="28" t="str">
        <x:v>альдегиды, эфиры</x:v>
      </x:c>
      <x:c r="N670" s="28" t="str">
        <x:v>древесный, фруктовый</x:v>
      </x:c>
      <x:c r="O670" s="28" t="str">
        <x:v>альдегиды, эфиры</x:v>
      </x:c>
      <x:c r="P670" s="28" t="str">
        <x:v>общие ароматические соединения, пересечение ароматических семейств</x:v>
      </x:c>
      <x:c r="Q670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70" s="28" t="str">
        <x:v>мягкая терпкость; теобромин и кофеин усиливают горькое послевкусие</x:v>
      </x:c>
      <x:c r="S670" s="28" t="str">
        <x:v>какао-масло с частицами какао и сахаром; плавление во рту медленно высвобождает гидрофобные ароматы Этанол эффективно извлекает терпены, фенолы и жареные молекулы; время контакта нужно ограничивать.</x:v>
      </x:c>
      <x:c r="T67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7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«портвейн» относится к группе «Алкогольные напитки» и даёт спиртовой, фруктовый или древесный. Молекулярный мост создают альдегиды, эфиры Какао-масло медленно высвобождает липофильные ароматы, а сахар и соль изменяют воспринимаемую горечь. Итог: древесный, фруктовый; альдегиды, эфиры.</x:v>
      </x:c>
      <x:c r="V670" s="28" t="str">
        <x:v>горечь и терпкость способны подавлять нежные продукты; содержит стимуляторы; аллергенные добавки возможны</x:v>
      </x:c>
      <x:c r="W670" s="28" t="str">
        <x:v>соль, ваниль или карамель</x:v>
      </x:c>
      <x:c r="X670" s="28" t="str">
        <x:v>ганаш, плитка, крем, мусс, напиток, глазурь или соус с портвейн</x:v>
      </x:c>
      <x:c r="Y670" s="28" t="str">
        <x:v>напитки, десерты</x:v>
      </x:c>
      <x:c r="Z670" s="28" t="str">
        <x:v>Средняя</x:v>
      </x:c>
      <x:c r="AA670" s="28" t="str">
        <x:v>The Art &amp; Science of Foodpairing.pdf</x:v>
      </x:c>
      <x:c r="AB670" s="28" t="str">
        <x:v>The Art &amp; Science of Foodpairing.pdf: 62</x:v>
      </x:c>
      <x:c r="AC670" s="28" t="str">
        <x:v>Пара встречается как grid; научное объяснение сформировано по ароматическому профилю и пищевой матрице.</x:v>
      </x:c>
      <x:c r="AD670" s="28" t="n">
        <x:v>1</x:v>
      </x:c>
      <x:c r="AE670" s="28" t="n">
        <x:v>1</x:v>
      </x:c>
      <x:c r="AF670" s="28" t="n">
        <x:f>IF(Z670="Высокая",3,IF(Z670="Средняя",2,1))+AD670*2+MIN(AE670,3)</x:f>
        <x:v>5</x:v>
      </x:c>
    </x:row>
    <x:row r="671" ht="62" customHeight="1">
      <x:c r="A671" s="28" t="str">
        <x:v>NCT-0670</x:v>
      </x:c>
      <x:c r="B671" s="28" t="str">
        <x:v>шоколад</x:v>
      </x:c>
      <x:c r="C671" s="28" t="str">
        <x:v>Универсальные</x:v>
      </x:c>
      <x:c r="D671" s="28" t="str">
        <x:v>шоколад</x:v>
      </x:c>
      <x:c r="E671" s="28" t="str">
        <x:v>chocolate</x:v>
      </x:c>
      <x:c r="F671" s="28" t="str">
        <x:v>Какао и шоколад</x:v>
      </x:c>
      <x:c r="G671" s="28" t="str">
        <x:v>пулькоги</x:v>
      </x:c>
      <x:c r="H671" s="28" t="str">
        <x:v>bulgogi</x:v>
      </x:c>
      <x:c r="I671" s="28" t="str">
        <x:v>Прочее</x:v>
      </x:c>
      <x:c r="J671" s="28" t="str">
        <x:v>жареный, какаовый, фруктовый, цветочный, древесный и пряный; профиль зависит от происхождения и обжарки</x:v>
      </x:c>
      <x:c r="K671" s="28" t="str">
        <x:v>профиль зависит от конкретного продукта</x:v>
      </x:c>
      <x:c r="L671" s="28" t="str">
        <x:v>пиразины, фураны, альдегиды, эфиры, теобромин</x:v>
      </x:c>
      <x:c r="M671" s="28" t="str">
        <x:v>характерный профиль зависит от конкретного продукта</x:v>
      </x:c>
      <x:c r="N671" s="28" t="str">
        <x:v>прямое пересечение семейств не является единственным объяснением</x:v>
      </x:c>
      <x:c r="O671" s="28" t="str">
        <x:v>надежная общая ключевая молекула не подтверждена</x:v>
      </x:c>
      <x:c r="P671" s="28" t="str">
        <x:v>сенсорная комплементарность</x:v>
      </x:c>
      <x:c r="Q671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71" s="28" t="str">
        <x:v>мягкая терпкость; теобромин и кофеин усиливают горькое послевкусие</x:v>
      </x:c>
      <x:c r="S671" s="28" t="str">
        <x:v>какао-масло с частицами какао и сахаром; плавление во рту медленно высвобождает гидрофобные ароматы</x:v>
      </x:c>
      <x:c r="T67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7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«пулькоги»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71" s="28" t="str">
        <x:v>горечь и терпкость способны подавлять нежные продукты; содержит стимуляторы; аллергенные добавки возможны</x:v>
      </x:c>
      <x:c r="W671" s="28" t="str">
        <x:v>соль, ваниль или карамель</x:v>
      </x:c>
      <x:c r="X671" s="28" t="str">
        <x:v>ганаш, плитка, крем, мусс, напиток, глазурь или соус с пулькоги</x:v>
      </x:c>
      <x:c r="Y671" s="28" t="str">
        <x:v>десерты</x:v>
      </x:c>
      <x:c r="Z671" s="28" t="str">
        <x:v>Средняя</x:v>
      </x:c>
      <x:c r="AA671" s="28" t="str">
        <x:v>The Art &amp; Science of Foodpairing.pdf</x:v>
      </x:c>
      <x:c r="AB671" s="28" t="str">
        <x:v>The Art &amp; Science of Foodpairing.pdf: 62</x:v>
      </x:c>
      <x:c r="AC671" s="28" t="str">
        <x:v>Пара встречается как grid; научное объяснение сформировано по ароматическому профилю и пищевой матрице.</x:v>
      </x:c>
      <x:c r="AD671" s="28" t="n">
        <x:v>1</x:v>
      </x:c>
      <x:c r="AE671" s="28" t="n">
        <x:v>1</x:v>
      </x:c>
      <x:c r="AF671" s="28" t="n">
        <x:f>IF(Z671="Высокая",3,IF(Z671="Средняя",2,1))+AD671*2+MIN(AE671,3)</x:f>
        <x:v>5</x:v>
      </x:c>
    </x:row>
    <x:row r="672" ht="62" customHeight="1">
      <x:c r="A672" s="28" t="str">
        <x:v>NCT-0671</x:v>
      </x:c>
      <x:c r="B672" s="28" t="str">
        <x:v>шоколад</x:v>
      </x:c>
      <x:c r="C672" s="28" t="str">
        <x:v>Универсальные</x:v>
      </x:c>
      <x:c r="D672" s="28" t="str">
        <x:v>шоколад</x:v>
      </x:c>
      <x:c r="E672" s="28" t="str">
        <x:v>Шоколад | шоколад</x:v>
      </x:c>
      <x:c r="F672" s="28" t="str">
        <x:v>Какао и шоколад</x:v>
      </x:c>
      <x:c r="G672" s="28" t="str">
        <x:v>роза</x:v>
      </x:c>
      <x:c r="H672" s="28" t="str">
        <x:v>Роза | роза</x:v>
      </x:c>
      <x:c r="I672" s="28" t="str">
        <x:v>Травы, цветы и листья</x:v>
      </x:c>
      <x:c r="J672" s="28" t="str">
        <x:v>жареный, какаовый, фруктовый, цветочный, древесный и пряный; профиль зависит от происхождения и обжарки</x:v>
      </x:c>
      <x:c r="K672" s="28" t="str">
        <x:v>цветочный</x:v>
      </x:c>
      <x:c r="L672" s="28" t="str">
        <x:v>пиразины, фураны, альдегиды, эфиры, теобромин</x:v>
      </x:c>
      <x:c r="M672" s="28" t="str">
        <x:v>гераниол, цитронеллол</x:v>
      </x:c>
      <x:c r="N672" s="28" t="str">
        <x:v>прямое пересечение семейств не является единственным объяснением</x:v>
      </x:c>
      <x:c r="O672" s="28" t="str">
        <x:v>надежная общая ключевая молекула не подтверждена</x:v>
      </x:c>
      <x:c r="P672" s="28" t="str">
        <x:v>сенсорная комплементарность</x:v>
      </x:c>
      <x:c r="Q672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72" s="28" t="str">
        <x:v>мягкая терпкость; теобромин и кофеин усиливают горькое послевкусие</x:v>
      </x:c>
      <x:c r="S672" s="28" t="str">
        <x:v>какао-масло с частицами какао и сахаром; плавление во рту медленно высвобождает гидрофобные ароматы</x:v>
      </x:c>
      <x:c r="T67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7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«роза» относится к группе «Травы, цветы и листья» и даёт цветочный.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72" s="28" t="str">
        <x:v>горечь и терпкость способны подавлять нежные продукты; содержит стимуляторы; аллергенные добавки возможны</x:v>
      </x:c>
      <x:c r="W672" s="28" t="str">
        <x:v>цитрус, мёд или сливки</x:v>
      </x:c>
      <x:c r="X672" s="28" t="str">
        <x:v>ганаш, плитка, крем, мусс, напиток, глазурь или соус с роза</x:v>
      </x:c>
      <x:c r="Y672" s="28" t="str">
        <x:v>десерты</x:v>
      </x:c>
      <x:c r="Z672" s="28" t="str">
        <x:v>Средняя</x:v>
      </x:c>
      <x:c r="AA672" s="28" t="str">
        <x:v>Тезариус вкусов (Ники Сегнит)(1).pdf</x:v>
      </x:c>
      <x:c r="AB672" s="28" t="str">
        <x:v>Тезариус вкусов (Ники Сегнит)(1).pdf: 35, 901</x:v>
      </x:c>
      <x:c r="AC672" s="28" t="str">
        <x:v>Пара встречается как thesaurus; научное объяснение сформировано по ароматическому профилю и пищевой матрице.</x:v>
      </x:c>
      <x:c r="AD672" s="28" t="n">
        <x:v>1</x:v>
      </x:c>
      <x:c r="AE672" s="28" t="n">
        <x:v>2</x:v>
      </x:c>
      <x:c r="AF672" s="28" t="n">
        <x:f>IF(Z672="Высокая",3,IF(Z672="Средняя",2,1))+AD672*2+MIN(AE672,3)</x:f>
        <x:v>6</x:v>
      </x:c>
    </x:row>
    <x:row r="673" ht="62" customHeight="1">
      <x:c r="A673" s="28" t="str">
        <x:v>NCT-0672</x:v>
      </x:c>
      <x:c r="B673" s="28" t="str">
        <x:v>шоколад</x:v>
      </x:c>
      <x:c r="C673" s="28" t="str">
        <x:v>Универсальные</x:v>
      </x:c>
      <x:c r="D673" s="28" t="str">
        <x:v>шоколад</x:v>
      </x:c>
      <x:c r="E673" s="28" t="str">
        <x:v>Шоколад | шоколад</x:v>
      </x:c>
      <x:c r="F673" s="28" t="str">
        <x:v>Какао и шоколад</x:v>
      </x:c>
      <x:c r="G673" s="28" t="str">
        <x:v>розмарин</x:v>
      </x:c>
      <x:c r="H673" s="28" t="str">
        <x:v>Розмарин | розмарин</x:v>
      </x:c>
      <x:c r="I673" s="28" t="str">
        <x:v>Травы, цветы и листья</x:v>
      </x:c>
      <x:c r="J673" s="28" t="str">
        <x:v>жареный, какаовый, фруктовый, цветочный, древесный и пряный; профиль зависит от происхождения и обжарки</x:v>
      </x:c>
      <x:c r="K673" s="28" t="str">
        <x:v>зелёный, цветочный и терпеновый</x:v>
      </x:c>
      <x:c r="L673" s="28" t="str">
        <x:v>пиразины, фураны, альдегиды, эфиры, теобромин</x:v>
      </x:c>
      <x:c r="M673" s="28" t="str">
        <x:v>линалоол, терпены</x:v>
      </x:c>
      <x:c r="N673" s="28" t="str">
        <x:v>прямое пересечение семейств не является единственным объяснением</x:v>
      </x:c>
      <x:c r="O673" s="28" t="str">
        <x:v>надежная общая ключевая молекула не подтверждена</x:v>
      </x:c>
      <x:c r="P673" s="28" t="str">
        <x:v>сенсорная комплементарность</x:v>
      </x:c>
      <x:c r="Q673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73" s="28" t="str">
        <x:v>мягкая терпкость; теобромин и кофеин усиливают горькое послевкусие</x:v>
      </x:c>
      <x:c r="S673" s="28" t="str">
        <x:v>какао-масло с частицами какао и сахаром; плавление во рту медленно высвобождает гидрофобные ароматы</x:v>
      </x:c>
      <x:c r="T67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7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«розмарин»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73" s="28" t="str">
        <x:v>горечь и терпкость способны подавлять нежные продукты; содержит стимуляторы; аллергенные добавки возможны</x:v>
      </x:c>
      <x:c r="W673" s="28" t="str">
        <x:v>цитрус, мёд или сливки</x:v>
      </x:c>
      <x:c r="X673" s="28" t="str">
        <x:v>ганаш, плитка, крем, мусс, напиток, глазурь или соус с розмарин</x:v>
      </x:c>
      <x:c r="Y673" s="28" t="str">
        <x:v>десерты</x:v>
      </x:c>
      <x:c r="Z673" s="28" t="str">
        <x:v>Высокая</x:v>
      </x:c>
      <x:c r="AA673" s="28" t="str">
        <x:v>Таблица сочетания(1).pdf | Тезариус вкусов (Ники Сегнит)(1).pdf</x:v>
      </x:c>
      <x:c r="AB673" s="28" t="str">
        <x:v>Таблица сочетания(1).pdf: 5; Тезариус вкусов (Ники Сегнит)(1).pdf: 35, 840</x:v>
      </x:c>
      <x:c r="AC673" s="28" t="str">
        <x:v>Пара встречается как table, thesaurus; научное объяснение сформировано по ароматическому профилю и пищевой матрице.</x:v>
      </x:c>
      <x:c r="AD673" s="28" t="n">
        <x:v>2</x:v>
      </x:c>
      <x:c r="AE673" s="28" t="n">
        <x:v>3</x:v>
      </x:c>
      <x:c r="AF673" s="28" t="n">
        <x:f>IF(Z673="Высокая",3,IF(Z673="Средняя",2,1))+AD673*2+MIN(AE673,3)</x:f>
        <x:v>10</x:v>
      </x:c>
    </x:row>
    <x:row r="674" ht="62" customHeight="1">
      <x:c r="A674" s="28" t="str">
        <x:v>NCT-0673</x:v>
      </x:c>
      <x:c r="B674" s="28" t="str">
        <x:v>шоколад</x:v>
      </x:c>
      <x:c r="C674" s="28" t="str">
        <x:v>Универсальные</x:v>
      </x:c>
      <x:c r="D674" s="28" t="str">
        <x:v>шоколад</x:v>
      </x:c>
      <x:c r="E674" s="28" t="str">
        <x:v>chocolate</x:v>
      </x:c>
      <x:c r="F674" s="28" t="str">
        <x:v>Какао и шоколад</x:v>
      </x:c>
      <x:c r="G674" s="28" t="str">
        <x:v>руккола</x:v>
      </x:c>
      <x:c r="H674" s="28" t="str">
        <x:v>rocket</x:v>
      </x:c>
      <x:c r="I674" s="28" t="str">
        <x:v>Прочее</x:v>
      </x:c>
      <x:c r="J674" s="28" t="str">
        <x:v>жареный, какаовый, фруктовый, цветочный, древесный и пряный; профиль зависит от происхождения и обжарки</x:v>
      </x:c>
      <x:c r="K674" s="28" t="str">
        <x:v>профиль зависит от конкретного продукта</x:v>
      </x:c>
      <x:c r="L674" s="28" t="str">
        <x:v>пиразины, фураны, альдегиды, эфиры, теобромин</x:v>
      </x:c>
      <x:c r="M674" s="28" t="str">
        <x:v>характерный профиль зависит от конкретного продукта</x:v>
      </x:c>
      <x:c r="N674" s="28" t="str">
        <x:v>прямое пересечение семейств не является единственным объяснением</x:v>
      </x:c>
      <x:c r="O674" s="28" t="str">
        <x:v>надежная общая ключевая молекула не подтверждена</x:v>
      </x:c>
      <x:c r="P674" s="28" t="str">
        <x:v>сенсорная комплементарность</x:v>
      </x:c>
      <x:c r="Q674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74" s="28" t="str">
        <x:v>мягкая терпкость; теобромин и кофеин усиливают горькое послевкусие</x:v>
      </x:c>
      <x:c r="S674" s="28" t="str">
        <x:v>какао-масло с частицами какао и сахаром; плавление во рту медленно высвобождает гидрофобные ароматы</x:v>
      </x:c>
      <x:c r="T67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7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«руккола»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74" s="28" t="str">
        <x:v>горечь и терпкость способны подавлять нежные продукты; содержит стимуляторы; аллергенные добавки возможны</x:v>
      </x:c>
      <x:c r="W674" s="28" t="str">
        <x:v>соль, ваниль или карамель</x:v>
      </x:c>
      <x:c r="X674" s="28" t="str">
        <x:v>ганаш, плитка, крем, мусс, напиток, глазурь или соус с руккола</x:v>
      </x:c>
      <x:c r="Y674" s="28" t="str">
        <x:v>десерты</x:v>
      </x:c>
      <x:c r="Z674" s="28" t="str">
        <x:v>Средняя</x:v>
      </x:c>
      <x:c r="AA674" s="28" t="str">
        <x:v>The Art &amp; Science of Foodpairing.pdf</x:v>
      </x:c>
      <x:c r="AB674" s="28" t="str">
        <x:v>The Art &amp; Science of Foodpairing.pdf: 62</x:v>
      </x:c>
      <x:c r="AC674" s="28" t="str">
        <x:v>Пара встречается как grid; научное объяснение сформировано по ароматическому профилю и пищевой матрице.</x:v>
      </x:c>
      <x:c r="AD674" s="28" t="n">
        <x:v>1</x:v>
      </x:c>
      <x:c r="AE674" s="28" t="n">
        <x:v>1</x:v>
      </x:c>
      <x:c r="AF674" s="28" t="n">
        <x:f>IF(Z674="Высокая",3,IF(Z674="Средняя",2,1))+AD674*2+MIN(AE674,3)</x:f>
        <x:v>5</x:v>
      </x:c>
    </x:row>
    <x:row r="675" ht="62" customHeight="1">
      <x:c r="A675" s="28" t="str">
        <x:v>NCT-0674</x:v>
      </x:c>
      <x:c r="B675" s="28" t="str">
        <x:v>шоколад</x:v>
      </x:c>
      <x:c r="C675" s="28" t="str">
        <x:v>Напитки</x:v>
      </x:c>
      <x:c r="D675" s="28" t="str">
        <x:v>шоколад</x:v>
      </x:c>
      <x:c r="E675" s="28" t="str">
        <x:v>chocolate</x:v>
      </x:c>
      <x:c r="F675" s="28" t="str">
        <x:v>Какао и шоколад</x:v>
      </x:c>
      <x:c r="G675" s="28" t="str">
        <x:v>саке</x:v>
      </x:c>
      <x:c r="H675" s="28" t="str">
        <x:v>sake</x:v>
      </x:c>
      <x:c r="I675" s="28" t="str">
        <x:v>Алкогольные напитки</x:v>
      </x:c>
      <x:c r="J675" s="28" t="str">
        <x:v>жареный, какаовый, фруктовый, цветочный, древесный и пряный; профиль зависит от происхождения и обжарки</x:v>
      </x:c>
      <x:c r="K675" s="28" t="str">
        <x:v>спиртовой, фруктовый или древесный</x:v>
      </x:c>
      <x:c r="L675" s="28" t="str">
        <x:v>пиразины, фураны, альдегиды, эфиры, теобромин</x:v>
      </x:c>
      <x:c r="M675" s="28" t="str">
        <x:v>альдегиды, эфиры</x:v>
      </x:c>
      <x:c r="N675" s="28" t="str">
        <x:v>древесный, фруктовый</x:v>
      </x:c>
      <x:c r="O675" s="28" t="str">
        <x:v>альдегиды, эфиры</x:v>
      </x:c>
      <x:c r="P675" s="28" t="str">
        <x:v>общие ароматические соединения, пересечение ароматических семейств</x:v>
      </x:c>
      <x:c r="Q675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75" s="28" t="str">
        <x:v>мягкая терпкость; теобромин и кофеин усиливают горькое послевкусие</x:v>
      </x:c>
      <x:c r="S675" s="28" t="str">
        <x:v>какао-масло с частицами какао и сахаром; плавление во рту медленно высвобождает гидрофобные ароматы Этанол эффективно извлекает терпены, фенолы и жареные молекулы; время контакта нужно ограничивать.</x:v>
      </x:c>
      <x:c r="T67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7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«саке» относится к группе «Алкогольные напитки» и даёт спиртовой, фруктовый или древесный. Молекулярный мост создают альдегиды, эфиры Какао-масло медленно высвобождает липофильные ароматы, а сахар и соль изменяют воспринимаемую горечь. Итог: древесный, фруктовый; альдегиды, эфиры.</x:v>
      </x:c>
      <x:c r="V675" s="28" t="str">
        <x:v>горечь и терпкость способны подавлять нежные продукты; содержит стимуляторы; аллергенные добавки возможны</x:v>
      </x:c>
      <x:c r="W675" s="28" t="str">
        <x:v>соль, ваниль или карамель</x:v>
      </x:c>
      <x:c r="X675" s="28" t="str">
        <x:v>ганаш, плитка, крем, мусс, напиток, глазурь или соус с саке</x:v>
      </x:c>
      <x:c r="Y675" s="28" t="str">
        <x:v>напитки, десерты</x:v>
      </x:c>
      <x:c r="Z675" s="28" t="str">
        <x:v>Средняя</x:v>
      </x:c>
      <x:c r="AA675" s="28" t="str">
        <x:v>The Art &amp; Science of Foodpairing.pdf</x:v>
      </x:c>
      <x:c r="AB675" s="28" t="str">
        <x:v>The Art &amp; Science of Foodpairing.pdf: 62</x:v>
      </x:c>
      <x:c r="AC675" s="28" t="str">
        <x:v>Пара встречается как grid; научное объяснение сформировано по ароматическому профилю и пищевой матрице.</x:v>
      </x:c>
      <x:c r="AD675" s="28" t="n">
        <x:v>1</x:v>
      </x:c>
      <x:c r="AE675" s="28" t="n">
        <x:v>1</x:v>
      </x:c>
      <x:c r="AF675" s="28" t="n">
        <x:f>IF(Z675="Высокая",3,IF(Z675="Средняя",2,1))+AD675*2+MIN(AE675,3)</x:f>
        <x:v>5</x:v>
      </x:c>
    </x:row>
    <x:row r="676" ht="62" customHeight="1">
      <x:c r="A676" s="28" t="str">
        <x:v>NCT-0675</x:v>
      </x:c>
      <x:c r="B676" s="28" t="str">
        <x:v>шоколад</x:v>
      </x:c>
      <x:c r="C676" s="28" t="str">
        <x:v>Еда и соусы</x:v>
      </x:c>
      <x:c r="D676" s="28" t="str">
        <x:v>шоколад</x:v>
      </x:c>
      <x:c r="E676" s="28" t="str">
        <x:v>Шоколад | шоколад</x:v>
      </x:c>
      <x:c r="F676" s="28" t="str">
        <x:v>Какао и шоколад</x:v>
      </x:c>
      <x:c r="G676" s="28" t="str">
        <x:v>свекла</x:v>
      </x:c>
      <x:c r="H676" s="28" t="str">
        <x:v>Свекла | свекла</x:v>
      </x:c>
      <x:c r="I676" s="28" t="str">
        <x:v>Овощи, бобовые и грибы</x:v>
      </x:c>
      <x:c r="J676" s="28" t="str">
        <x:v>жареный, какаовый, фруктовый, цветочный, древесный и пряный; профиль зависит от происхождения и обжарки</x:v>
      </x:c>
      <x:c r="K676" s="28" t="str">
        <x:v>землистый, сладкий</x:v>
      </x:c>
      <x:c r="L676" s="28" t="str">
        <x:v>пиразины, фураны, альдегиды, эфиры, теобромин</x:v>
      </x:c>
      <x:c r="M676" s="28" t="str">
        <x:v>геосмин</x:v>
      </x:c>
      <x:c r="N676" s="28" t="str">
        <x:v>прямое пересечение семейств не является единственным объяснением</x:v>
      </x:c>
      <x:c r="O676" s="28" t="str">
        <x:v>надежная общая ключевая молекула не подтверждена</x:v>
      </x:c>
      <x:c r="P676" s="28" t="str">
        <x:v>сенсорная комплементарность</x:v>
      </x:c>
      <x:c r="Q676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76" s="28" t="str">
        <x:v>мягкая терпкость; теобромин и кофеин усиливают горькое послевкусие</x:v>
      </x:c>
      <x:c r="S676" s="28" t="str">
        <x:v>какао-масло с частицами какао и сахаром; плавление во рту медленно высвобождает гидрофобные ароматы</x:v>
      </x:c>
      <x:c r="T67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7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«свекла» относится к группе «Овощи, бобовые и грибы» и даёт землистый, сладкий.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76" s="28" t="str">
        <x:v>горечь и терпкость способны подавлять нежные продукты; содержит стимуляторы; аллергенные добавки возможны</x:v>
      </x:c>
      <x:c r="W676" s="28" t="str">
        <x:v>соль, ваниль или карамель</x:v>
      </x:c>
      <x:c r="X676" s="28" t="str">
        <x:v>ганаш, плитка, крем, мусс, напиток, глазурь или соус с свекла</x:v>
      </x:c>
      <x:c r="Y676" s="28" t="str">
        <x:v>еда, десерты, соусы/маринады</x:v>
      </x:c>
      <x:c r="Z676" s="28" t="str">
        <x:v>Средняя</x:v>
      </x:c>
      <x:c r="AA676" s="28" t="str">
        <x:v>Тезариус вкусов (Ники Сегнит)(1).pdf</x:v>
      </x:c>
      <x:c r="AB676" s="28" t="str">
        <x:v>Тезариус вкусов (Ники Сегнит)(1).pdf: 35, 227</x:v>
      </x:c>
      <x:c r="AC676" s="28" t="str">
        <x:v>Пара встречается как thesaurus; научное объяснение сформировано по ароматическому профилю и пищевой матрице.</x:v>
      </x:c>
      <x:c r="AD676" s="28" t="n">
        <x:v>1</x:v>
      </x:c>
      <x:c r="AE676" s="28" t="n">
        <x:v>2</x:v>
      </x:c>
      <x:c r="AF676" s="28" t="n">
        <x:f>IF(Z676="Высокая",3,IF(Z676="Средняя",2,1))+AD676*2+MIN(AE676,3)</x:f>
        <x:v>6</x:v>
      </x:c>
    </x:row>
    <x:row r="677" ht="62" customHeight="1">
      <x:c r="A677" s="28" t="str">
        <x:v>NCT-0676</x:v>
      </x:c>
      <x:c r="B677" s="28" t="str">
        <x:v>шоколад</x:v>
      </x:c>
      <x:c r="C677" s="28" t="str">
        <x:v>Десерты и выпечка</x:v>
      </x:c>
      <x:c r="D677" s="28" t="str">
        <x:v>шоколад</x:v>
      </x:c>
      <x:c r="E677" s="28" t="str">
        <x:v>шоколад</x:v>
      </x:c>
      <x:c r="F677" s="28" t="str">
        <x:v>Какао и шоколад</x:v>
      </x:c>
      <x:c r="G677" s="28" t="str">
        <x:v>слива</x:v>
      </x:c>
      <x:c r="H677" s="28" t="str">
        <x:v>Слива</x:v>
      </x:c>
      <x:c r="I677" s="28" t="str">
        <x:v>Фрукты и ягоды</x:v>
      </x:c>
      <x:c r="J677" s="28" t="str">
        <x:v>жареный, какаовый, фруктовый, цветочный, древесный и пряный; профиль зависит от происхождения и обжарки</x:v>
      </x:c>
      <x:c r="K677" s="28" t="str">
        <x:v>фруктовый, цветочный и свежий</x:v>
      </x:c>
      <x:c r="L677" s="28" t="str">
        <x:v>пиразины, фураны, альдегиды, эфиры, теобромин</x:v>
      </x:c>
      <x:c r="M677" s="28" t="str">
        <x:v>альдегиды, эфиры</x:v>
      </x:c>
      <x:c r="N677" s="28" t="str">
        <x:v>фруктовый</x:v>
      </x:c>
      <x:c r="O677" s="28" t="str">
        <x:v>альдегиды, эфиры</x:v>
      </x:c>
      <x:c r="P677" s="28" t="str">
        <x:v>общие ароматические соединения, пересечение ароматических семейств, контраст кислоты и жирной/горькой матрицы</x:v>
      </x:c>
      <x:c r="Q677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77" s="28" t="str">
        <x:v>мягкая терпкость; теобромин и кофеин усиливают горькое послевкусие</x:v>
      </x:c>
      <x:c r="S677" s="28" t="str">
        <x:v>какао-масло с частицами какао и сахаром; плавление во рту медленно высвобождает гидрофобные ароматы Водная фруктовая фаза требует эмульсии или мелкого измельчения, если орех или шоколад вводится как паста.</x:v>
      </x:c>
      <x:c r="T67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7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«слива»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V677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W677" s="28" t="str">
        <x:v>ваниль, цитрус или молочный жир</x:v>
      </x:c>
      <x:c r="X677" s="28" t="str">
        <x:v>ганаш, плитка, крем, мусс, напиток, глазурь или соус с слива</x:v>
      </x:c>
      <x:c r="Y677" s="28" t="str">
        <x:v>десерты</x:v>
      </x:c>
      <x:c r="Z677" s="28" t="str">
        <x:v>Гипотеза / практическая</x:v>
      </x:c>
      <x:c r="AA677" s="28" t="str">
        <x:v>Таблица сочетания(1).pdf</x:v>
      </x:c>
      <x:c r="AB677" s="28" t="str">
        <x:v>Таблица сочетания(1).pdf: 17</x:v>
      </x:c>
      <x:c r="AC677" s="28" t="str">
        <x:v>Пара встречается как table; научное объяснение сформировано по ароматическому профилю и пищевой матрице.</x:v>
      </x:c>
      <x:c r="AD677" s="28" t="n">
        <x:v>1</x:v>
      </x:c>
      <x:c r="AE677" s="28" t="n">
        <x:v>1</x:v>
      </x:c>
      <x:c r="AF677" s="28" t="n">
        <x:f>IF(Z677="Высокая",3,IF(Z677="Средняя",2,1))+AD677*2+MIN(AE677,3)</x:f>
        <x:v>4</x:v>
      </x:c>
    </x:row>
    <x:row r="678" ht="62" customHeight="1">
      <x:c r="A678" s="28" t="str">
        <x:v>NCT-0677</x:v>
      </x:c>
      <x:c r="B678" s="28" t="str">
        <x:v>шоколад</x:v>
      </x:c>
      <x:c r="C678" s="28" t="str">
        <x:v>Десерты и выпечка</x:v>
      </x:c>
      <x:c r="D678" s="28" t="str">
        <x:v>шоколад</x:v>
      </x:c>
      <x:c r="E678" s="28" t="str">
        <x:v>chocolate</x:v>
      </x:c>
      <x:c r="F678" s="28" t="str">
        <x:v>Какао и шоколад</x:v>
      </x:c>
      <x:c r="G678" s="28" t="str">
        <x:v>сливочное масло</x:v>
      </x:c>
      <x:c r="H678" s="28" t="str">
        <x:v>melted butter</x:v>
      </x:c>
      <x:c r="I678" s="28" t="str">
        <x:v>Фрукты и ягоды</x:v>
      </x:c>
      <x:c r="J678" s="28" t="str">
        <x:v>жареный, какаовый, фруктовый, цветочный, древесный и пряный; профиль зависит от происхождения и обжарки</x:v>
      </x:c>
      <x:c r="K678" s="28" t="str">
        <x:v>фруктовый, цветочный и свежий</x:v>
      </x:c>
      <x:c r="L678" s="28" t="str">
        <x:v>пиразины, фураны, альдегиды, эфиры, теобромин</x:v>
      </x:c>
      <x:c r="M678" s="28" t="str">
        <x:v>альдегиды, эфиры</x:v>
      </x:c>
      <x:c r="N678" s="28" t="str">
        <x:v>фруктовый</x:v>
      </x:c>
      <x:c r="O678" s="28" t="str">
        <x:v>альдегиды, эфиры</x:v>
      </x:c>
      <x:c r="P678" s="28" t="str">
        <x:v>общие ароматические соединения, пересечение ароматических семейств, контраст кислоты и жирной/горькой матрицы</x:v>
      </x:c>
      <x:c r="Q678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78" s="28" t="str">
        <x:v>мягкая терпкость; теобромин и кофеин усиливают горькое послевкусие</x:v>
      </x:c>
      <x:c r="S678" s="28" t="str">
        <x:v>какао-масло с частицами какао и сахаром; плавление во рту медленно высвобождает гидрофобные ароматы Водная фруктовая фаза требует эмульсии или мелкого измельчения, если орех или шоколад вводится как паста.</x:v>
      </x:c>
      <x:c r="T67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7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«сливочное масло»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V678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W678" s="28" t="str">
        <x:v>ваниль, цитрус или молочный жир</x:v>
      </x:c>
      <x:c r="X678" s="28" t="str">
        <x:v>ганаш, плитка, крем, мусс, напиток, глазурь или соус с сливочное масло</x:v>
      </x:c>
      <x:c r="Y678" s="28" t="str">
        <x:v>десерты</x:v>
      </x:c>
      <x:c r="Z678" s="28" t="str">
        <x:v>Средняя</x:v>
      </x:c>
      <x:c r="AA678" s="28" t="str">
        <x:v>The Art &amp; Science of Foodpairing.pdf</x:v>
      </x:c>
      <x:c r="AB678" s="28" t="str">
        <x:v>The Art &amp; Science of Foodpairing.pdf: 62</x:v>
      </x:c>
      <x:c r="AC678" s="28" t="str">
        <x:v>Пара встречается как grid; научное объяснение сформировано по ароматическому профилю и пищевой матрице.</x:v>
      </x:c>
      <x:c r="AD678" s="28" t="n">
        <x:v>1</x:v>
      </x:c>
      <x:c r="AE678" s="28" t="n">
        <x:v>1</x:v>
      </x:c>
      <x:c r="AF678" s="28" t="n">
        <x:f>IF(Z678="Высокая",3,IF(Z678="Средняя",2,1))+AD678*2+MIN(AE678,3)</x:f>
        <x:v>5</x:v>
      </x:c>
    </x:row>
    <x:row r="679" ht="62" customHeight="1">
      <x:c r="A679" s="28" t="str">
        <x:v>NCT-0678</x:v>
      </x:c>
      <x:c r="B679" s="28" t="str">
        <x:v>шоколад</x:v>
      </x:c>
      <x:c r="C679" s="28" t="str">
        <x:v>Универсальные</x:v>
      </x:c>
      <x:c r="D679" s="28" t="str">
        <x:v>шоколад</x:v>
      </x:c>
      <x:c r="E679" s="28" t="str">
        <x:v>chocolate</x:v>
      </x:c>
      <x:c r="F679" s="28" t="str">
        <x:v>Какао и шоколад</x:v>
      </x:c>
      <x:c r="G679" s="28" t="str">
        <x:v>соевые продукты</x:v>
      </x:c>
      <x:c r="H679" s="28" t="str">
        <x:v>soy misc</x:v>
      </x:c>
      <x:c r="I679" s="28" t="str">
        <x:v>Прочее</x:v>
      </x:c>
      <x:c r="J679" s="28" t="str">
        <x:v>жареный, какаовый, фруктовый, цветочный, древесный и пряный; профиль зависит от происхождения и обжарки</x:v>
      </x:c>
      <x:c r="K679" s="28" t="str">
        <x:v>профиль зависит от конкретного продукта</x:v>
      </x:c>
      <x:c r="L679" s="28" t="str">
        <x:v>пиразины, фураны, альдегиды, эфиры, теобромин</x:v>
      </x:c>
      <x:c r="M679" s="28" t="str">
        <x:v>характерный профиль зависит от конкретного продукта</x:v>
      </x:c>
      <x:c r="N679" s="28" t="str">
        <x:v>прямое пересечение семейств не является единственным объяснением</x:v>
      </x:c>
      <x:c r="O679" s="28" t="str">
        <x:v>надежная общая ключевая молекула не подтверждена</x:v>
      </x:c>
      <x:c r="P679" s="28" t="str">
        <x:v>сенсорная комплементарность</x:v>
      </x:c>
      <x:c r="Q679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79" s="28" t="str">
        <x:v>мягкая терпкость; теобромин и кофеин усиливают горькое послевкусие</x:v>
      </x:c>
      <x:c r="S679" s="28" t="str">
        <x:v>какао-масло с частицами какао и сахаром; плавление во рту медленно высвобождает гидрофобные ароматы</x:v>
      </x:c>
      <x:c r="T67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7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«соевые продукты»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79" s="28" t="str">
        <x:v>горечь и терпкость способны подавлять нежные продукты; содержит стимуляторы; аллергенные добавки возможны</x:v>
      </x:c>
      <x:c r="W679" s="28" t="str">
        <x:v>соль, ваниль или карамель</x:v>
      </x:c>
      <x:c r="X679" s="28" t="str">
        <x:v>ганаш, плитка, крем, мусс, напиток, глазурь или соус с соевые продукты</x:v>
      </x:c>
      <x:c r="Y679" s="28" t="str">
        <x:v>десерты</x:v>
      </x:c>
      <x:c r="Z679" s="28" t="str">
        <x:v>Средняя</x:v>
      </x:c>
      <x:c r="AA679" s="28" t="str">
        <x:v>The Art &amp; Science of Foodpairing.pdf</x:v>
      </x:c>
      <x:c r="AB679" s="28" t="str">
        <x:v>The Art &amp; Science of Foodpairing.pdf: 62</x:v>
      </x:c>
      <x:c r="AC679" s="28" t="str">
        <x:v>Пара встречается как grid; научное объяснение сформировано по ароматическому профилю и пищевой матрице.</x:v>
      </x:c>
      <x:c r="AD679" s="28" t="n">
        <x:v>1</x:v>
      </x:c>
      <x:c r="AE679" s="28" t="n">
        <x:v>1</x:v>
      </x:c>
      <x:c r="AF679" s="28" t="n">
        <x:f>IF(Z679="Высокая",3,IF(Z679="Средняя",2,1))+AD679*2+MIN(AE679,3)</x:f>
        <x:v>5</x:v>
      </x:c>
    </x:row>
    <x:row r="680" ht="62" customHeight="1">
      <x:c r="A680" s="28" t="str">
        <x:v>NCT-0679</x:v>
      </x:c>
      <x:c r="B680" s="28" t="str">
        <x:v>шоколад</x:v>
      </x:c>
      <x:c r="C680" s="28" t="str">
        <x:v>Еда и соусы</x:v>
      </x:c>
      <x:c r="D680" s="28" t="str">
        <x:v>шоколад</x:v>
      </x:c>
      <x:c r="E680" s="28" t="str">
        <x:v>dark chocolate</x:v>
      </x:c>
      <x:c r="F680" s="28" t="str">
        <x:v>Какао и шоколад</x:v>
      </x:c>
      <x:c r="G680" s="28" t="str">
        <x:v>соевый соус</x:v>
      </x:c>
      <x:c r="H680" s="28" t="str">
        <x:v>soy sauce</x:v>
      </x:c>
      <x:c r="I680" s="28" t="str">
        <x:v>Ферментированные продукты и соусы</x:v>
      </x:c>
      <x:c r="J680" s="28" t="str">
        <x:v>жареный, какаовый, фруктовый, цветочный, древесный и пряный; профиль зависит от происхождения и обжарки</x:v>
      </x:c>
      <x:c r="K680" s="28" t="str">
        <x:v>жареный, умами, ферментированный</x:v>
      </x:c>
      <x:c r="L680" s="28" t="str">
        <x:v>пиразины, фураны, альдегиды, эфиры, теобромин</x:v>
      </x:c>
      <x:c r="M680" s="28" t="str">
        <x:v>пиразины, фураны, эфиры</x:v>
      </x:c>
      <x:c r="N680" s="28" t="str">
        <x:v>жареный</x:v>
      </x:c>
      <x:c r="O680" s="28" t="str">
        <x:v>пиразины, фураны, эфиры</x:v>
      </x:c>
      <x:c r="P680" s="28" t="str">
        <x:v>общие ароматические соединения, пересечение ароматических семейств, солёно-умами контраст</x:v>
      </x:c>
      <x:c r="Q680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80" s="28" t="str">
        <x:v>мягкая терпкость; теобромин и кофеин усиливают горькое послевкусие</x:v>
      </x:c>
      <x:c r="S680" s="28" t="str">
        <x:v>какао-масло с частицами какао и сахаром; плавление во рту медленно высвобождает гидрофобные ароматы</x:v>
      </x:c>
      <x:c r="T68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8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фураны, эфиры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пиразины, фураны, эфиры.</x:v>
      </x:c>
      <x:c r="V680" s="28" t="str">
        <x:v>горечь и терпкость способны подавлять нежные продукты; содержит стимуляторы; аллергенные добавки возможны</x:v>
      </x:c>
      <x:c r="W680" s="28" t="str">
        <x:v>карамелизированный лук, грибы или сливочное масло</x:v>
      </x:c>
      <x:c r="X680" s="28" t="str">
        <x:v>ганаш, плитка, крем, мусс, напиток, глазурь или соус с соевый соус</x:v>
      </x:c>
      <x:c r="Y680" s="28" t="str">
        <x:v>еда, десерты, соусы/маринады</x:v>
      </x:c>
      <x:c r="Z680" s="28" t="str">
        <x:v>Высокая</x:v>
      </x:c>
      <x:c r="AA680" s="28" t="str">
        <x:v>The Art &amp; Science of Foodpairing.pdf</x:v>
      </x:c>
      <x:c r="AB680" s="28" t="str">
        <x:v>The Art &amp; Science of Foodpairing.pdf: 301</x:v>
      </x:c>
      <x:c r="AC680" s="28" t="str">
        <x:v>Пара встречается как potential; научное объяснение сформировано по ароматическому профилю и пищевой матрице.</x:v>
      </x:c>
      <x:c r="AD680" s="28" t="n">
        <x:v>1</x:v>
      </x:c>
      <x:c r="AE680" s="28" t="n">
        <x:v>1</x:v>
      </x:c>
      <x:c r="AF680" s="28" t="n">
        <x:f>IF(Z680="Высокая",3,IF(Z680="Средняя",2,1))+AD680*2+MIN(AE680,3)</x:f>
        <x:v>6</x:v>
      </x:c>
    </x:row>
    <x:row r="681" ht="62" customHeight="1">
      <x:c r="A681" s="28" t="str">
        <x:v>NCT-0680</x:v>
      </x:c>
      <x:c r="B681" s="28" t="str">
        <x:v>шоколад</x:v>
      </x:c>
      <x:c r="C681" s="28" t="str">
        <x:v>Универсальные</x:v>
      </x:c>
      <x:c r="D681" s="28" t="str">
        <x:v>шоколад</x:v>
      </x:c>
      <x:c r="E681" s="28" t="str">
        <x:v>Шоколад | шоколад</x:v>
      </x:c>
      <x:c r="F681" s="28" t="str">
        <x:v>Какао и шоколад</x:v>
      </x:c>
      <x:c r="G681" s="28" t="str">
        <x:v>тимьян</x:v>
      </x:c>
      <x:c r="H681" s="28" t="str">
        <x:v>Тимьян | тимьян</x:v>
      </x:c>
      <x:c r="I681" s="28" t="str">
        <x:v>Травы, цветы и листья</x:v>
      </x:c>
      <x:c r="J681" s="28" t="str">
        <x:v>жареный, какаовый, фруктовый, цветочный, древесный и пряный; профиль зависит от происхождения и обжарки</x:v>
      </x:c>
      <x:c r="K681" s="28" t="str">
        <x:v>зелёный, цветочный и терпеновый</x:v>
      </x:c>
      <x:c r="L681" s="28" t="str">
        <x:v>пиразины, фураны, альдегиды, эфиры, теобромин</x:v>
      </x:c>
      <x:c r="M681" s="28" t="str">
        <x:v>линалоол, терпены</x:v>
      </x:c>
      <x:c r="N681" s="28" t="str">
        <x:v>прямое пересечение семейств не является единственным объяснением</x:v>
      </x:c>
      <x:c r="O681" s="28" t="str">
        <x:v>надежная общая ключевая молекула не подтверждена</x:v>
      </x:c>
      <x:c r="P681" s="28" t="str">
        <x:v>сенсорная комплементарность</x:v>
      </x:c>
      <x:c r="Q681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81" s="28" t="str">
        <x:v>мягкая терпкость; теобромин и кофеин усиливают горькое послевкусие</x:v>
      </x:c>
      <x:c r="S681" s="28" t="str">
        <x:v>какао-масло с частицами какао и сахаром; плавление во рту медленно высвобождает гидрофобные ароматы</x:v>
      </x:c>
      <x:c r="T68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8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«тимьян»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81" s="28" t="str">
        <x:v>горечь и терпкость способны подавлять нежные продукты; содержит стимуляторы; аллергенные добавки возможны</x:v>
      </x:c>
      <x:c r="W681" s="28" t="str">
        <x:v>цитрус, мёд или сливки</x:v>
      </x:c>
      <x:c r="X681" s="28" t="str">
        <x:v>ганаш, плитка, крем, мусс, напиток, глазурь или соус с тимьян</x:v>
      </x:c>
      <x:c r="Y681" s="28" t="str">
        <x:v>десерты</x:v>
      </x:c>
      <x:c r="Z681" s="28" t="str">
        <x:v>Средняя</x:v>
      </x:c>
      <x:c r="AA681" s="28" t="str">
        <x:v>Тезариус вкусов (Ники Сегнит)(1).pdf</x:v>
      </x:c>
      <x:c r="AB681" s="28" t="str">
        <x:v>Тезариус вкусов (Ники Сегнит)(1).pdf: 35, 862</x:v>
      </x:c>
      <x:c r="AC681" s="28" t="str">
        <x:v>Пара встречается как thesaurus; научное объяснение сформировано по ароматическому профилю и пищевой матрице.</x:v>
      </x:c>
      <x:c r="AD681" s="28" t="n">
        <x:v>1</x:v>
      </x:c>
      <x:c r="AE681" s="28" t="n">
        <x:v>2</x:v>
      </x:c>
      <x:c r="AF681" s="28" t="n">
        <x:f>IF(Z681="Высокая",3,IF(Z681="Средняя",2,1))+AD681*2+MIN(AE681,3)</x:f>
        <x:v>6</x:v>
      </x:c>
    </x:row>
    <x:row r="682" ht="62" customHeight="1">
      <x:c r="A682" s="28" t="str">
        <x:v>NCT-0681</x:v>
      </x:c>
      <x:c r="B682" s="28" t="str">
        <x:v>шоколад</x:v>
      </x:c>
      <x:c r="C682" s="28" t="str">
        <x:v>Еда и соусы</x:v>
      </x:c>
      <x:c r="D682" s="28" t="str">
        <x:v>шоколад</x:v>
      </x:c>
      <x:c r="E682" s="28" t="str">
        <x:v>chocolate</x:v>
      </x:c>
      <x:c r="F682" s="28" t="str">
        <x:v>Какао и шоколад</x:v>
      </x:c>
      <x:c r="G682" s="28" t="str">
        <x:v>томат черри</x:v>
      </x:c>
      <x:c r="H682" s="28" t="str">
        <x:v>cherry tomato</x:v>
      </x:c>
      <x:c r="I682" s="28" t="str">
        <x:v>Овощи, бобовые и грибы</x:v>
      </x:c>
      <x:c r="J682" s="28" t="str">
        <x:v>жареный, какаовый, фруктовый, цветочный, древесный и пряный; профиль зависит от происхождения и обжарки</x:v>
      </x:c>
      <x:c r="K682" s="28" t="str">
        <x:v>зелёный, умами, фруктовый</x:v>
      </x:c>
      <x:c r="L682" s="28" t="str">
        <x:v>пиразины, фураны, альдегиды, эфиры, теобромин</x:v>
      </x:c>
      <x:c r="M682" s="28" t="str">
        <x:v>гексаналь, ионoны</x:v>
      </x:c>
      <x:c r="N682" s="28" t="str">
        <x:v>фруктовый</x:v>
      </x:c>
      <x:c r="O682" s="28" t="str">
        <x:v>надежная общая ключевая молекула не подтверждена</x:v>
      </x:c>
      <x:c r="P682" s="28" t="str">
        <x:v>пересечение ароматических семейств</x:v>
      </x:c>
      <x:c r="Q682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82" s="28" t="str">
        <x:v>мягкая терпкость; теобромин и кофеин усиливают горькое послевкусие</x:v>
      </x:c>
      <x:c r="S682" s="28" t="str">
        <x:v>какао-масло с частицами какао и сахаром; плавление во рту медленно высвобождает гидрофобные ароматы</x:v>
      </x:c>
      <x:c r="T68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8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«томат черри» относится к группе «Овощи, бобовые и грибы» и даёт зелёный, умами, фруктовый. Профили пересекаются в семействах: фруктовый Какао-масло медленно высвобождает липофильные ароматы, а сахар и соль изменяют воспринимаемую горечь. Итог: фруктовый; механизм не следует сводить к одной общей молекуле.</x:v>
      </x:c>
      <x:c r="V682" s="28" t="str">
        <x:v>горечь и терпкость способны подавлять нежные продукты; содержит стимуляторы; аллергенные добавки возможны</x:v>
      </x:c>
      <x:c r="W682" s="28" t="str">
        <x:v>соль, ваниль или карамель</x:v>
      </x:c>
      <x:c r="X682" s="28" t="str">
        <x:v>ганаш, плитка, крем, мусс, напиток, глазурь или соус с томат черри</x:v>
      </x:c>
      <x:c r="Y682" s="28" t="str">
        <x:v>еда, десерты, соусы/маринады</x:v>
      </x:c>
      <x:c r="Z682" s="28" t="str">
        <x:v>Средняя</x:v>
      </x:c>
      <x:c r="AA682" s="28" t="str">
        <x:v>The Art &amp; Science of Foodpairing.pdf</x:v>
      </x:c>
      <x:c r="AB682" s="28" t="str">
        <x:v>The Art &amp; Science of Foodpairing.pdf: 62</x:v>
      </x:c>
      <x:c r="AC682" s="28" t="str">
        <x:v>Пара встречается как grid; научное объяснение сформировано по ароматическому профилю и пищевой матрице.</x:v>
      </x:c>
      <x:c r="AD682" s="28" t="n">
        <x:v>1</x:v>
      </x:c>
      <x:c r="AE682" s="28" t="n">
        <x:v>1</x:v>
      </x:c>
      <x:c r="AF682" s="28" t="n">
        <x:f>IF(Z682="Высокая",3,IF(Z682="Средняя",2,1))+AD682*2+MIN(AE682,3)</x:f>
        <x:v>5</x:v>
      </x:c>
    </x:row>
    <x:row r="683" ht="62" customHeight="1">
      <x:c r="A683" s="28" t="str">
        <x:v>NCT-0682</x:v>
      </x:c>
      <x:c r="B683" s="28" t="str">
        <x:v>шоколад</x:v>
      </x:c>
      <x:c r="C683" s="28" t="str">
        <x:v>Еда и соусы</x:v>
      </x:c>
      <x:c r="D683" s="28" t="str">
        <x:v>шоколад</x:v>
      </x:c>
      <x:c r="E683" s="28" t="str">
        <x:v>Шоколад | шоколад</x:v>
      </x:c>
      <x:c r="F683" s="28" t="str">
        <x:v>Какао и шоколад</x:v>
      </x:c>
      <x:c r="G683" s="28" t="str">
        <x:v>томаты</x:v>
      </x:c>
      <x:c r="H683" s="28" t="str">
        <x:v>Томаты | томаты</x:v>
      </x:c>
      <x:c r="I683" s="28" t="str">
        <x:v>Овощи, бобовые и грибы</x:v>
      </x:c>
      <x:c r="J683" s="28" t="str">
        <x:v>жареный, какаовый, фруктовый, цветочный, древесный и пряный; профиль зависит от происхождения и обжарки</x:v>
      </x:c>
      <x:c r="K683" s="28" t="str">
        <x:v>зелёный, умами, фруктовый</x:v>
      </x:c>
      <x:c r="L683" s="28" t="str">
        <x:v>пиразины, фураны, альдегиды, эфиры, теобромин</x:v>
      </x:c>
      <x:c r="M683" s="28" t="str">
        <x:v>гексаналь, ионoны</x:v>
      </x:c>
      <x:c r="N683" s="28" t="str">
        <x:v>фруктовый</x:v>
      </x:c>
      <x:c r="O683" s="28" t="str">
        <x:v>надежная общая ключевая молекула не подтверждена</x:v>
      </x:c>
      <x:c r="P683" s="28" t="str">
        <x:v>пересечение ароматических семейств</x:v>
      </x:c>
      <x:c r="Q683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83" s="28" t="str">
        <x:v>мягкая терпкость; теобромин и кофеин усиливают горькое послевкусие</x:v>
      </x:c>
      <x:c r="S683" s="28" t="str">
        <x:v>какао-масло с частицами какао и сахаром; плавление во рту медленно высвобождает гидрофобные ароматы</x:v>
      </x:c>
      <x:c r="T68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8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«томаты» относится к группе «Овощи, бобовые и грибы» и даёт зелёный, умами, фруктовый. Профили пересекаются в семействах: фруктовый Какао-масло медленно высвобождает липофильные ароматы, а сахар и соль изменяют воспринимаемую горечь. Итог: фруктовый; механизм не следует сводить к одной общей молекуле.</x:v>
      </x:c>
      <x:c r="V683" s="28" t="str">
        <x:v>горечь и терпкость способны подавлять нежные продукты; содержит стимуляторы; аллергенные добавки возможны</x:v>
      </x:c>
      <x:c r="W683" s="28" t="str">
        <x:v>соль, ваниль или карамель</x:v>
      </x:c>
      <x:c r="X683" s="28" t="str">
        <x:v>ганаш, плитка, крем, мусс, напиток, глазурь или соус с томаты</x:v>
      </x:c>
      <x:c r="Y683" s="28" t="str">
        <x:v>еда, десерты, соусы/маринады</x:v>
      </x:c>
      <x:c r="Z683" s="28" t="str">
        <x:v>Средняя</x:v>
      </x:c>
      <x:c r="AA683" s="28" t="str">
        <x:v>Тезариус вкусов (Ники Сегнит)(1).pdf</x:v>
      </x:c>
      <x:c r="AB683" s="28" t="str">
        <x:v>Тезариус вкусов (Ники Сегнит)(1).pdf: 35, 691</x:v>
      </x:c>
      <x:c r="AC683" s="28" t="str">
        <x:v>Пара встречается как thesaurus; научное объяснение сформировано по ароматическому профилю и пищевой матрице.</x:v>
      </x:c>
      <x:c r="AD683" s="28" t="n">
        <x:v>1</x:v>
      </x:c>
      <x:c r="AE683" s="28" t="n">
        <x:v>2</x:v>
      </x:c>
      <x:c r="AF683" s="28" t="n">
        <x:f>IF(Z683="Высокая",3,IF(Z683="Средняя",2,1))+AD683*2+MIN(AE683,3)</x:f>
        <x:v>6</x:v>
      </x:c>
    </x:row>
    <x:row r="684" ht="62" customHeight="1">
      <x:c r="A684" s="28" t="str">
        <x:v>NCT-0683</x:v>
      </x:c>
      <x:c r="B684" s="28" t="str">
        <x:v>шоколад</x:v>
      </x:c>
      <x:c r="C684" s="28" t="str">
        <x:v>Универсальные</x:v>
      </x:c>
      <x:c r="D684" s="28" t="str">
        <x:v>шоколад</x:v>
      </x:c>
      <x:c r="E684" s="28" t="str">
        <x:v>cocoa powder</x:v>
      </x:c>
      <x:c r="F684" s="28" t="str">
        <x:v>Какао и шоколад</x:v>
      </x:c>
      <x:c r="G684" s="28" t="str">
        <x:v>трюфель</x:v>
      </x:c>
      <x:c r="H684" s="28" t="str">
        <x:v>truffle</x:v>
      </x:c>
      <x:c r="I684" s="28" t="str">
        <x:v>Прочее</x:v>
      </x:c>
      <x:c r="J684" s="28" t="str">
        <x:v>жареный, какаовый, фруктовый, цветочный, древесный и пряный; профиль зависит от происхождения и обжарки</x:v>
      </x:c>
      <x:c r="K684" s="28" t="str">
        <x:v>профиль зависит от конкретного продукта</x:v>
      </x:c>
      <x:c r="L684" s="28" t="str">
        <x:v>пиразины, фураны, альдегиды, эфиры, теобромин</x:v>
      </x:c>
      <x:c r="M684" s="28" t="str">
        <x:v>характерный профиль зависит от конкретного продукта</x:v>
      </x:c>
      <x:c r="N684" s="28" t="str">
        <x:v>прямое пересечение семейств не является единственным объяснением</x:v>
      </x:c>
      <x:c r="O684" s="28" t="str">
        <x:v>надежная общая ключевая молекула не подтверждена</x:v>
      </x:c>
      <x:c r="P684" s="28" t="str">
        <x:v>сенсорная комплементарность</x:v>
      </x:c>
      <x:c r="Q684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84" s="28" t="str">
        <x:v>мягкая терпкость; теобромин и кофеин усиливают горькое послевкусие</x:v>
      </x:c>
      <x:c r="S684" s="28" t="str">
        <x:v>какао-масло с частицами какао и сахаром; плавление во рту медленно высвобождает гидрофобные ароматы</x:v>
      </x:c>
      <x:c r="T68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8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«трюфель»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84" s="28" t="str">
        <x:v>горечь и терпкость способны подавлять нежные продукты; содержит стимуляторы; аллергенные добавки возможны</x:v>
      </x:c>
      <x:c r="W684" s="28" t="str">
        <x:v>соль, ваниль или карамель</x:v>
      </x:c>
      <x:c r="X684" s="28" t="str">
        <x:v>ганаш, плитка, крем, мусс, напиток, глазурь или соус с трюфель</x:v>
      </x:c>
      <x:c r="Y684" s="28" t="str">
        <x:v>десерты</x:v>
      </x:c>
      <x:c r="Z684" s="28" t="str">
        <x:v>Средняя</x:v>
      </x:c>
      <x:c r="AA684" s="28" t="str">
        <x:v>The Art &amp; Science of Foodpairing.pdf</x:v>
      </x:c>
      <x:c r="AB684" s="28" t="str">
        <x:v>The Art &amp; Science of Foodpairing.pdf: 192</x:v>
      </x:c>
      <x:c r="AC684" s="28" t="str">
        <x:v>Пара встречается как grid; научное объяснение сформировано по ароматическому профилю и пищевой матрице.</x:v>
      </x:c>
      <x:c r="AD684" s="28" t="n">
        <x:v>1</x:v>
      </x:c>
      <x:c r="AE684" s="28" t="n">
        <x:v>2</x:v>
      </x:c>
      <x:c r="AF684" s="28" t="n">
        <x:f>IF(Z684="Высокая",3,IF(Z684="Средняя",2,1))+AD684*2+MIN(AE684,3)</x:f>
        <x:v>6</x:v>
      </x:c>
    </x:row>
    <x:row r="685" ht="62" customHeight="1">
      <x:c r="A685" s="28" t="str">
        <x:v>NCT-0684</x:v>
      </x:c>
      <x:c r="B685" s="28" t="str">
        <x:v>шоколад</x:v>
      </x:c>
      <x:c r="C685" s="28" t="str">
        <x:v>Еда и соусы</x:v>
      </x:c>
      <x:c r="D685" s="28" t="str">
        <x:v>шоколад</x:v>
      </x:c>
      <x:c r="E685" s="28" t="str">
        <x:v>шоколад</x:v>
      </x:c>
      <x:c r="F685" s="28" t="str">
        <x:v>Какао и шоколад</x:v>
      </x:c>
      <x:c r="G685" s="28" t="str">
        <x:v>тыква</x:v>
      </x:c>
      <x:c r="H685" s="28" t="str">
        <x:v>Тыква</x:v>
      </x:c>
      <x:c r="I685" s="28" t="str">
        <x:v>Овощи, бобовые и грибы</x:v>
      </x:c>
      <x:c r="J685" s="28" t="str">
        <x:v>жареный, какаовый, фруктовый, цветочный, древесный и пряный; профиль зависит от происхождения и обжарки</x:v>
      </x:c>
      <x:c r="K685" s="28" t="str">
        <x:v>зелёный, землистый или умами</x:v>
      </x:c>
      <x:c r="L685" s="28" t="str">
        <x:v>пиразины, фураны, альдегиды, эфиры, теобромин</x:v>
      </x:c>
      <x:c r="M685" s="28" t="str">
        <x:v>альдегиды, сернистые соединения</x:v>
      </x:c>
      <x:c r="N685" s="28" t="str">
        <x:v>прямое пересечение семейств не является единственным объяснением</x:v>
      </x:c>
      <x:c r="O685" s="28" t="str">
        <x:v>альдегиды</x:v>
      </x:c>
      <x:c r="P685" s="28" t="str">
        <x:v>общие ароматические соединения</x:v>
      </x:c>
      <x:c r="Q685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85" s="28" t="str">
        <x:v>мягкая терпкость; теобромин и кофеин усиливают горькое послевкусие</x:v>
      </x:c>
      <x:c r="S685" s="28" t="str">
        <x:v>какао-масло с частицами какао и сахаром; плавление во рту медленно высвобождает гидрофобные ароматы</x:v>
      </x:c>
      <x:c r="T68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8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«тыква»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V685" s="28" t="str">
        <x:v>горечь и терпкость способны подавлять нежные продукты; содержит стимуляторы; аллергенные добавки возможны</x:v>
      </x:c>
      <x:c r="W685" s="28" t="str">
        <x:v>соль, ваниль или карамель</x:v>
      </x:c>
      <x:c r="X685" s="28" t="str">
        <x:v>ганаш, плитка, крем, мусс, напиток, глазурь или соус с тыква</x:v>
      </x:c>
      <x:c r="Y685" s="28" t="str">
        <x:v>еда, десерты, соусы/маринады</x:v>
      </x:c>
      <x:c r="Z685" s="28" t="str">
        <x:v>Гипотеза / практическая</x:v>
      </x:c>
      <x:c r="AA685" s="28" t="str">
        <x:v>Таблица сочетания(1).pdf</x:v>
      </x:c>
      <x:c r="AB685" s="28" t="str">
        <x:v>Таблица сочетания(1).pdf: 18</x:v>
      </x:c>
      <x:c r="AC685" s="28" t="str">
        <x:v>Пара встречается как table; научное объяснение сформировано по ароматическому профилю и пищевой матрице.</x:v>
      </x:c>
      <x:c r="AD685" s="28" t="n">
        <x:v>1</x:v>
      </x:c>
      <x:c r="AE685" s="28" t="n">
        <x:v>1</x:v>
      </x:c>
      <x:c r="AF685" s="28" t="n">
        <x:f>IF(Z685="Высокая",3,IF(Z685="Средняя",2,1))+AD685*2+MIN(AE685,3)</x:f>
        <x:v>4</x:v>
      </x:c>
    </x:row>
    <x:row r="686" ht="62" customHeight="1">
      <x:c r="A686" s="28" t="str">
        <x:v>NCT-0685</x:v>
      </x:c>
      <x:c r="B686" s="28" t="str">
        <x:v>шоколад</x:v>
      </x:c>
      <x:c r="C686" s="28" t="str">
        <x:v>Универсальные</x:v>
      </x:c>
      <x:c r="D686" s="28" t="str">
        <x:v>шоколад</x:v>
      </x:c>
      <x:c r="E686" s="28" t="str">
        <x:v>шоколад</x:v>
      </x:c>
      <x:c r="F686" s="28" t="str">
        <x:v>Какао и шоколад</x:v>
      </x:c>
      <x:c r="G686" s="28" t="str">
        <x:v>финик</x:v>
      </x:c>
      <x:c r="H686" s="28" t="str">
        <x:v>Финик</x:v>
      </x:c>
      <x:c r="I686" s="28" t="str">
        <x:v>Прочее</x:v>
      </x:c>
      <x:c r="J686" s="28" t="str">
        <x:v>жареный, какаовый, фруктовый, цветочный, древесный и пряный; профиль зависит от происхождения и обжарки</x:v>
      </x:c>
      <x:c r="K686" s="28" t="str">
        <x:v>профиль зависит от конкретного продукта</x:v>
      </x:c>
      <x:c r="L686" s="28" t="str">
        <x:v>пиразины, фураны, альдегиды, эфиры, теобромин</x:v>
      </x:c>
      <x:c r="M686" s="28" t="str">
        <x:v>характерный профиль зависит от конкретного продукта</x:v>
      </x:c>
      <x:c r="N686" s="28" t="str">
        <x:v>прямое пересечение семейств не является единственным объяснением</x:v>
      </x:c>
      <x:c r="O686" s="28" t="str">
        <x:v>надежная общая ключевая молекула не подтверждена</x:v>
      </x:c>
      <x:c r="P686" s="28" t="str">
        <x:v>сенсорная комплементарность</x:v>
      </x:c>
      <x:c r="Q686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86" s="28" t="str">
        <x:v>мягкая терпкость; теобромин и кофеин усиливают горькое послевкусие</x:v>
      </x:c>
      <x:c r="S686" s="28" t="str">
        <x:v>какао-масло с частицами какао и сахаром; плавление во рту медленно высвобождает гидрофобные ароматы</x:v>
      </x:c>
      <x:c r="T68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8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«финик»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86" s="28" t="str">
        <x:v>горечь и терпкость способны подавлять нежные продукты; содержит стимуляторы; аллергенные добавки возможны</x:v>
      </x:c>
      <x:c r="W686" s="28" t="str">
        <x:v>соль, ваниль или карамель</x:v>
      </x:c>
      <x:c r="X686" s="28" t="str">
        <x:v>ганаш, плитка, крем, мусс, напиток, глазурь или соус с финик</x:v>
      </x:c>
      <x:c r="Y686" s="28" t="str">
        <x:v>десерты</x:v>
      </x:c>
      <x:c r="Z686" s="28" t="str">
        <x:v>Гипотеза / практическая</x:v>
      </x:c>
      <x:c r="AA686" s="28" t="str">
        <x:v>Таблица сочетания(1).pdf</x:v>
      </x:c>
      <x:c r="AB686" s="28" t="str">
        <x:v>Таблица сочетания(1).pdf: 7</x:v>
      </x:c>
      <x:c r="AC686" s="28" t="str">
        <x:v>Пара встречается как table; научное объяснение сформировано по ароматическому профилю и пищевой матрице.</x:v>
      </x:c>
      <x:c r="AD686" s="28" t="n">
        <x:v>1</x:v>
      </x:c>
      <x:c r="AE686" s="28" t="n">
        <x:v>1</x:v>
      </x:c>
      <x:c r="AF686" s="28" t="n">
        <x:f>IF(Z686="Высокая",3,IF(Z686="Средняя",2,1))+AD686*2+MIN(AE686,3)</x:f>
        <x:v>4</x:v>
      </x:c>
    </x:row>
    <x:row r="687" ht="62" customHeight="1">
      <x:c r="A687" s="28" t="str">
        <x:v>NCT-0686</x:v>
      </x:c>
      <x:c r="B687" s="28" t="str">
        <x:v>шоколад</x:v>
      </x:c>
      <x:c r="C687" s="28" t="str">
        <x:v>Еда и соусы</x:v>
      </x:c>
      <x:c r="D687" s="28" t="str">
        <x:v>шоколад</x:v>
      </x:c>
      <x:c r="E687" s="28" t="str">
        <x:v>chocolate | Шоколад | шоколад</x:v>
      </x:c>
      <x:c r="F687" s="28" t="str">
        <x:v>Какао и шоколад</x:v>
      </x:c>
      <x:c r="G687" s="28" t="str">
        <x:v>цветная капуста</x:v>
      </x:c>
      <x:c r="H687" s="28" t="str">
        <x:v>cauliflower | Цветная капуста | цветная капуста</x:v>
      </x:c>
      <x:c r="I687" s="28" t="str">
        <x:v>Овощи, бобовые и грибы</x:v>
      </x:c>
      <x:c r="J687" s="28" t="str">
        <x:v>жареный, какаовый, фруктовый, цветочный, древесный и пряный; профиль зависит от происхождения и обжарки</x:v>
      </x:c>
      <x:c r="K687" s="28" t="str">
        <x:v>зелёный, землистый или умами</x:v>
      </x:c>
      <x:c r="L687" s="28" t="str">
        <x:v>пиразины, фураны, альдегиды, эфиры, теобромин</x:v>
      </x:c>
      <x:c r="M687" s="28" t="str">
        <x:v>альдегиды, сернистые соединения</x:v>
      </x:c>
      <x:c r="N687" s="28" t="str">
        <x:v>прямое пересечение семейств не является единственным объяснением</x:v>
      </x:c>
      <x:c r="O687" s="28" t="str">
        <x:v>альдегиды</x:v>
      </x:c>
      <x:c r="P687" s="28" t="str">
        <x:v>общие ароматические соединения</x:v>
      </x:c>
      <x:c r="Q687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87" s="28" t="str">
        <x:v>мягкая терпкость; теобромин и кофеин усиливают горькое послевкусие</x:v>
      </x:c>
      <x:c r="S687" s="28" t="str">
        <x:v>какао-масло с частицами какао и сахаром; плавление во рту медленно высвобождает гидрофобные ароматы</x:v>
      </x:c>
      <x:c r="T68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8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«цветная капуста»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V687" s="28" t="str">
        <x:v>горечь и терпкость способны подавлять нежные продукты; содержит стимуляторы; аллергенные добавки возможны</x:v>
      </x:c>
      <x:c r="W687" s="28" t="str">
        <x:v>соль, ваниль или карамель</x:v>
      </x:c>
      <x:c r="X687" s="28" t="str">
        <x:v>ганаш, плитка, крем, мусс, напиток, глазурь или соус с цветная капуста</x:v>
      </x:c>
      <x:c r="Y687" s="28" t="str">
        <x:v>еда, десерты, соусы/маринады</x:v>
      </x:c>
      <x:c r="Z687" s="28" t="str">
        <x:v>Высокая</x:v>
      </x:c>
      <x:c r="AA687" s="28" t="str">
        <x:v>The Art &amp; Science of Foodpairing.pdf | Тезариус вкусов (Ники Сегнит)(1).pdf</x:v>
      </x:c>
      <x:c r="AB687" s="28" t="str">
        <x:v>The Art &amp; Science of Foodpairing.pdf: 63; Тезариус вкусов (Ники Сегнит)(1).pdf: 37, 327</x:v>
      </x:c>
      <x:c r="AC687" s="28" t="str">
        <x:v>Пара встречается как chef's, thesaurus; научное объяснение сформировано по ароматическому профилю и пищевой матрице.</x:v>
      </x:c>
      <x:c r="AD687" s="28" t="n">
        <x:v>2</x:v>
      </x:c>
      <x:c r="AE687" s="28" t="n">
        <x:v>3</x:v>
      </x:c>
      <x:c r="AF687" s="28" t="n">
        <x:f>IF(Z687="Высокая",3,IF(Z687="Средняя",2,1))+AD687*2+MIN(AE687,3)</x:f>
        <x:v>10</x:v>
      </x:c>
    </x:row>
    <x:row r="688" ht="62" customHeight="1">
      <x:c r="A688" s="28" t="str">
        <x:v>NCT-0687</x:v>
      </x:c>
      <x:c r="B688" s="28" t="str">
        <x:v>шоколад</x:v>
      </x:c>
      <x:c r="C688" s="28" t="str">
        <x:v>Универсальные</x:v>
      </x:c>
      <x:c r="D688" s="28" t="str">
        <x:v>шоколад</x:v>
      </x:c>
      <x:c r="E688" s="28" t="str">
        <x:v>chocolate</x:v>
      </x:c>
      <x:c r="F688" s="28" t="str">
        <x:v>Какао и шоколад</x:v>
      </x:c>
      <x:c r="G688" s="28" t="str">
        <x:v>цветы бузины</x:v>
      </x:c>
      <x:c r="H688" s="28" t="str">
        <x:v>elderflower blossom</x:v>
      </x:c>
      <x:c r="I688" s="28" t="str">
        <x:v>Травы, цветы и листья</x:v>
      </x:c>
      <x:c r="J688" s="28" t="str">
        <x:v>жареный, какаовый, фруктовый, цветочный, древесный и пряный; профиль зависит от происхождения и обжарки</x:v>
      </x:c>
      <x:c r="K688" s="28" t="str">
        <x:v>зелёный, цветочный и терпеновый</x:v>
      </x:c>
      <x:c r="L688" s="28" t="str">
        <x:v>пиразины, фураны, альдегиды, эфиры, теобромин</x:v>
      </x:c>
      <x:c r="M688" s="28" t="str">
        <x:v>линалоол, терпены</x:v>
      </x:c>
      <x:c r="N688" s="28" t="str">
        <x:v>прямое пересечение семейств не является единственным объяснением</x:v>
      </x:c>
      <x:c r="O688" s="28" t="str">
        <x:v>надежная общая ключевая молекула не подтверждена</x:v>
      </x:c>
      <x:c r="P688" s="28" t="str">
        <x:v>сенсорная комплементарность</x:v>
      </x:c>
      <x:c r="Q688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88" s="28" t="str">
        <x:v>мягкая терпкость; теобромин и кофеин усиливают горькое послевкусие</x:v>
      </x:c>
      <x:c r="S688" s="28" t="str">
        <x:v>какао-масло с частицами какао и сахаром; плавление во рту медленно высвобождает гидрофобные ароматы</x:v>
      </x:c>
      <x:c r="T68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8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«цветы бузины»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88" s="28" t="str">
        <x:v>горечь и терпкость способны подавлять нежные продукты; содержит стимуляторы; аллергенные добавки возможны</x:v>
      </x:c>
      <x:c r="W688" s="28" t="str">
        <x:v>цитрус, мёд или сливки</x:v>
      </x:c>
      <x:c r="X688" s="28" t="str">
        <x:v>ганаш, плитка, крем, мусс, напиток, глазурь или соус с цветы бузины</x:v>
      </x:c>
      <x:c r="Y688" s="28" t="str">
        <x:v>десерты</x:v>
      </x:c>
      <x:c r="Z688" s="28" t="str">
        <x:v>Средняя</x:v>
      </x:c>
      <x:c r="AA688" s="28" t="str">
        <x:v>The Art &amp; Science of Foodpairing.pdf</x:v>
      </x:c>
      <x:c r="AB688" s="28" t="str">
        <x:v>The Art &amp; Science of Foodpairing.pdf: 62</x:v>
      </x:c>
      <x:c r="AC688" s="28" t="str">
        <x:v>Пара встречается как grid; научное объяснение сформировано по ароматическому профилю и пищевой матрице.</x:v>
      </x:c>
      <x:c r="AD688" s="28" t="n">
        <x:v>1</x:v>
      </x:c>
      <x:c r="AE688" s="28" t="n">
        <x:v>1</x:v>
      </x:c>
      <x:c r="AF688" s="28" t="n">
        <x:f>IF(Z688="Высокая",3,IF(Z688="Средняя",2,1))+AD688*2+MIN(AE688,3)</x:f>
        <x:v>5</x:v>
      </x:c>
    </x:row>
    <x:row r="689" ht="62" customHeight="1">
      <x:c r="A689" s="28" t="str">
        <x:v>NCT-0688</x:v>
      </x:c>
      <x:c r="B689" s="28" t="str">
        <x:v>шоколад</x:v>
      </x:c>
      <x:c r="C689" s="28" t="str">
        <x:v>Универсальные</x:v>
      </x:c>
      <x:c r="D689" s="28" t="str">
        <x:v>шоколад</x:v>
      </x:c>
      <x:c r="E689" s="28" t="str">
        <x:v>chocolate</x:v>
      </x:c>
      <x:c r="F689" s="28" t="str">
        <x:v>Какао и шоколад</x:v>
      </x:c>
      <x:c r="G689" s="28" t="str">
        <x:v>цитрусовые</x:v>
      </x:c>
      <x:c r="H689" s="28" t="str">
        <x:v>citrus</x:v>
      </x:c>
      <x:c r="I689" s="28" t="str">
        <x:v>Прочее</x:v>
      </x:c>
      <x:c r="J689" s="28" t="str">
        <x:v>жареный, какаовый, фруктовый, цветочный, древесный и пряный; профиль зависит от происхождения и обжарки</x:v>
      </x:c>
      <x:c r="K689" s="28" t="str">
        <x:v>профиль зависит от конкретного продукта</x:v>
      </x:c>
      <x:c r="L689" s="28" t="str">
        <x:v>пиразины, фураны, альдегиды, эфиры, теобромин</x:v>
      </x:c>
      <x:c r="M689" s="28" t="str">
        <x:v>характерный профиль зависит от конкретного продукта</x:v>
      </x:c>
      <x:c r="N689" s="28" t="str">
        <x:v>прямое пересечение семейств не является единственным объяснением</x:v>
      </x:c>
      <x:c r="O689" s="28" t="str">
        <x:v>надежная общая ключевая молекула не подтверждена</x:v>
      </x:c>
      <x:c r="P689" s="28" t="str">
        <x:v>сенсорная комплементарность</x:v>
      </x:c>
      <x:c r="Q689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89" s="28" t="str">
        <x:v>мягкая терпкость; теобромин и кофеин усиливают горькое послевкусие</x:v>
      </x:c>
      <x:c r="S689" s="28" t="str">
        <x:v>какао-масло с частицами какао и сахаром; плавление во рту медленно высвобождает гидрофобные ароматы</x:v>
      </x:c>
      <x:c r="T68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8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«цитрусовые»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89" s="28" t="str">
        <x:v>горечь и терпкость способны подавлять нежные продукты; содержит стимуляторы; аллергенные добавки возможны</x:v>
      </x:c>
      <x:c r="W689" s="28" t="str">
        <x:v>соль, ваниль или карамель</x:v>
      </x:c>
      <x:c r="X689" s="28" t="str">
        <x:v>ганаш, плитка, крем, мусс, напиток, глазурь или соус с цитрусовые</x:v>
      </x:c>
      <x:c r="Y689" s="28" t="str">
        <x:v>десерты</x:v>
      </x:c>
      <x:c r="Z689" s="28" t="str">
        <x:v>Высокая</x:v>
      </x:c>
      <x:c r="AA689" s="28" t="str">
        <x:v>The Art &amp; Science of Foodpairing.pdf</x:v>
      </x:c>
      <x:c r="AB689" s="28" t="str">
        <x:v>The Art &amp; Science of Foodpairing.pdf: 63</x:v>
      </x:c>
      <x:c r="AC689" s="28" t="str">
        <x:v>Пара встречается как classic; научное объяснение сформировано по ароматическому профилю и пищевой матрице.</x:v>
      </x:c>
      <x:c r="AD689" s="28" t="n">
        <x:v>1</x:v>
      </x:c>
      <x:c r="AE689" s="28" t="n">
        <x:v>1</x:v>
      </x:c>
      <x:c r="AF689" s="28" t="n">
        <x:f>IF(Z689="Высокая",3,IF(Z689="Средняя",2,1))+AD689*2+MIN(AE689,3)</x:f>
        <x:v>6</x:v>
      </x:c>
    </x:row>
    <x:row r="690" ht="62" customHeight="1">
      <x:c r="A690" s="28" t="str">
        <x:v>NCT-0689</x:v>
      </x:c>
      <x:c r="B690" s="28" t="str">
        <x:v>шоколад</x:v>
      </x:c>
      <x:c r="C690" s="28" t="str">
        <x:v>Универсальные</x:v>
      </x:c>
      <x:c r="D690" s="28" t="str">
        <x:v>шоколад</x:v>
      </x:c>
      <x:c r="E690" s="28" t="str">
        <x:v>Шоколад | шоколад</x:v>
      </x:c>
      <x:c r="F690" s="28" t="str">
        <x:v>Какао и шоколад</x:v>
      </x:c>
      <x:c r="G690" s="28" t="str">
        <x:v>черная смородина</x:v>
      </x:c>
      <x:c r="H690" s="28" t="str">
        <x:v>Черная смородина | черная смородина</x:v>
      </x:c>
      <x:c r="I690" s="28" t="str">
        <x:v>Прочее</x:v>
      </x:c>
      <x:c r="J690" s="28" t="str">
        <x:v>жареный, какаовый, фруктовый, цветочный, древесный и пряный; профиль зависит от происхождения и обжарки</x:v>
      </x:c>
      <x:c r="K690" s="28" t="str">
        <x:v>профиль зависит от конкретного продукта</x:v>
      </x:c>
      <x:c r="L690" s="28" t="str">
        <x:v>пиразины, фураны, альдегиды, эфиры, теобромин</x:v>
      </x:c>
      <x:c r="M690" s="28" t="str">
        <x:v>характерный профиль зависит от конкретного продукта</x:v>
      </x:c>
      <x:c r="N690" s="28" t="str">
        <x:v>прямое пересечение семейств не является единственным объяснением</x:v>
      </x:c>
      <x:c r="O690" s="28" t="str">
        <x:v>надежная общая ключевая молекула не подтверждена</x:v>
      </x:c>
      <x:c r="P690" s="28" t="str">
        <x:v>сенсорная комплементарность</x:v>
      </x:c>
      <x:c r="Q690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90" s="28" t="str">
        <x:v>мягкая терпкость; теобромин и кофеин усиливают горькое послевкусие</x:v>
      </x:c>
      <x:c r="S690" s="28" t="str">
        <x:v>какао-масло с частицами какао и сахаром; плавление во рту медленно высвобождает гидрофобные ароматы</x:v>
      </x:c>
      <x:c r="T69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9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«черная смородина»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90" s="28" t="str">
        <x:v>горечь и терпкость способны подавлять нежные продукты; содержит стимуляторы; аллергенные добавки возможны</x:v>
      </x:c>
      <x:c r="W690" s="28" t="str">
        <x:v>соль, ваниль или карамель</x:v>
      </x:c>
      <x:c r="X690" s="28" t="str">
        <x:v>ганаш, плитка, крем, мусс, напиток, глазурь или соус с черная смородина</x:v>
      </x:c>
      <x:c r="Y690" s="28" t="str">
        <x:v>десерты</x:v>
      </x:c>
      <x:c r="Z690" s="28" t="str">
        <x:v>Средняя</x:v>
      </x:c>
      <x:c r="AA690" s="28" t="str">
        <x:v>Тезариус вкусов (Ники Сегнит)(1).pdf</x:v>
      </x:c>
      <x:c r="AB690" s="28" t="str">
        <x:v>Тезариус вкусов (Ники Сегнит)(1).pdf: 37, 878</x:v>
      </x:c>
      <x:c r="AC690" s="28" t="str">
        <x:v>Пара встречается как thesaurus; научное объяснение сформировано по ароматическому профилю и пищевой матрице.</x:v>
      </x:c>
      <x:c r="AD690" s="28" t="n">
        <x:v>1</x:v>
      </x:c>
      <x:c r="AE690" s="28" t="n">
        <x:v>2</x:v>
      </x:c>
      <x:c r="AF690" s="28" t="n">
        <x:f>IF(Z690="Высокая",3,IF(Z690="Средняя",2,1))+AD690*2+MIN(AE690,3)</x:f>
        <x:v>6</x:v>
      </x:c>
    </x:row>
    <x:row r="691" ht="62" customHeight="1">
      <x:c r="A691" s="28" t="str">
        <x:v>NCT-0690</x:v>
      </x:c>
      <x:c r="B691" s="28" t="str">
        <x:v>шоколад</x:v>
      </x:c>
      <x:c r="C691" s="28" t="str">
        <x:v>Десерты и выпечка</x:v>
      </x:c>
      <x:c r="D691" s="28" t="str">
        <x:v>шоколад</x:v>
      </x:c>
      <x:c r="E691" s="28" t="str">
        <x:v>тёмный шоколад</x:v>
      </x:c>
      <x:c r="F691" s="28" t="str">
        <x:v>Какао и шоколад</x:v>
      </x:c>
      <x:c r="G691" s="28" t="str">
        <x:v>чернослив</x:v>
      </x:c>
      <x:c r="H691" s="28" t="str">
        <x:v>Чернослив</x:v>
      </x:c>
      <x:c r="I691" s="28" t="str">
        <x:v>Фрукты и ягоды</x:v>
      </x:c>
      <x:c r="J691" s="28" t="str">
        <x:v>жареный, какаовый, фруктовый, цветочный, древесный и пряный; профиль зависит от происхождения и обжарки</x:v>
      </x:c>
      <x:c r="K691" s="28" t="str">
        <x:v>фруктовый, цветочный и свежий</x:v>
      </x:c>
      <x:c r="L691" s="28" t="str">
        <x:v>пиразины, фураны, альдегиды, эфиры, теобромин</x:v>
      </x:c>
      <x:c r="M691" s="28" t="str">
        <x:v>альдегиды, эфиры</x:v>
      </x:c>
      <x:c r="N691" s="28" t="str">
        <x:v>фруктовый</x:v>
      </x:c>
      <x:c r="O691" s="28" t="str">
        <x:v>альдегиды, эфиры</x:v>
      </x:c>
      <x:c r="P691" s="28" t="str">
        <x:v>общие ароматические соединения, пересечение ароматических семейств, контраст кислоты и жирной/горькой матрицы</x:v>
      </x:c>
      <x:c r="Q691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91" s="28" t="str">
        <x:v>мягкая терпкость; теобромин и кофеин усиливают горькое послевкусие</x:v>
      </x:c>
      <x:c r="S691" s="28" t="str">
        <x:v>какао-масло с частицами какао и сахаром; плавление во рту медленно высвобождает гидрофобные ароматы Водная фруктовая фаза требует эмульсии или мелкого измельчения, если орех или шоколад вводится как паста.</x:v>
      </x:c>
      <x:c r="T69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9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«чернослив»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V691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W691" s="28" t="str">
        <x:v>ваниль, цитрус или молочный жир</x:v>
      </x:c>
      <x:c r="X691" s="28" t="str">
        <x:v>ганаш, плитка, крем, мусс, напиток, глазурь или соус с чернослив</x:v>
      </x:c>
      <x:c r="Y691" s="28" t="str">
        <x:v>десерты</x:v>
      </x:c>
      <x:c r="Z691" s="28" t="str">
        <x:v>Гипотеза / практическая</x:v>
      </x:c>
      <x:c r="AA691" s="28" t="str">
        <x:v>Таблица сочетания(1).pdf</x:v>
      </x:c>
      <x:c r="AB691" s="28" t="str">
        <x:v>Таблица сочетания(1).pdf: 18</x:v>
      </x:c>
      <x:c r="AC691" s="28" t="str">
        <x:v>Пара встречается как table; научное объяснение сформировано по ароматическому профилю и пищевой матрице.</x:v>
      </x:c>
      <x:c r="AD691" s="28" t="n">
        <x:v>1</x:v>
      </x:c>
      <x:c r="AE691" s="28" t="n">
        <x:v>1</x:v>
      </x:c>
      <x:c r="AF691" s="28" t="n">
        <x:f>IF(Z691="Высокая",3,IF(Z691="Средняя",2,1))+AD691*2+MIN(AE691,3)</x:f>
        <x:v>4</x:v>
      </x:c>
    </x:row>
    <x:row r="692" ht="62" customHeight="1">
      <x:c r="A692" s="28" t="str">
        <x:v>NCT-0691</x:v>
      </x:c>
      <x:c r="B692" s="28" t="str">
        <x:v>шоколад</x:v>
      </x:c>
      <x:c r="C692" s="28" t="str">
        <x:v>Десерты и выпечка</x:v>
      </x:c>
      <x:c r="D692" s="28" t="str">
        <x:v>шоколад</x:v>
      </x:c>
      <x:c r="E692" s="28" t="str">
        <x:v>chocolate</x:v>
      </x:c>
      <x:c r="F692" s="28" t="str">
        <x:v>Какао и шоколад</x:v>
      </x:c>
      <x:c r="G692" s="28" t="str">
        <x:v>чернослив ажен</x:v>
      </x:c>
      <x:c r="H692" s="28" t="str">
        <x:v>Agen prunes</x:v>
      </x:c>
      <x:c r="I692" s="28" t="str">
        <x:v>Фрукты и ягоды</x:v>
      </x:c>
      <x:c r="J692" s="28" t="str">
        <x:v>жареный, какаовый, фруктовый, цветочный, древесный и пряный; профиль зависит от происхождения и обжарки</x:v>
      </x:c>
      <x:c r="K692" s="28" t="str">
        <x:v>фруктовый, цветочный и свежий</x:v>
      </x:c>
      <x:c r="L692" s="28" t="str">
        <x:v>пиразины, фураны, альдегиды, эфиры, теобромин</x:v>
      </x:c>
      <x:c r="M692" s="28" t="str">
        <x:v>альдегиды, эфиры</x:v>
      </x:c>
      <x:c r="N692" s="28" t="str">
        <x:v>фруктовый</x:v>
      </x:c>
      <x:c r="O692" s="28" t="str">
        <x:v>альдегиды, эфиры</x:v>
      </x:c>
      <x:c r="P692" s="28" t="str">
        <x:v>общие ароматические соединения, пересечение ароматических семейств, контраст кислоты и жирной/горькой матрицы</x:v>
      </x:c>
      <x:c r="Q692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92" s="28" t="str">
        <x:v>мягкая терпкость; теобромин и кофеин усиливают горькое послевкусие</x:v>
      </x:c>
      <x:c r="S692" s="28" t="str">
        <x:v>какао-масло с частицами какао и сахаром; плавление во рту медленно высвобождает гидрофобные ароматы Водная фруктовая фаза требует эмульсии или мелкого измельчения, если орех или шоколад вводится как паста.</x:v>
      </x:c>
      <x:c r="T69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9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«чернослив ажен»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V692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W692" s="28" t="str">
        <x:v>ваниль, цитрус или молочный жир</x:v>
      </x:c>
      <x:c r="X692" s="28" t="str">
        <x:v>ганаш, плитка, крем, мусс, напиток, глазурь или соус с чернослив ажен</x:v>
      </x:c>
      <x:c r="Y692" s="28" t="str">
        <x:v>десерты</x:v>
      </x:c>
      <x:c r="Z692" s="28" t="str">
        <x:v>Средняя</x:v>
      </x:c>
      <x:c r="AA692" s="28" t="str">
        <x:v>The Art &amp; Science of Foodpairing.pdf</x:v>
      </x:c>
      <x:c r="AB692" s="28" t="str">
        <x:v>The Art &amp; Science of Foodpairing.pdf: 62</x:v>
      </x:c>
      <x:c r="AC692" s="28" t="str">
        <x:v>Пара встречается как grid; научное объяснение сформировано по ароматическому профилю и пищевой матрице.</x:v>
      </x:c>
      <x:c r="AD692" s="28" t="n">
        <x:v>1</x:v>
      </x:c>
      <x:c r="AE692" s="28" t="n">
        <x:v>1</x:v>
      </x:c>
      <x:c r="AF692" s="28" t="n">
        <x:f>IF(Z692="Высокая",3,IF(Z692="Средняя",2,1))+AD692*2+MIN(AE692,3)</x:f>
        <x:v>5</x:v>
      </x:c>
    </x:row>
    <x:row r="693" ht="62" customHeight="1">
      <x:c r="A693" s="28" t="str">
        <x:v>NCT-0692</x:v>
      </x:c>
      <x:c r="B693" s="28" t="str">
        <x:v>шоколад</x:v>
      </x:c>
      <x:c r="C693" s="28" t="str">
        <x:v>Универсальные</x:v>
      </x:c>
      <x:c r="D693" s="28" t="str">
        <x:v>шоколад</x:v>
      </x:c>
      <x:c r="E693" s="28" t="str">
        <x:v>Шоколад | шоколад</x:v>
      </x:c>
      <x:c r="F693" s="28" t="str">
        <x:v>Какао и шоколад</x:v>
      </x:c>
      <x:c r="G693" s="28" t="str">
        <x:v>чили</x:v>
      </x:c>
      <x:c r="H693" s="28" t="str">
        <x:v>Чили | чили</x:v>
      </x:c>
      <x:c r="I693" s="28" t="str">
        <x:v>Специи</x:v>
      </x:c>
      <x:c r="J693" s="28" t="str">
        <x:v>жареный, какаовый, фруктовый, цветочный, древесный и пряный; профиль зависит от происхождения и обжарки</x:v>
      </x:c>
      <x:c r="K693" s="28" t="str">
        <x:v>пряный и древесный</x:v>
      </x:c>
      <x:c r="L693" s="28" t="str">
        <x:v>пиразины, фураны, альдегиды, эфиры, теобромин</x:v>
      </x:c>
      <x:c r="M693" s="28" t="str">
        <x:v>терпены, фенилпропаноиды</x:v>
      </x:c>
      <x:c r="N693" s="28" t="str">
        <x:v>древесный</x:v>
      </x:c>
      <x:c r="O693" s="28" t="str">
        <x:v>надежная общая ключевая молекула не подтверждена</x:v>
      </x:c>
      <x:c r="P693" s="28" t="str">
        <x:v>пересечение ароматических семейств</x:v>
      </x:c>
      <x:c r="Q693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93" s="28" t="str">
        <x:v>мягкая терпкость; теобромин и кофеин усиливают горькое послевкусие; у острого партнёра тройничный эффект может доминировать</x:v>
      </x:c>
      <x:c r="S693" s="28" t="str">
        <x:v>какао-масло с частицами какао и сахаром; плавление во рту медленно высвобождает гидрофобные ароматы</x:v>
      </x:c>
      <x:c r="T69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9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«чили» относится к группе «Специи» и даёт пряный и древесный.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V693" s="28" t="str">
        <x:v>горечь и терпкость способны подавлять нежные продукты; содержит стимуляторы; аллергенные добавки возможны</x:v>
      </x:c>
      <x:c r="W693" s="28" t="str">
        <x:v>ваниль, апельсин или мёд</x:v>
      </x:c>
      <x:c r="X693" s="28" t="str">
        <x:v>ганаш, плитка, крем, мусс, напиток, глазурь или соус с чили</x:v>
      </x:c>
      <x:c r="Y693" s="28" t="str">
        <x:v>десерты</x:v>
      </x:c>
      <x:c r="Z693" s="28" t="str">
        <x:v>Средняя</x:v>
      </x:c>
      <x:c r="AA693" s="28" t="str">
        <x:v>Тезариус вкусов (Ники Сегнит)(1).pdf</x:v>
      </x:c>
      <x:c r="AB693" s="28" t="str">
        <x:v>Тезариус вкусов (Ники Сегнит)(1).pdf: 38, 562</x:v>
      </x:c>
      <x:c r="AC693" s="28" t="str">
        <x:v>Пара встречается как thesaurus; научное объяснение сформировано по ароматическому профилю и пищевой матрице.</x:v>
      </x:c>
      <x:c r="AD693" s="28" t="n">
        <x:v>1</x:v>
      </x:c>
      <x:c r="AE693" s="28" t="n">
        <x:v>2</x:v>
      </x:c>
      <x:c r="AF693" s="28" t="n">
        <x:f>IF(Z693="Высокая",3,IF(Z693="Средняя",2,1))+AD693*2+MIN(AE693,3)</x:f>
        <x:v>6</x:v>
      </x:c>
    </x:row>
    <x:row r="694" ht="62" customHeight="1">
      <x:c r="A694" s="28" t="str">
        <x:v>NCT-0693</x:v>
      </x:c>
      <x:c r="B694" s="28" t="str">
        <x:v>шоколад</x:v>
      </x:c>
      <x:c r="C694" s="28" t="str">
        <x:v>Универсальные</x:v>
      </x:c>
      <x:c r="D694" s="28" t="str">
        <x:v>шоколад</x:v>
      </x:c>
      <x:c r="E694" s="28" t="str">
        <x:v>шоколад</x:v>
      </x:c>
      <x:c r="F694" s="28" t="str">
        <x:v>Какао и шоколад</x:v>
      </x:c>
      <x:c r="G694" s="28" t="str">
        <x:v>чили (перцы)</x:v>
      </x:c>
      <x:c r="H694" s="28" t="str">
        <x:v>Чили (перцы)</x:v>
      </x:c>
      <x:c r="I694" s="28" t="str">
        <x:v>Специи</x:v>
      </x:c>
      <x:c r="J694" s="28" t="str">
        <x:v>жареный, какаовый, фруктовый, цветочный, древесный и пряный; профиль зависит от происхождения и обжарки</x:v>
      </x:c>
      <x:c r="K694" s="28" t="str">
        <x:v>пряный и древесный</x:v>
      </x:c>
      <x:c r="L694" s="28" t="str">
        <x:v>пиразины, фураны, альдегиды, эфиры, теобромин</x:v>
      </x:c>
      <x:c r="M694" s="28" t="str">
        <x:v>терпены, фенилпропаноиды</x:v>
      </x:c>
      <x:c r="N694" s="28" t="str">
        <x:v>древесный</x:v>
      </x:c>
      <x:c r="O694" s="28" t="str">
        <x:v>надежная общая ключевая молекула не подтверждена</x:v>
      </x:c>
      <x:c r="P694" s="28" t="str">
        <x:v>пересечение ароматических семейств</x:v>
      </x:c>
      <x:c r="Q694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94" s="28" t="str">
        <x:v>мягкая терпкость; теобромин и кофеин усиливают горькое послевкусие; у острого партнёра тройничный эффект может доминировать</x:v>
      </x:c>
      <x:c r="S694" s="28" t="str">
        <x:v>какао-масло с частицами какао и сахаром; плавление во рту медленно высвобождает гидрофобные ароматы</x:v>
      </x:c>
      <x:c r="T69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9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«чили (перцы)» относится к группе «Специи» и даёт пряный и древесный.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V694" s="28" t="str">
        <x:v>горечь и терпкость способны подавлять нежные продукты; содержит стимуляторы; аллергенные добавки возможны</x:v>
      </x:c>
      <x:c r="W694" s="28" t="str">
        <x:v>ваниль, апельсин или мёд</x:v>
      </x:c>
      <x:c r="X694" s="28" t="str">
        <x:v>ганаш, плитка, крем, мусс, напиток, глазурь или соус с чили (перцы)</x:v>
      </x:c>
      <x:c r="Y694" s="28" t="str">
        <x:v>десерты</x:v>
      </x:c>
      <x:c r="Z694" s="28" t="str">
        <x:v>Гипотеза / практическая</x:v>
      </x:c>
      <x:c r="AA694" s="28" t="str">
        <x:v>Таблица сочетания(1).pdf</x:v>
      </x:c>
      <x:c r="AB694" s="28" t="str">
        <x:v>Таблица сочетания(1).pdf: 5</x:v>
      </x:c>
      <x:c r="AC694" s="28" t="str">
        <x:v>Пара встречается как table; научное объяснение сформировано по ароматическому профилю и пищевой матрице.</x:v>
      </x:c>
      <x:c r="AD694" s="28" t="n">
        <x:v>1</x:v>
      </x:c>
      <x:c r="AE694" s="28" t="n">
        <x:v>1</x:v>
      </x:c>
      <x:c r="AF694" s="28" t="n">
        <x:f>IF(Z694="Высокая",3,IF(Z694="Средняя",2,1))+AD694*2+MIN(AE694,3)</x:f>
        <x:v>4</x:v>
      </x:c>
    </x:row>
    <x:row r="695" ht="62" customHeight="1">
      <x:c r="A695" s="28" t="str">
        <x:v>NCT-0694</x:v>
      </x:c>
      <x:c r="B695" s="28" t="str">
        <x:v>шоколад</x:v>
      </x:c>
      <x:c r="C695" s="28" t="str">
        <x:v>Универсальные</x:v>
      </x:c>
      <x:c r="D695" s="28" t="str">
        <x:v>шоколад</x:v>
      </x:c>
      <x:c r="E695" s="28" t="str">
        <x:v>chocolate</x:v>
      </x:c>
      <x:c r="F695" s="28" t="str">
        <x:v>Какао и шоколад</x:v>
      </x:c>
      <x:c r="G695" s="28" t="str">
        <x:v>чёрная оливка пикваль</x:v>
      </x:c>
      <x:c r="H695" s="28" t="str">
        <x:v>Picual black olive</x:v>
      </x:c>
      <x:c r="I695" s="28" t="str">
        <x:v>Прочее</x:v>
      </x:c>
      <x:c r="J695" s="28" t="str">
        <x:v>жареный, какаовый, фруктовый, цветочный, древесный и пряный; профиль зависит от происхождения и обжарки</x:v>
      </x:c>
      <x:c r="K695" s="28" t="str">
        <x:v>профиль зависит от конкретного продукта</x:v>
      </x:c>
      <x:c r="L695" s="28" t="str">
        <x:v>пиразины, фураны, альдегиды, эфиры, теобромин</x:v>
      </x:c>
      <x:c r="M695" s="28" t="str">
        <x:v>характерный профиль зависит от конкретного продукта</x:v>
      </x:c>
      <x:c r="N695" s="28" t="str">
        <x:v>прямое пересечение семейств не является единственным объяснением</x:v>
      </x:c>
      <x:c r="O695" s="28" t="str">
        <x:v>надежная общая ключевая молекула не подтверждена</x:v>
      </x:c>
      <x:c r="P695" s="28" t="str">
        <x:v>сенсорная комплементарность</x:v>
      </x:c>
      <x:c r="Q695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95" s="28" t="str">
        <x:v>мягкая терпкость; теобромин и кофеин усиливают горькое послевкусие</x:v>
      </x:c>
      <x:c r="S695" s="28" t="str">
        <x:v>какао-масло с частицами какао и сахаром; плавление во рту медленно высвобождает гидрофобные ароматы</x:v>
      </x:c>
      <x:c r="T69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9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«чёрная оливка пикваль»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95" s="28" t="str">
        <x:v>горечь и терпкость способны подавлять нежные продукты; содержит стимуляторы; аллергенные добавки возможны</x:v>
      </x:c>
      <x:c r="W695" s="28" t="str">
        <x:v>соль, ваниль или карамель</x:v>
      </x:c>
      <x:c r="X695" s="28" t="str">
        <x:v>ганаш, плитка, крем, мусс, напиток, глазурь или соус с чёрная оливка пикваль</x:v>
      </x:c>
      <x:c r="Y695" s="28" t="str">
        <x:v>десерты</x:v>
      </x:c>
      <x:c r="Z695" s="28" t="str">
        <x:v>Средняя</x:v>
      </x:c>
      <x:c r="AA695" s="28" t="str">
        <x:v>The Art &amp; Science of Foodpairing.pdf</x:v>
      </x:c>
      <x:c r="AB695" s="28" t="str">
        <x:v>The Art &amp; Science of Foodpairing.pdf: 62</x:v>
      </x:c>
      <x:c r="AC695" s="28" t="str">
        <x:v>Пара встречается как grid; научное объяснение сформировано по ароматическому профилю и пищевой матрице.</x:v>
      </x:c>
      <x:c r="AD695" s="28" t="n">
        <x:v>1</x:v>
      </x:c>
      <x:c r="AE695" s="28" t="n">
        <x:v>1</x:v>
      </x:c>
      <x:c r="AF695" s="28" t="n">
        <x:f>IF(Z695="Высокая",3,IF(Z695="Средняя",2,1))+AD695*2+MIN(AE695,3)</x:f>
        <x:v>5</x:v>
      </x:c>
    </x:row>
    <x:row r="696" ht="62" customHeight="1">
      <x:c r="A696" s="28" t="str">
        <x:v>NCT-0695</x:v>
      </x:c>
      <x:c r="B696" s="28" t="str">
        <x:v>шоколад</x:v>
      </x:c>
      <x:c r="C696" s="28" t="str">
        <x:v>Универсальные</x:v>
      </x:c>
      <x:c r="D696" s="28" t="str">
        <x:v>шоколад</x:v>
      </x:c>
      <x:c r="E696" s="28" t="str">
        <x:v>Шоколад</x:v>
      </x:c>
      <x:c r="F696" s="28" t="str">
        <x:v>Какао и шоколад</x:v>
      </x:c>
      <x:c r="G696" s="28" t="str">
        <x:v>шалфей</x:v>
      </x:c>
      <x:c r="H696" s="28" t="str">
        <x:v>шалфей</x:v>
      </x:c>
      <x:c r="I696" s="28" t="str">
        <x:v>Травы, цветы и листья</x:v>
      </x:c>
      <x:c r="J696" s="28" t="str">
        <x:v>жареный, какаовый, фруктовый, цветочный, древесный и пряный; профиль зависит от происхождения и обжарки</x:v>
      </x:c>
      <x:c r="K696" s="28" t="str">
        <x:v>зелёный, цветочный и терпеновый</x:v>
      </x:c>
      <x:c r="L696" s="28" t="str">
        <x:v>пиразины, фураны, альдегиды, эфиры, теобромин</x:v>
      </x:c>
      <x:c r="M696" s="28" t="str">
        <x:v>линалоол, терпены</x:v>
      </x:c>
      <x:c r="N696" s="28" t="str">
        <x:v>прямое пересечение семейств не является единственным объяснением</x:v>
      </x:c>
      <x:c r="O696" s="28" t="str">
        <x:v>надежная общая ключевая молекула не подтверждена</x:v>
      </x:c>
      <x:c r="P696" s="28" t="str">
        <x:v>сенсорная комплементарность</x:v>
      </x:c>
      <x:c r="Q696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96" s="28" t="str">
        <x:v>мягкая терпкость; теобромин и кофеин усиливают горькое послевкусие</x:v>
      </x:c>
      <x:c r="S696" s="28" t="str">
        <x:v>какао-масло с частицами какао и сахаром; плавление во рту медленно высвобождает гидрофобные ароматы</x:v>
      </x:c>
      <x:c r="T69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9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«шалфей»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96" s="28" t="str">
        <x:v>горечь и терпкость способны подавлять нежные продукты; содержит стимуляторы; аллергенные добавки возможны</x:v>
      </x:c>
      <x:c r="W696" s="28" t="str">
        <x:v>цитрус, мёд или сливки</x:v>
      </x:c>
      <x:c r="X696" s="28" t="str">
        <x:v>ганаш, плитка, крем, мусс, напиток, глазурь или соус с шалфей</x:v>
      </x:c>
      <x:c r="Y696" s="28" t="str">
        <x:v>десерты</x:v>
      </x:c>
      <x:c r="Z696" s="28" t="str">
        <x:v>Гипотеза / практическая</x:v>
      </x:c>
      <x:c r="AA696" s="28" t="str">
        <x:v>Таблица сочетания(1).pdf</x:v>
      </x:c>
      <x:c r="AB696" s="28" t="str">
        <x:v>Таблица сочетания(1).pdf: 5</x:v>
      </x:c>
      <x:c r="AC696" s="28" t="str">
        <x:v>Пара встречается как table; научное объяснение сформировано по ароматическому профилю и пищевой матрице.</x:v>
      </x:c>
      <x:c r="AD696" s="28" t="n">
        <x:v>1</x:v>
      </x:c>
      <x:c r="AE696" s="28" t="n">
        <x:v>1</x:v>
      </x:c>
      <x:c r="AF696" s="28" t="n">
        <x:f>IF(Z696="Высокая",3,IF(Z696="Средняя",2,1))+AD696*2+MIN(AE696,3)</x:f>
        <x:v>4</x:v>
      </x:c>
    </x:row>
    <x:row r="697" ht="62" customHeight="1">
      <x:c r="A697" s="28" t="str">
        <x:v>NCT-0696</x:v>
      </x:c>
      <x:c r="B697" s="28" t="str">
        <x:v>шоколад</x:v>
      </x:c>
      <x:c r="C697" s="28" t="str">
        <x:v>Универсальные</x:v>
      </x:c>
      <x:c r="D697" s="28" t="str">
        <x:v>шоколад</x:v>
      </x:c>
      <x:c r="E697" s="28" t="str">
        <x:v>chocolate</x:v>
      </x:c>
      <x:c r="F697" s="28" t="str">
        <x:v>Какао и шоколад</x:v>
      </x:c>
      <x:c r="G697" s="28" t="str">
        <x:v>шисо</x:v>
      </x:c>
      <x:c r="H697" s="28" t="str">
        <x:v>shiso leaf</x:v>
      </x:c>
      <x:c r="I697" s="28" t="str">
        <x:v>Травы, цветы и листья</x:v>
      </x:c>
      <x:c r="J697" s="28" t="str">
        <x:v>жареный, какаовый, фруктовый, цветочный, древесный и пряный; профиль зависит от происхождения и обжарки</x:v>
      </x:c>
      <x:c r="K697" s="28" t="str">
        <x:v>зелёный, цветочный и терпеновый</x:v>
      </x:c>
      <x:c r="L697" s="28" t="str">
        <x:v>пиразины, фураны, альдегиды, эфиры, теобромин</x:v>
      </x:c>
      <x:c r="M697" s="28" t="str">
        <x:v>линалоол, терпены</x:v>
      </x:c>
      <x:c r="N697" s="28" t="str">
        <x:v>прямое пересечение семейств не является единственным объяснением</x:v>
      </x:c>
      <x:c r="O697" s="28" t="str">
        <x:v>надежная общая ключевая молекула не подтверждена</x:v>
      </x:c>
      <x:c r="P697" s="28" t="str">
        <x:v>сенсорная комплементарность</x:v>
      </x:c>
      <x:c r="Q697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97" s="28" t="str">
        <x:v>мягкая терпкость; теобромин и кофеин усиливают горькое послевкусие</x:v>
      </x:c>
      <x:c r="S697" s="28" t="str">
        <x:v>какао-масло с частицами какао и сахаром; плавление во рту медленно высвобождает гидрофобные ароматы</x:v>
      </x:c>
      <x:c r="T69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9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«шисо»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V697" s="28" t="str">
        <x:v>горечь и терпкость способны подавлять нежные продукты; содержит стимуляторы; аллергенные добавки возможны</x:v>
      </x:c>
      <x:c r="W697" s="28" t="str">
        <x:v>цитрус, мёд или сливки</x:v>
      </x:c>
      <x:c r="X697" s="28" t="str">
        <x:v>ганаш, плитка, крем, мусс, напиток, глазурь или соус с шисо</x:v>
      </x:c>
      <x:c r="Y697" s="28" t="str">
        <x:v>десерты</x:v>
      </x:c>
      <x:c r="Z697" s="28" t="str">
        <x:v>Средняя</x:v>
      </x:c>
      <x:c r="AA697" s="28" t="str">
        <x:v>The Art &amp; Science of Foodpairing.pdf</x:v>
      </x:c>
      <x:c r="AB697" s="28" t="str">
        <x:v>The Art &amp; Science of Foodpairing.pdf: 62</x:v>
      </x:c>
      <x:c r="AC697" s="28" t="str">
        <x:v>Пара встречается как grid; научное объяснение сформировано по ароматическому профилю и пищевой матрице.</x:v>
      </x:c>
      <x:c r="AD697" s="28" t="n">
        <x:v>1</x:v>
      </x:c>
      <x:c r="AE697" s="28" t="n">
        <x:v>1</x:v>
      </x:c>
      <x:c r="AF697" s="28" t="n">
        <x:f>IF(Z697="Высокая",3,IF(Z697="Средняя",2,1))+AD697*2+MIN(AE697,3)</x:f>
        <x:v>5</x:v>
      </x:c>
    </x:row>
    <x:row r="698" ht="62" customHeight="1">
      <x:c r="A698" s="28" t="str">
        <x:v>NCT-0697</x:v>
      </x:c>
      <x:c r="B698" s="28" t="str">
        <x:v>шоколад</x:v>
      </x:c>
      <x:c r="C698" s="28" t="str">
        <x:v>Десерты и выпечка</x:v>
      </x:c>
      <x:c r="D698" s="28" t="str">
        <x:v>шоколад</x:v>
      </x:c>
      <x:c r="E698" s="28" t="str">
        <x:v>шоколад</x:v>
      </x:c>
      <x:c r="F698" s="28" t="str">
        <x:v>Какао и шоколад</x:v>
      </x:c>
      <x:c r="G698" s="28" t="str">
        <x:v>ягоды годжи</x:v>
      </x:c>
      <x:c r="H698" s="28" t="str">
        <x:v>Ягоды годжи</x:v>
      </x:c>
      <x:c r="I698" s="28" t="str">
        <x:v>Фрукты и ягоды</x:v>
      </x:c>
      <x:c r="J698" s="28" t="str">
        <x:v>жареный, какаовый, фруктовый, цветочный, древесный и пряный; профиль зависит от происхождения и обжарки</x:v>
      </x:c>
      <x:c r="K698" s="28" t="str">
        <x:v>фруктовый, цветочный и свежий</x:v>
      </x:c>
      <x:c r="L698" s="28" t="str">
        <x:v>пиразины, фураны, альдегиды, эфиры, теобромин</x:v>
      </x:c>
      <x:c r="M698" s="28" t="str">
        <x:v>альдегиды, эфиры</x:v>
      </x:c>
      <x:c r="N698" s="28" t="str">
        <x:v>фруктовый</x:v>
      </x:c>
      <x:c r="O698" s="28" t="str">
        <x:v>альдегиды, эфиры</x:v>
      </x:c>
      <x:c r="P698" s="28" t="str">
        <x:v>общие ароматические соединения, пересечение ароматических семейств, контраст кислоты и жирной/горькой матрицы</x:v>
      </x:c>
      <x:c r="Q698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98" s="28" t="str">
        <x:v>мягкая терпкость; теобромин и кофеин усиливают горькое послевкусие</x:v>
      </x:c>
      <x:c r="S698" s="28" t="str">
        <x:v>какао-масло с частицами какао и сахаром; плавление во рту медленно высвобождает гидрофобные ароматы Водная фруктовая фаза требует эмульсии или мелкого измельчения, если орех или шоколад вводится как паста.</x:v>
      </x:c>
      <x:c r="T69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9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«ягоды годжи»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V698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W698" s="28" t="str">
        <x:v>ваниль, цитрус или молочный жир</x:v>
      </x:c>
      <x:c r="X698" s="28" t="str">
        <x:v>ганаш, плитка, крем, мусс, напиток, глазурь или соус с ягоды годжи</x:v>
      </x:c>
      <x:c r="Y698" s="28" t="str">
        <x:v>десерты</x:v>
      </x:c>
      <x:c r="Z698" s="28" t="str">
        <x:v>Гипотеза / практическая</x:v>
      </x:c>
      <x:c r="AA698" s="28" t="str">
        <x:v>Таблица сочетания(1).pdf</x:v>
      </x:c>
      <x:c r="AB698" s="28" t="str">
        <x:v>Таблица сочетания(1).pdf: 8</x:v>
      </x:c>
      <x:c r="AC698" s="28" t="str">
        <x:v>Пара встречается как table; научное объяснение сформировано по ароматическому профилю и пищевой матрице.</x:v>
      </x:c>
      <x:c r="AD698" s="28" t="n">
        <x:v>1</x:v>
      </x:c>
      <x:c r="AE698" s="28" t="n">
        <x:v>1</x:v>
      </x:c>
      <x:c r="AF698" s="28" t="n">
        <x:f>IF(Z698="Высокая",3,IF(Z698="Средняя",2,1))+AD698*2+MIN(AE698,3)</x:f>
        <x:v>4</x:v>
      </x:c>
    </x:row>
    <x:row r="699" ht="62" customHeight="1">
      <x:c r="A699" s="28" t="str">
        <x:v>NCT-0698</x:v>
      </x:c>
      <x:c r="B699" s="28" t="str">
        <x:v>шоколад</x:v>
      </x:c>
      <x:c r="C699" s="28" t="str">
        <x:v>Еда и соусы</x:v>
      </x:c>
      <x:c r="D699" s="28" t="str">
        <x:v>шоколад</x:v>
      </x:c>
      <x:c r="E699" s="28" t="str">
        <x:v>chocolate</x:v>
      </x:c>
      <x:c r="F699" s="28" t="str">
        <x:v>Какао и шоколад</x:v>
      </x:c>
      <x:c r="G699" s="28" t="str">
        <x:v>японский соевый соус</x:v>
      </x:c>
      <x:c r="H699" s="28" t="str">
        <x:v>Japanese soysauce</x:v>
      </x:c>
      <x:c r="I699" s="28" t="str">
        <x:v>Ферментированные продукты и соусы</x:v>
      </x:c>
      <x:c r="J699" s="28" t="str">
        <x:v>жареный, какаовый, фруктовый, цветочный, древесный и пряный; профиль зависит от происхождения и обжарки</x:v>
      </x:c>
      <x:c r="K699" s="28" t="str">
        <x:v>жареный, умами, ферментированный</x:v>
      </x:c>
      <x:c r="L699" s="28" t="str">
        <x:v>пиразины, фураны, альдегиды, эфиры, теобромин</x:v>
      </x:c>
      <x:c r="M699" s="28" t="str">
        <x:v>пиразины, фураны, эфиры</x:v>
      </x:c>
      <x:c r="N699" s="28" t="str">
        <x:v>жареный</x:v>
      </x:c>
      <x:c r="O699" s="28" t="str">
        <x:v>пиразины, фураны, эфиры</x:v>
      </x:c>
      <x:c r="P699" s="28" t="str">
        <x:v>общие ароматические соединения, пересечение ароматических семейств, солёно-умами контраст</x:v>
      </x:c>
      <x:c r="Q699" s="28" t="str">
        <x:v>Сладость, горечь и жирность шоколада могут поддержать карамельные ноты, смягчить кислотность или подчеркнуть солёно-умами контраст.</x:v>
      </x:c>
      <x:c r="R699" s="28" t="str">
        <x:v>мягкая терпкость; теобромин и кофеин усиливают горькое послевкусие</x:v>
      </x:c>
      <x:c r="S699" s="28" t="str">
        <x:v>какао-масло с частицами какао и сахаром; плавление во рту медленно высвобождает гидрофобные ароматы</x:v>
      </x:c>
      <x:c r="T69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U69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«японский 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фураны, эфиры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пиразины, фураны, эфиры.</x:v>
      </x:c>
      <x:c r="V699" s="28" t="str">
        <x:v>горечь и терпкость способны подавлять нежные продукты; содержит стимуляторы; аллергенные добавки возможны</x:v>
      </x:c>
      <x:c r="W699" s="28" t="str">
        <x:v>карамелизированный лук, грибы или сливочное масло</x:v>
      </x:c>
      <x:c r="X699" s="28" t="str">
        <x:v>ганаш, плитка, крем, мусс, напиток, глазурь или соус с японский соевый соус</x:v>
      </x:c>
      <x:c r="Y699" s="28" t="str">
        <x:v>еда, десерты, соусы/маринады</x:v>
      </x:c>
      <x:c r="Z699" s="28" t="str">
        <x:v>Средняя</x:v>
      </x:c>
      <x:c r="AA699" s="28" t="str">
        <x:v>The Art &amp; Science of Foodpairing.pdf</x:v>
      </x:c>
      <x:c r="AB699" s="28" t="str">
        <x:v>The Art &amp; Science of Foodpairing.pdf: 62</x:v>
      </x:c>
      <x:c r="AC699" s="28" t="str">
        <x:v>Пара встречается как grid; научное объяснение сформировано по ароматическому профилю и пищевой матрице.</x:v>
      </x:c>
      <x:c r="AD699" s="28" t="n">
        <x:v>1</x:v>
      </x:c>
      <x:c r="AE699" s="28" t="n">
        <x:v>1</x:v>
      </x:c>
      <x:c r="AF699" s="28" t="n">
        <x:f>IF(Z699="Высокая",3,IF(Z699="Средняя",2,1))+AD699*2+MIN(AE699,3)</x:f>
        <x:v>5</x:v>
      </x:c>
    </x:row>
  </x:sheetData>
  <x:conditionalFormatting sqref="Z2:Z699">
    <x:cfRule type="expression" dxfId="0" priority="1">
      <x:formula>Z2="Высокая"</x:formula>
    </x:cfRule>
    <x:cfRule type="expression" dxfId="1" priority="2">
      <x:formula>Z2="Средняя"</x:formula>
    </x:cfRule>
    <x:cfRule type="expression" dxfId="2" priority="3">
      <x:formula>Z2="Гипотеза / практическая"</x:formula>
    </x:cfRule>
  </x:conditionalFormatting>
  <x:conditionalFormatting sqref="AF2:AF699">
    <x:cfRule type="dataBar" priority="4">
      <x:dataBar>
        <x:cfvo type="min"/>
        <x:cfvo type="max"/>
        <x:color rgb="FFB07843"/>
      </x:dataBar>
      <x:extLst>
        <x:ext xmlns:x14="http://schemas.microsoft.com/office/spreadsheetml/2009/9/main" uri="{B025F937-C7B1-47D3-B67F-A62EFF666E3E}">
          <x14:id>{DF4A911C-9963-1714-BF78-39A37F873AD1}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9b42ae7e7b4445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DF4A911C-9963-1714-BF78-39A37F873AD1}">
            <x14:dataBar gradient="1">
              <x14:cfvo type="min"/>
              <x14:cfvo type="max"/>
              <x14:fillColor rgb="FFB07843"/>
            </x14:dataBar>
          </x14:cfRule>
          <xm:sqref>AF2:AF699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31" hidden="0" customWidth="1"/>
    <x:col min="4" max="4" width="29" hidden="0" customWidth="1"/>
    <x:col min="5" max="5" width="39" hidden="0" customWidth="1"/>
    <x:col min="6" max="6" width="68" hidden="0" customWidth="1"/>
    <x:col min="7" max="7" width="55" hidden="0" customWidth="1"/>
    <x:col min="8" max="8" width="55" hidden="0" customWidth="1"/>
    <x:col min="9" max="9" width="49" hidden="0" customWidth="1"/>
    <x:col min="10" max="10" width="22" hidden="0" customWidth="1"/>
    <x:col min="11" max="11" width="40" hidden="0" customWidth="1"/>
    <x:col min="12" max="12" width="48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Подробное 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Практическое 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4" customHeight="1">
      <x:c r="A2" s="28" t="str">
        <x:v>NCT-0001</x:v>
      </x:c>
      <x:c r="B2" s="28" t="str">
        <x:v>арахис</x:v>
      </x:c>
      <x:c r="C2" s="28" t="str">
        <x:v>fish</x:v>
      </x:c>
      <x:c r="D2" s="28" t="str">
        <x:v>Рыба и морепродукты</x:v>
      </x:c>
      <x:c r="E2" s="28" t="str">
        <x:v>общие ароматические соединения, солёно-умами контраст</x:v>
      </x:c>
      <x:c r="F2" s="28" t="str">
        <x:v>Арахис имеет профиль «бобовый и зелёный в сыром виде; жареный, ореховый и какаоподобный после обжарки».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" s="28" t="str">
        <x:v>сильный аллерген; риск прогоркания и загрязнения плесенью при плохом хранении; малейшая прогорклость ореха или шоколада усиливает неприятные рыбные оттенки</x:v>
      </x:c>
      <x:c r="I2" s="28" t="str">
        <x:v>пралине, паста, выпечка, гарнир, соус, молочный или коктейльный компонент с fish</x:v>
      </x:c>
      <x:c r="J2" s="28" t="str">
        <x:v>Средняя</x:v>
      </x:c>
      <x:c r="K2" s="28" t="str">
        <x:v>The Art &amp; Science of Foodpairing.pdf</x:v>
      </x:c>
      <x:c r="L2" s="28" t="str">
        <x:v>The Art &amp; Science of Foodpairing.pdf: 104</x:v>
      </x:c>
    </x:row>
    <x:row r="3" ht="64" customHeight="1">
      <x:c r="A3" s="28" t="str">
        <x:v>NCT-0002</x:v>
      </x:c>
      <x:c r="B3" s="28" t="str">
        <x:v>арахис</x:v>
      </x:c>
      <x:c r="C3" s="28" t="str">
        <x:v>garlic</x:v>
      </x:c>
      <x:c r="D3" s="28" t="str">
        <x:v>Овощи, бобовые и грибы</x:v>
      </x:c>
      <x:c r="E3" s="28" t="str">
        <x:v>общие ароматические соединения</x:v>
      </x:c>
      <x:c r="F3" s="28" t="str">
        <x:v>Арахис имеет профиль «бобовый и зелёный в сыром виде; жареный, ореховый и какаоподобный после обжарки». Партнёр «garlic»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" s="28" t="str">
        <x:v>сильный аллерген; риск прогоркания и загрязнения плесенью при плохом хранении</x:v>
      </x:c>
      <x:c r="I3" s="28" t="str">
        <x:v>пралине, паста, выпечка, гарнир, соус, молочный или коктейльный компонент с garlic</x:v>
      </x:c>
      <x:c r="J3" s="28" t="str">
        <x:v>Средняя</x:v>
      </x:c>
      <x:c r="K3" s="28" t="str">
        <x:v>The Art &amp; Science of Foodpairing.pdf</x:v>
      </x:c>
      <x:c r="L3" s="28" t="str">
        <x:v>The Art &amp; Science of Foodpairing.pdf: 113, 114</x:v>
      </x:c>
    </x:row>
    <x:row r="4" ht="64" customHeight="1">
      <x:c r="A4" s="28" t="str">
        <x:v>NCT-0003</x:v>
      </x:c>
      <x:c r="B4" s="28" t="str">
        <x:v>арахис</x:v>
      </x:c>
      <x:c r="C4" s="28" t="str">
        <x:v>lberico ham</x:v>
      </x:c>
      <x:c r="D4" s="28" t="str">
        <x:v>Мясо и птица</x:v>
      </x:c>
      <x:c r="E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" s="28" t="str">
        <x:v>Арахис имеет профиль «бобовый и зелёный в сыром виде; жареный, ореховый и какаоподобный после обжарки».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4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4" s="28" t="str">
        <x:v>сильный аллерген; риск прогоркания и загрязнения плесенью при плохом хранении</x:v>
      </x:c>
      <x:c r="I4" s="28" t="str">
        <x:v>пралине, паста, выпечка, гарнир, соус, молочный или коктейльный компонент с lberico ham</x:v>
      </x:c>
      <x:c r="J4" s="28" t="str">
        <x:v>Высокая</x:v>
      </x:c>
      <x:c r="K4" s="28" t="str">
        <x:v>The Art &amp; Science of Foodpairing.pdf</x:v>
      </x:c>
      <x:c r="L4" s="28" t="str">
        <x:v>The Art &amp; Science of Foodpairing.pdf: 278</x:v>
      </x:c>
    </x:row>
    <x:row r="5" ht="64" customHeight="1">
      <x:c r="A5" s="28" t="str">
        <x:v>NCT-0004</x:v>
      </x:c>
      <x:c r="B5" s="28" t="str">
        <x:v>арахис</x:v>
      </x:c>
      <x:c r="C5" s="28" t="str">
        <x:v>meat</x:v>
      </x:c>
      <x:c r="D5" s="28" t="str">
        <x:v>Мясо и птица</x:v>
      </x:c>
      <x:c r="E5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" s="28" t="str">
        <x:v>Арахис имеет профиль «бобовый и зелёный в сыром виде; жареный, ореховый и какаоподобный после обжарки». Партнёр «meat»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5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5" s="28" t="str">
        <x:v>сильный аллерген; риск прогоркания и загрязнения плесенью при плохом хранении</x:v>
      </x:c>
      <x:c r="I5" s="28" t="str">
        <x:v>пралине, паста, выпечка, гарнир, соус, молочный или коктейльный компонент с meat</x:v>
      </x:c>
      <x:c r="J5" s="28" t="str">
        <x:v>Средняя</x:v>
      </x:c>
      <x:c r="K5" s="28" t="str">
        <x:v>The Art &amp; Science of Foodpairing.pdf</x:v>
      </x:c>
      <x:c r="L5" s="28" t="str">
        <x:v>The Art &amp; Science of Foodpairing.pdf: 186</x:v>
      </x:c>
    </x:row>
    <x:row r="6" ht="64" customHeight="1">
      <x:c r="A6" s="28" t="str">
        <x:v>NCT-0005</x:v>
      </x:c>
      <x:c r="B6" s="28" t="str">
        <x:v>арахис</x:v>
      </x:c>
      <x:c r="C6" s="28" t="str">
        <x:v>sesame seeds, halva and tahini</x:v>
      </x:c>
      <x:c r="D6" s="28" t="str">
        <x:v>Прочее</x:v>
      </x:c>
      <x:c r="E6" s="28" t="str">
        <x:v>сенсорная комплементарность</x:v>
      </x:c>
      <x:c r="F6" s="28" t="str">
        <x:v>Арахис имеет профиль «бобовый и зелёный в сыром виде; жареный, ореховый и какаоподобный после обжарки». Партнёр «sesame seeds, halva and tahini»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6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6" s="28" t="str">
        <x:v>сильный аллерген; риск прогоркания и загрязнения плесенью при плохом хранении</x:v>
      </x:c>
      <x:c r="I6" s="28" t="str">
        <x:v>пралине, паста, выпечка, гарнир, соус, молочный или коктейльный компонент с sesame seeds, halva and tahini</x:v>
      </x:c>
      <x:c r="J6" s="28" t="str">
        <x:v>Средняя</x:v>
      </x:c>
      <x:c r="K6" s="28" t="str">
        <x:v>The Art &amp; Science of Foodpairing.pdf</x:v>
      </x:c>
      <x:c r="L6" s="28" t="str">
        <x:v>The Art &amp; Science of Foodpairing.pdf: 308</x:v>
      </x:c>
    </x:row>
    <x:row r="7" ht="64" customHeight="1">
      <x:c r="A7" s="28" t="str">
        <x:v>NCT-0006</x:v>
      </x:c>
      <x:c r="B7" s="28" t="str">
        <x:v>арахис</x:v>
      </x:c>
      <x:c r="C7" s="28" t="str">
        <x:v>sweet potato</x:v>
      </x:c>
      <x:c r="D7" s="28" t="str">
        <x:v>Овощи, бобовые и грибы</x:v>
      </x:c>
      <x:c r="E7" s="28" t="str">
        <x:v>общие ароматические соединения</x:v>
      </x:c>
      <x:c r="F7" s="28" t="str">
        <x:v>Арахис имеет профиль «бобовый и зелёный в сыром виде; жареный, ореховый и какаоподобный после обжарки». Партнёр «sweet potato»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7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7" s="28" t="str">
        <x:v>сильный аллерген; риск прогоркания и загрязнения плесенью при плохом хранении</x:v>
      </x:c>
      <x:c r="I7" s="28" t="str">
        <x:v>пралине, паста, выпечка, гарнир, соус, молочный или коктейльный компонент с sweet potato</x:v>
      </x:c>
      <x:c r="J7" s="28" t="str">
        <x:v>Средняя</x:v>
      </x:c>
      <x:c r="K7" s="28" t="str">
        <x:v>The Art &amp; Science of Foodpairing.pdf</x:v>
      </x:c>
      <x:c r="L7" s="28" t="str">
        <x:v>The Art &amp; Science of Foodpairing.pdf: 119</x:v>
      </x:c>
    </x:row>
    <x:row r="8" ht="64" customHeight="1">
      <x:c r="A8" s="28" t="str">
        <x:v>NCT-0007</x:v>
      </x:c>
      <x:c r="B8" s="28" t="str">
        <x:v>арахис</x:v>
      </x:c>
      <x:c r="C8" s="28" t="str">
        <x:v>ананас</x:v>
      </x:c>
      <x:c r="D8" s="28" t="str">
        <x:v>Прочее</x:v>
      </x:c>
      <x:c r="E8" s="28" t="str">
        <x:v>сенсорная комплементарность</x:v>
      </x:c>
      <x:c r="F8" s="28" t="str">
        <x:v>Арахис имеет профиль «бобовый и зелёный в сыром виде; жареный, ореховый и какаоподобный после обжарки». Партнёр «ананас»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8" s="28" t="str">
        <x:v>сильный аллерген; риск прогоркания и загрязнения плесенью при плохом хранении</x:v>
      </x:c>
      <x:c r="I8" s="28" t="str">
        <x:v>пралине, паста, выпечка, гарнир, соус, молочный или коктейльный компонент с ананас</x:v>
      </x:c>
      <x:c r="J8" s="28" t="str">
        <x:v>Гипотеза / практическая</x:v>
      </x:c>
      <x:c r="K8" s="28" t="str">
        <x:v>Таблица сочетания(1).pdf</x:v>
      </x:c>
      <x:c r="L8" s="28" t="str">
        <x:v>Таблица сочетания(1).pdf: 17</x:v>
      </x:c>
    </x:row>
    <x:row r="9" ht="64" customHeight="1">
      <x:c r="A9" s="28" t="str">
        <x:v>NCT-0008</x:v>
      </x:c>
      <x:c r="B9" s="28" t="str">
        <x:v>арахис</x:v>
      </x:c>
      <x:c r="C9" s="28" t="str">
        <x:v>банан</x:v>
      </x:c>
      <x:c r="D9" s="28" t="str">
        <x:v>Фрукты и ягоды</x:v>
      </x:c>
      <x:c r="E9" s="28" t="str">
        <x:v>контраст кислоты и жирной/горькой матрицы</x:v>
      </x:c>
      <x:c r="F9" s="28" t="str">
        <x:v>Арахис имеет профиль «бобовый и зелёный в сыром виде; жареный, ореховый и какаоподобный после обжарки».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9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9" s="28" t="str">
        <x:v>сильный аллерген; риск прогоркания и загрязнения плесенью при плохом хранении; избыток кислоты может сделать чай или кофе резкими и разрушить молочную эмульсию</x:v>
      </x:c>
      <x:c r="I9" s="28" t="str">
        <x:v>пралине, паста, выпечка, гарнир, соус, молочный или коктейльный компонент с банан</x:v>
      </x:c>
      <x:c r="J9" s="28" t="str">
        <x:v>Высокая</x:v>
      </x:c>
      <x:c r="K9" s="28" t="str">
        <x:v>Таблица сочетания(1).pdf | Тезариус вкусов (Ники Сегнит)(1).pdf</x:v>
      </x:c>
      <x:c r="L9" s="28" t="str">
        <x:v>Таблица сочетания(1).pdf: 15; Тезариус вкусов (Ники Сегнит)(1).pdf: 50, 729</x:v>
      </x:c>
    </x:row>
    <x:row r="10" ht="64" customHeight="1">
      <x:c r="A10" s="28" t="str">
        <x:v>NCT-0009</x:v>
      </x:c>
      <x:c r="B10" s="28" t="str">
        <x:v>арахис</x:v>
      </x:c>
      <x:c r="C10" s="28" t="str">
        <x:v>баранина</x:v>
      </x:c>
      <x:c r="D10" s="28" t="str">
        <x:v>Мясо и птица</x:v>
      </x:c>
      <x:c r="E1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0" s="28" t="str">
        <x:v>Арахис имеет профиль «бобовый и зелёный в сыром виде; жареный, ореховый и какаоподобный после обжарки». Партнёр «баранина»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10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0" s="28" t="str">
        <x:v>сильный аллерген; риск прогоркания и загрязнения плесенью при плохом хранении</x:v>
      </x:c>
      <x:c r="I10" s="28" t="str">
        <x:v>пралине, паста, выпечка, гарнир, соус, молочный или коктейльный компонент с баранина</x:v>
      </x:c>
      <x:c r="J10" s="28" t="str">
        <x:v>Средняя</x:v>
      </x:c>
      <x:c r="K10" s="28" t="str">
        <x:v>Тезариус вкусов (Ники Сегнит)(1).pdf</x:v>
      </x:c>
      <x:c r="L10" s="28" t="str">
        <x:v>Тезариус вкусов (Ники Сегнит)(1).pdf: 50, 125</x:v>
      </x:c>
    </x:row>
    <x:row r="11" ht="64" customHeight="1">
      <x:c r="A11" s="28" t="str">
        <x:v>NCT-0010</x:v>
      </x:c>
      <x:c r="B11" s="28" t="str">
        <x:v>арахис</x:v>
      </x:c>
      <x:c r="C11" s="28" t="str">
        <x:v>брокколи</x:v>
      </x:c>
      <x:c r="D11" s="28" t="str">
        <x:v>Прочее</x:v>
      </x:c>
      <x:c r="E11" s="28" t="str">
        <x:v>сенсорная комплементарность</x:v>
      </x:c>
      <x:c r="F11" s="28" t="str">
        <x:v>Арахис имеет профиль «бобовый и зелёный в сыром виде; жареный, ореховый и какаоподобный после обжарки». Партнёр «брокколи»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1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1" s="28" t="str">
        <x:v>сильный аллерген; риск прогоркания и загрязнения плесенью при плохом хранении</x:v>
      </x:c>
      <x:c r="I11" s="28" t="str">
        <x:v>пралине, паста, выпечка, гарнир, соус, молочный или коктейльный компонент с брокколи</x:v>
      </x:c>
      <x:c r="J11" s="28" t="str">
        <x:v>Средняя</x:v>
      </x:c>
      <x:c r="K11" s="28" t="str">
        <x:v>Тезариус вкусов (Ники Сегнит)(1).pdf</x:v>
      </x:c>
      <x:c r="L11" s="28" t="str">
        <x:v>Тезариус вкусов (Ники Сегнит)(1).pdf: 51, 329</x:v>
      </x:c>
    </x:row>
    <x:row r="12" ht="64" customHeight="1">
      <x:c r="A12" s="28" t="str">
        <x:v>NCT-0011</x:v>
      </x:c>
      <x:c r="B12" s="28" t="str">
        <x:v>арахис</x:v>
      </x:c>
      <x:c r="C12" s="28" t="str">
        <x:v>ваниль</x:v>
      </x:c>
      <x:c r="D12" s="28" t="str">
        <x:v>Специи</x:v>
      </x:c>
      <x:c r="E12" s="28" t="str">
        <x:v>сенсорная комплементарность</x:v>
      </x:c>
      <x:c r="F12" s="28" t="str">
        <x:v>Арахис имеет профиль «бобовый и зелёный в сыром виде; жареный, ореховый и какаоподобный после обжарки».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2" s="28" t="str">
        <x:v>сильный аллерген; риск прогоркания и загрязнения плесенью при плохом хранении</x:v>
      </x:c>
      <x:c r="I12" s="28" t="str">
        <x:v>пралине, паста, выпечка, гарнир, соус, молочный или коктейльный компонент с ваниль</x:v>
      </x:c>
      <x:c r="J12" s="28" t="str">
        <x:v>Средняя</x:v>
      </x:c>
      <x:c r="K12" s="28" t="str">
        <x:v>Тезариус вкусов (Ники Сегнит)(1).pdf</x:v>
      </x:c>
      <x:c r="L12" s="28" t="str">
        <x:v>Тезариус вкусов (Ники Сегнит)(1).pdf: 51, 914</x:v>
      </x:c>
    </x:row>
    <x:row r="13" ht="64" customHeight="1">
      <x:c r="A13" s="28" t="str">
        <x:v>NCT-0012</x:v>
      </x:c>
      <x:c r="B13" s="28" t="str">
        <x:v>арахис</x:v>
      </x:c>
      <x:c r="C13" s="28" t="str">
        <x:v>виноград</x:v>
      </x:c>
      <x:c r="D13" s="28" t="str">
        <x:v>Алкогольные напитки</x:v>
      </x:c>
      <x:c r="E13" s="28" t="str">
        <x:v>общие ароматические соединения</x:v>
      </x:c>
      <x:c r="F13" s="28" t="str">
        <x:v>Арахис имеет профиль «бобовый и зелёный в сыром виде; жареный, ореховый и какаоподобный после обжарки». Партнёр «виноград» относится к группе «Алкогольные напитки» и даёт спиртовой, фруктовый или древесный.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3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3" s="28" t="str">
        <x:v>сильный аллерген; риск прогоркания и загрязнения плесенью при плохом хранении</x:v>
      </x:c>
      <x:c r="I13" s="28" t="str">
        <x:v>пралине, паста, выпечка, гарнир, соус, молочный или коктейльный компонент с виноград</x:v>
      </x:c>
      <x:c r="J13" s="28" t="str">
        <x:v>Средняя</x:v>
      </x:c>
      <x:c r="K13" s="28" t="str">
        <x:v>Тезариус вкусов (Ники Сегнит)(1).pdf</x:v>
      </x:c>
      <x:c r="L13" s="28" t="str">
        <x:v>Тезариус вкусов (Ники Сегнит)(1).pdf: 52, 665</x:v>
      </x:c>
    </x:row>
    <x:row r="14" ht="64" customHeight="1">
      <x:c r="A14" s="28" t="str">
        <x:v>NCT-0013</x:v>
      </x:c>
      <x:c r="B14" s="28" t="str">
        <x:v>арахис</x:v>
      </x:c>
      <x:c r="C14" s="28" t="str">
        <x:v>говядина</x:v>
      </x:c>
      <x:c r="D14" s="28" t="str">
        <x:v>Мясо и птица</x:v>
      </x:c>
      <x:c r="E1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4" s="28" t="str">
        <x:v>Арахис имеет профиль «бобовый и зелёный в сыром виде; жареный, ореховый и какаоподобный после обжарки». Партнёр «говядина»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14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4" s="28" t="str">
        <x:v>сильный аллерген; риск прогоркания и загрязнения плесенью при плохом хранении</x:v>
      </x:c>
      <x:c r="I14" s="28" t="str">
        <x:v>пралине, паста, выпечка, гарнир, соус, молочный или коктейльный компонент с говядина</x:v>
      </x:c>
      <x:c r="J14" s="28" t="str">
        <x:v>Средняя</x:v>
      </x:c>
      <x:c r="K14" s="28" t="str">
        <x:v>Тезариус вкусов (Ники Сегнит)(1).pdf</x:v>
      </x:c>
      <x:c r="L14" s="28" t="str">
        <x:v>Тезариус вкусов (Ники Сегнит)(1).pdf: 52</x:v>
      </x:c>
    </x:row>
    <x:row r="15" ht="64" customHeight="1">
      <x:c r="A15" s="28" t="str">
        <x:v>NCT-0014</x:v>
      </x:c>
      <x:c r="B15" s="28" t="str">
        <x:v>арахис</x:v>
      </x:c>
      <x:c r="C15" s="28" t="str">
        <x:v>груша</x:v>
      </x:c>
      <x:c r="D15" s="28" t="str">
        <x:v>Фрукты и ягоды</x:v>
      </x:c>
      <x:c r="E15" s="28" t="str">
        <x:v>общие ароматические соединения, контраст кислоты и жирной/горькой матрицы</x:v>
      </x:c>
      <x:c r="F15" s="28" t="str">
        <x:v>Арахис имеет профиль «бобовый и зелёный в сыром виде; жареный, ореховый и какаоподобный после обжарки». Партнёр «груша»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5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5" s="28" t="str">
        <x:v>сильный аллерген; риск прогоркания и загрязнения плесенью при плохом хранении; избыток кислоты может сделать чай или кофе резкими и разрушить молочную эмульсию</x:v>
      </x:c>
      <x:c r="I15" s="28" t="str">
        <x:v>пралине, паста, выпечка, гарнир, соус, молочный или коктейльный компонент с груша</x:v>
      </x:c>
      <x:c r="J15" s="28" t="str">
        <x:v>Гипотеза / практическая</x:v>
      </x:c>
      <x:c r="K15" s="28" t="str">
        <x:v>Таблица сочетания(1).pdf</x:v>
      </x:c>
      <x:c r="L15" s="28" t="str">
        <x:v>Таблица сочетания(1).pdf: 16</x:v>
      </x:c>
    </x:row>
    <x:row r="16" ht="64" customHeight="1">
      <x:c r="A16" s="28" t="str">
        <x:v>NCT-0015</x:v>
      </x:c>
      <x:c r="B16" s="28" t="str">
        <x:v>арахис</x:v>
      </x:c>
      <x:c r="C16" s="28" t="str">
        <x:v>имбирь</x:v>
      </x:c>
      <x:c r="D16" s="28" t="str">
        <x:v>Специи</x:v>
      </x:c>
      <x:c r="E16" s="28" t="str">
        <x:v>сенсорная комплементарность</x:v>
      </x:c>
      <x:c r="F16" s="28" t="str">
        <x:v>Арахис имеет профиль «бобовый и зелёный в сыром виде; жареный, ореховый и какаоподобный после обжарки». Партнёр «имбирь» относится к группе «Специи» и даёт пряный, тёплый,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6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6" s="28" t="str">
        <x:v>сильный аллерген; риск прогоркания и загрязнения плесенью при плохом хранении</x:v>
      </x:c>
      <x:c r="I16" s="28" t="str">
        <x:v>пралине, паста, выпечка, гарнир, соус, молочный или коктейльный компонент с имбирь</x:v>
      </x:c>
      <x:c r="J16" s="28" t="str">
        <x:v>Средняя</x:v>
      </x:c>
      <x:c r="K16" s="28" t="str">
        <x:v>The Art &amp; Science of Foodpairing.pdf</x:v>
      </x:c>
      <x:c r="L16" s="28" t="str">
        <x:v>The Art &amp; Science of Foodpairing.pdf: 142</x:v>
      </x:c>
    </x:row>
    <x:row r="17" ht="64" customHeight="1">
      <x:c r="A17" s="28" t="str">
        <x:v>NCT-0016</x:v>
      </x:c>
      <x:c r="B17" s="28" t="str">
        <x:v>арахис</x:v>
      </x:c>
      <x:c r="C17" s="28" t="str">
        <x:v>картофель</x:v>
      </x:c>
      <x:c r="D17" s="28" t="str">
        <x:v>Овощи, бобовые и грибы</x:v>
      </x:c>
      <x:c r="E17" s="28" t="str">
        <x:v>общие ароматические соединения</x:v>
      </x:c>
      <x:c r="F17" s="28" t="str">
        <x:v>Арахис имеет профиль «бобовый и зелёный в сыром виде; жареный, ореховый и какаоподобный после обжарки». Партнёр «картофель»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7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7" s="28" t="str">
        <x:v>сильный аллерген; риск прогоркания и загрязнения плесенью при плохом хранении</x:v>
      </x:c>
      <x:c r="I17" s="28" t="str">
        <x:v>пралине, паста, выпечка, гарнир, соус, молочный или коктейльный компонент с картофель</x:v>
      </x:c>
      <x:c r="J17" s="28" t="str">
        <x:v>Средняя</x:v>
      </x:c>
      <x:c r="K17" s="28" t="str">
        <x:v>Тезариус вкусов (Ники Сегнит)(1).pdf</x:v>
      </x:c>
      <x:c r="L17" s="28" t="str">
        <x:v>Тезариус вкусов (Ники Сегнит)(1).pdf: 53, 230</x:v>
      </x:c>
    </x:row>
    <x:row r="18" ht="64" customHeight="1">
      <x:c r="A18" s="28" t="str">
        <x:v>NCT-0017</x:v>
      </x:c>
      <x:c r="B18" s="28" t="str">
        <x:v>арахис</x:v>
      </x:c>
      <x:c r="C18" s="28" t="str">
        <x:v>клубника</x:v>
      </x:c>
      <x:c r="D18" s="28" t="str">
        <x:v>Прочее</x:v>
      </x:c>
      <x:c r="E18" s="28" t="str">
        <x:v>сенсорная комплементарность</x:v>
      </x:c>
      <x:c r="F18" s="28" t="str">
        <x:v>Арахис имеет профиль «бобовый и зелёный в сыром виде; жареный, ореховый и какаоподобный после обжарки». Партнёр «клубника» относится к группе «Прочее» и даёт зелёный, карамельный, фруктовый.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8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8" s="28" t="str">
        <x:v>сильный аллерген; риск прогоркания и загрязнения плесенью при плохом хранении</x:v>
      </x:c>
      <x:c r="I18" s="28" t="str">
        <x:v>пралине, паста, выпечка, гарнир, соус, молочный или коктейльный компонент с клубника</x:v>
      </x:c>
      <x:c r="J18" s="28" t="str">
        <x:v>Гипотеза / практическая</x:v>
      </x:c>
      <x:c r="K18" s="28" t="str">
        <x:v>Таблица сочетания(1).pdf</x:v>
      </x:c>
      <x:c r="L18" s="28" t="str">
        <x:v>Таблица сочетания(1).pdf: 15</x:v>
      </x:c>
    </x:row>
    <x:row r="19" ht="64" customHeight="1">
      <x:c r="A19" s="28" t="str">
        <x:v>NCT-0018</x:v>
      </x:c>
      <x:c r="B19" s="28" t="str">
        <x:v>арахис</x:v>
      </x:c>
      <x:c r="C19" s="28" t="str">
        <x:v>кокос</x:v>
      </x:c>
      <x:c r="D19" s="28" t="str">
        <x:v>Прочее</x:v>
      </x:c>
      <x:c r="E19" s="28" t="str">
        <x:v>сенсорная комплементарность</x:v>
      </x:c>
      <x:c r="F19" s="28" t="str">
        <x:v>Арахис имеет профиль «бобовый и зелёный в сыром виде; жареный, ореховый и какаоподобный после обжарки». Партнёр «кокос» относится к группе «Прочее» и даёт лактонный, сливочный.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9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9" s="28" t="str">
        <x:v>сильный аллерген; риск прогоркания и загрязнения плесенью при плохом хранении</x:v>
      </x:c>
      <x:c r="I19" s="28" t="str">
        <x:v>пралине, паста, выпечка, гарнир, соус, молочный или коктейльный компонент с кокос</x:v>
      </x:c>
      <x:c r="J19" s="28" t="str">
        <x:v>Средняя</x:v>
      </x:c>
      <x:c r="K19" s="28" t="str">
        <x:v>Тезариус вкусов (Ники Сегнит)(1).pdf</x:v>
      </x:c>
      <x:c r="L19" s="28" t="str">
        <x:v>Тезариус вкусов (Ники Сегнит)(1).pdf: 51, 53, 753</x:v>
      </x:c>
    </x:row>
    <x:row r="20" ht="64" customHeight="1">
      <x:c r="A20" s="28" t="str">
        <x:v>NCT-0019</x:v>
      </x:c>
      <x:c r="B20" s="28" t="str">
        <x:v>арахис</x:v>
      </x:c>
      <x:c r="C20" s="28" t="str">
        <x:v>корица</x:v>
      </x:c>
      <x:c r="D20" s="28" t="str">
        <x:v>Специи</x:v>
      </x:c>
      <x:c r="E20" s="28" t="str">
        <x:v>сенсорная комплементарность</x:v>
      </x:c>
      <x:c r="F20" s="28" t="str">
        <x:v>Арахис имеет профиль «бобовый и зелёный в сыром виде; жареный, ореховый и какаоподобный после обжарки». Партнёр «корица» относится к группе «Специи» и даёт древесный, пряный.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0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0" s="28" t="str">
        <x:v>сильный аллерген; риск прогоркания и загрязнения плесенью при плохом хранении</x:v>
      </x:c>
      <x:c r="I20" s="28" t="str">
        <x:v>пралине, паста, выпечка, гарнир, соус, молочный или коктейльный компонент с корица</x:v>
      </x:c>
      <x:c r="J20" s="28" t="str">
        <x:v>Высокая</x:v>
      </x:c>
      <x:c r="K20" s="28" t="str">
        <x:v>Таблица сочетания(1).pdf | Тезариус вкусов (Ники Сегнит)(1).pdf</x:v>
      </x:c>
      <x:c r="L20" s="28" t="str">
        <x:v>Таблица сочетания(1).pdf: 15; Тезариус вкусов (Ники Сегнит)(1).pdf: 54, 574</x:v>
      </x:c>
    </x:row>
    <x:row r="21" ht="64" customHeight="1">
      <x:c r="A21" s="28" t="str">
        <x:v>NCT-0020</x:v>
      </x:c>
      <x:c r="B21" s="28" t="str">
        <x:v>арахис</x:v>
      </x:c>
      <x:c r="C21" s="28" t="str">
        <x:v>кофе</x:v>
      </x:c>
      <x:c r="D21" s="28" t="str">
        <x:v>Кофе</x:v>
      </x:c>
      <x:c r="E21" s="28" t="str">
        <x:v>общие ароматические соединения, пересечение ароматических семейств, жареная химия и реакции Майяра</x:v>
      </x:c>
      <x:c r="F21" s="28" t="str">
        <x:v>Арахис имеет профиль «бобовый и зелёный в сыром виде; жареный, ореховый и какаоподобный после обжарки».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ореховый; пиразины, фураны.</x:v>
      </x:c>
      <x:c r="G21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1" s="28" t="str">
        <x:v>сильный аллерген; риск прогоркания и загрязнения плесенью при плохом хранении</x:v>
      </x:c>
      <x:c r="I21" s="28" t="str">
        <x:v>пралине, паста, выпечка, гарнир, соус, молочный или коктейльный компонент с кофе</x:v>
      </x:c>
      <x:c r="J21" s="28" t="str">
        <x:v>Гипотеза / практическая</x:v>
      </x:c>
      <x:c r="K21" s="28" t="str">
        <x:v>Таблица сочетания(1).pdf</x:v>
      </x:c>
      <x:c r="L21" s="28" t="str">
        <x:v>Таблица сочетания(1).pdf: 15</x:v>
      </x:c>
    </x:row>
    <x:row r="22" ht="64" customHeight="1">
      <x:c r="A22" s="28" t="str">
        <x:v>NCT-0021</x:v>
      </x:c>
      <x:c r="B22" s="28" t="str">
        <x:v>арахис</x:v>
      </x:c>
      <x:c r="C22" s="28" t="str">
        <x:v>лайм</x:v>
      </x:c>
      <x:c r="D22" s="28" t="str">
        <x:v>Фрукты и ягоды</x:v>
      </x:c>
      <x:c r="E22" s="28" t="str">
        <x:v>контраст кислоты и жирной/горькой матрицы</x:v>
      </x:c>
      <x:c r="F22" s="28" t="str">
        <x:v>Арахис имеет профиль «бобовый и зелёный в сыром виде; жареный, ореховый и какаоподобный после обжарки». Партнёр «лайм» относится к группе «Фрукты и ягоды» и даёт зелёный,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2" s="28" t="str">
        <x:v>сильный аллерген; риск прогоркания и загрязнения плесенью при плохом хранении; избыток кислоты может сделать чай или кофе резкими и разрушить молочную эмульсию</x:v>
      </x:c>
      <x:c r="I22" s="28" t="str">
        <x:v>пралине, паста, выпечка, гарнир, соус, молочный или коктейльный компонент с лайм</x:v>
      </x:c>
      <x:c r="J22" s="28" t="str">
        <x:v>Средняя</x:v>
      </x:c>
      <x:c r="K22" s="28" t="str">
        <x:v>Тезариус вкусов (Ники Сегнит)(1).pdf</x:v>
      </x:c>
      <x:c r="L22" s="28" t="str">
        <x:v>Тезариус вкусов (Ники Сегнит)(1).pdf: 54, 792</x:v>
      </x:c>
    </x:row>
    <x:row r="23" ht="64" customHeight="1">
      <x:c r="A23" s="28" t="str">
        <x:v>NCT-0022</x:v>
      </x:c>
      <x:c r="B23" s="28" t="str">
        <x:v>арахис</x:v>
      </x:c>
      <x:c r="C23" s="28" t="str">
        <x:v>листья кориандра</x:v>
      </x:c>
      <x:c r="D23" s="28" t="str">
        <x:v>Травы, цветы и листья</x:v>
      </x:c>
      <x:c r="E23" s="28" t="str">
        <x:v>сенсорная комплементарность</x:v>
      </x:c>
      <x:c r="F23" s="28" t="str">
        <x:v>Арахис имеет профиль «бобовый и зелёный в сыром виде; жареный, ореховый и какаоподобный после обжарки». Партнёр «листья кориандра»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3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3" s="28" t="str">
        <x:v>сильный аллерген; риск прогоркания и загрязнения плесенью при плохом хранении</x:v>
      </x:c>
      <x:c r="I23" s="28" t="str">
        <x:v>пралине, паста, выпечка, гарнир, соус, молочный или коктейльный компонент с листья кориандра</x:v>
      </x:c>
      <x:c r="J23" s="28" t="str">
        <x:v>Средняя</x:v>
      </x:c>
      <x:c r="K23" s="28" t="str">
        <x:v>Тезариус вкусов (Ники Сегнит)(1).pdf</x:v>
      </x:c>
      <x:c r="L23" s="28" t="str">
        <x:v>Тезариус вкусов (Ники Сегнит)(1).pdf: 55, 516</x:v>
      </x:c>
    </x:row>
    <x:row r="24" ht="64" customHeight="1">
      <x:c r="A24" s="28" t="str">
        <x:v>NCT-0023</x:v>
      </x:c>
      <x:c r="B24" s="28" t="str">
        <x:v>арахис</x:v>
      </x:c>
      <x:c r="C24" s="28" t="str">
        <x:v>моллюски</x:v>
      </x:c>
      <x:c r="D24" s="28" t="str">
        <x:v>Прочее</x:v>
      </x:c>
      <x:c r="E24" s="28" t="str">
        <x:v>сенсорная комплементарность</x:v>
      </x:c>
      <x:c r="F24" s="28" t="str">
        <x:v>Арахис имеет профиль «бобовый и зелёный в сыром виде; жареный, ореховый и какаоподобный после обжарки». Партнёр «моллюски»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4" s="28" t="str">
        <x:v>сильный аллерген; риск прогоркания и загрязнения плесенью при плохом хранении</x:v>
      </x:c>
      <x:c r="I24" s="28" t="str">
        <x:v>пралине, паста, выпечка, гарнир, соус, молочный или коктейльный компонент с моллюски</x:v>
      </x:c>
      <x:c r="J24" s="28" t="str">
        <x:v>Средняя</x:v>
      </x:c>
      <x:c r="K24" s="28" t="str">
        <x:v>Тезариус вкусов (Ники Сегнит)(1).pdf</x:v>
      </x:c>
      <x:c r="L24" s="28" t="str">
        <x:v>Тезариус вкусов (Ники Сегнит)(1).pdf: 55, 365</x:v>
      </x:c>
    </x:row>
    <x:row r="25" ht="64" customHeight="1">
      <x:c r="A25" s="28" t="str">
        <x:v>NCT-0024</x:v>
      </x:c>
      <x:c r="B25" s="28" t="str">
        <x:v>арахис</x:v>
      </x:c>
      <x:c r="C25" s="28" t="str">
        <x:v>морковь</x:v>
      </x:c>
      <x:c r="D25" s="28" t="str">
        <x:v>Овощи, бобовые и грибы</x:v>
      </x:c>
      <x:c r="E25" s="28" t="str">
        <x:v>общие ароматические соединения</x:v>
      </x:c>
      <x:c r="F25" s="28" t="str">
        <x:v>Арахис имеет профиль «бобовый и зелёный в сыром виде; жареный, ореховый и какаоподобный после обжарки». Партнёр «морковь»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25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5" s="28" t="str">
        <x:v>сильный аллерген; риск прогоркания и загрязнения плесенью при плохом хранении</x:v>
      </x:c>
      <x:c r="I25" s="28" t="str">
        <x:v>пралине, паста, выпечка, гарнир, соус, молочный или коктейльный компонент с морковь</x:v>
      </x:c>
      <x:c r="J25" s="28" t="str">
        <x:v>Средняя</x:v>
      </x:c>
      <x:c r="K25" s="28" t="str">
        <x:v>Тезариус вкусов (Ники Сегнит)(1).pdf</x:v>
      </x:c>
      <x:c r="L25" s="28" t="str">
        <x:v>Тезариус вкусов (Ники Сегнит)(1).pdf: 55, 602</x:v>
      </x:c>
    </x:row>
    <x:row r="26" ht="64" customHeight="1">
      <x:c r="A26" s="28" t="str">
        <x:v>NCT-0025</x:v>
      </x:c>
      <x:c r="B26" s="28" t="str">
        <x:v>арахис</x:v>
      </x:c>
      <x:c r="C26" s="28" t="str">
        <x:v>мускатный орех</x:v>
      </x:c>
      <x:c r="D26" s="28" t="str">
        <x:v>Орехи и семена</x:v>
      </x:c>
      <x:c r="E26" s="28" t="str">
        <x:v>пересечение ароматических семейств, жареная химия и реакции Майяра</x:v>
      </x:c>
      <x:c r="F26" s="28" t="str">
        <x:v>Арахис имеет профиль «бобовый и зелёный в сыром виде; жареный, ореховый и какаоподобный после обжарки».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механизм не следует сводить к одной общей молекуле.</x:v>
      </x:c>
      <x:c r="G26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6" s="28" t="str">
        <x:v>сильный аллерген; риск прогоркания и загрязнения плесенью при плохом хранении</x:v>
      </x:c>
      <x:c r="I26" s="28" t="str">
        <x:v>пралине, паста, выпечка, гарнир, соус, молочный или коктейльный компонент с мускатный орех</x:v>
      </x:c>
      <x:c r="J26" s="28" t="str">
        <x:v>Гипотеза / практическая</x:v>
      </x:c>
      <x:c r="K26" s="28" t="str">
        <x:v>Таблица сочетания(1).pdf</x:v>
      </x:c>
      <x:c r="L26" s="28" t="str">
        <x:v>Таблица сочетания(1).pdf: 15</x:v>
      </x:c>
    </x:row>
    <x:row r="27" ht="64" customHeight="1">
      <x:c r="A27" s="28" t="str">
        <x:v>NCT-0026</x:v>
      </x:c>
      <x:c r="B27" s="28" t="str">
        <x:v>арахис</x:v>
      </x:c>
      <x:c r="C27" s="28" t="str">
        <x:v>мята</x:v>
      </x:c>
      <x:c r="D27" s="28" t="str">
        <x:v>Травы, цветы и листья</x:v>
      </x:c>
      <x:c r="E27" s="28" t="str">
        <x:v>сенсорная комплементарность</x:v>
      </x:c>
      <x:c r="F27" s="28" t="str">
        <x:v>Арахис имеет профиль «бобовый и зелёный в сыром виде; жареный, ореховый и какаоподобный после обжарки». Партнёр «мята» относится к группе «Травы, цветы и листья» и даёт зелёный, холодящий.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7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7" s="28" t="str">
        <x:v>сильный аллерген; риск прогоркания и загрязнения плесенью при плохом хранении</x:v>
      </x:c>
      <x:c r="I27" s="28" t="str">
        <x:v>пралине, паста, выпечка, гарнир, соус, молочный или коктейльный компонент с мята</x:v>
      </x:c>
      <x:c r="J27" s="28" t="str">
        <x:v>Высокая</x:v>
      </x:c>
      <x:c r="K27" s="28" t="str">
        <x:v>Таблица сочетания(1).pdf | Тезариус вкусов (Ники Сегнит)(1).pdf</x:v>
      </x:c>
      <x:c r="L27" s="28" t="str">
        <x:v>Таблица сочетания(1).pdf: 16; Тезариус вкусов (Ники Сегнит)(1).pdf: 56, 865</x:v>
      </x:c>
    </x:row>
    <x:row r="28" ht="64" customHeight="1">
      <x:c r="A28" s="28" t="str">
        <x:v>NCT-0027</x:v>
      </x:c>
      <x:c r="B28" s="28" t="str">
        <x:v>арахис</x:v>
      </x:c>
      <x:c r="C28" s="28" t="str">
        <x:v>огурцы</x:v>
      </x:c>
      <x:c r="D28" s="28" t="str">
        <x:v>Овощи, бобовые и грибы</x:v>
      </x:c>
      <x:c r="E28" s="28" t="str">
        <x:v>общие ароматические соединения</x:v>
      </x:c>
      <x:c r="F28" s="28" t="str">
        <x:v>Арахис имеет профиль «бобовый и зелёный в сыром виде; жареный, ореховый и какаоподобный после обжарки». Партнёр «огурцы»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28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8" s="28" t="str">
        <x:v>сильный аллерген; риск прогоркания и загрязнения плесенью при плохом хранении</x:v>
      </x:c>
      <x:c r="I28" s="28" t="str">
        <x:v>пралине, паста, выпечка, гарнир, соус, молочный или коктейльный компонент с огурцы</x:v>
      </x:c>
      <x:c r="J28" s="28" t="str">
        <x:v>Средняя</x:v>
      </x:c>
      <x:c r="K28" s="28" t="str">
        <x:v>Тезариус вкусов (Ники Сегнит)(1).pdf</x:v>
      </x:c>
      <x:c r="L28" s="28" t="str">
        <x:v>Тезариус вкусов (Ники Сегнит)(1).pdf: 56, 491</x:v>
      </x:c>
    </x:row>
    <x:row r="29" ht="64" customHeight="1">
      <x:c r="A29" s="28" t="str">
        <x:v>NCT-0028</x:v>
      </x:c>
      <x:c r="B29" s="28" t="str">
        <x:v>арахис</x:v>
      </x:c>
      <x:c r="C29" s="28" t="str">
        <x:v>оливковое масло</x:v>
      </x:c>
      <x:c r="D29" s="28" t="str">
        <x:v>Масла и жиры</x:v>
      </x:c>
      <x:c r="E29" s="28" t="str">
        <x:v>общие ароматические соединения</x:v>
      </x:c>
      <x:c r="F29" s="28" t="str">
        <x:v>Арахис имеет профиль «бобовый и зелёный в сыром виде; жареный, ореховый и какаоподобный после обжарки». Партнёр «оливковое масло» относится к группе «Масла и жиры» и даёт жирный и мягкий.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29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9" s="28" t="str">
        <x:v>сильный аллерген; риск прогоркания и загрязнения плесенью при плохом хранении</x:v>
      </x:c>
      <x:c r="I29" s="28" t="str">
        <x:v>пралине, паста, выпечка, гарнир, соус, молочный или коктейльный компонент с оливковое масло</x:v>
      </x:c>
      <x:c r="J29" s="28" t="str">
        <x:v>Средняя</x:v>
      </x:c>
      <x:c r="K29" s="28" t="str">
        <x:v>The Art &amp; Science of Foodpairing.pdf</x:v>
      </x:c>
      <x:c r="L29" s="28" t="str">
        <x:v>The Art &amp; Science of Foodpairing.pdf: 172</x:v>
      </x:c>
    </x:row>
    <x:row r="30" ht="64" customHeight="1">
      <x:c r="A30" s="28" t="str">
        <x:v>NCT-0029</x:v>
      </x:c>
      <x:c r="B30" s="28" t="str">
        <x:v>арахис</x:v>
      </x:c>
      <x:c r="C30" s="28" t="str">
        <x:v>паприка</x:v>
      </x:c>
      <x:c r="D30" s="28" t="str">
        <x:v>Прочее</x:v>
      </x:c>
      <x:c r="E30" s="28" t="str">
        <x:v>сенсорная комплементарность</x:v>
      </x:c>
      <x:c r="F30" s="28" t="str">
        <x:v>Арахис имеет профиль «бобовый и зелёный в сыром виде; жареный, ореховый и какаоподобный после обжарки». Партнёр «паприка»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0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0" s="28" t="str">
        <x:v>сильный аллерген; риск прогоркания и загрязнения плесенью при плохом хранении</x:v>
      </x:c>
      <x:c r="I30" s="28" t="str">
        <x:v>пралине, паста, выпечка, гарнир, соус, молочный или коктейльный компонент с паприка</x:v>
      </x:c>
      <x:c r="J30" s="28" t="str">
        <x:v>Гипотеза / практическая</x:v>
      </x:c>
      <x:c r="K30" s="28" t="str">
        <x:v>Таблица сочетания(1).pdf</x:v>
      </x:c>
      <x:c r="L30" s="28" t="str">
        <x:v>Таблица сочетания(1).pdf: 16</x:v>
      </x:c>
    </x:row>
    <x:row r="31" ht="64" customHeight="1">
      <x:c r="A31" s="28" t="str">
        <x:v>NCT-0030</x:v>
      </x:c>
      <x:c r="B31" s="28" t="str">
        <x:v>арахис</x:v>
      </x:c>
      <x:c r="C31" s="28" t="str">
        <x:v>персик</x:v>
      </x:c>
      <x:c r="D31" s="28" t="str">
        <x:v>Фрукты и ягоды</x:v>
      </x:c>
      <x:c r="E31" s="28" t="str">
        <x:v>контраст кислоты и жирной/горькой матрицы</x:v>
      </x:c>
      <x:c r="F31" s="28" t="str">
        <x:v>Арахис имеет профиль «бобовый и зелёный в сыром виде; жареный, ореховый и какаоподобный после обжарки». Партнёр «персик» относится к группе «Фрукты и ягоды» и даёт лактонный, фруктовый, цветочный.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1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1" s="28" t="str">
        <x:v>сильный аллерген; риск прогоркания и загрязнения плесенью при плохом хранении; избыток кислоты может сделать чай или кофе резкими и разрушить молочную эмульсию</x:v>
      </x:c>
      <x:c r="I31" s="28" t="str">
        <x:v>пралине, паста, выпечка, гарнир, соус, молочный или коктейльный компонент с персик</x:v>
      </x:c>
      <x:c r="J31" s="28" t="str">
        <x:v>Гипотеза / практическая</x:v>
      </x:c>
      <x:c r="K31" s="28" t="str">
        <x:v>Таблица сочетания(1).pdf</x:v>
      </x:c>
      <x:c r="L31" s="28" t="str">
        <x:v>Таблица сочетания(1).pdf: 16</x:v>
      </x:c>
    </x:row>
    <x:row r="32" ht="64" customHeight="1">
      <x:c r="A32" s="28" t="str">
        <x:v>NCT-0031</x:v>
      </x:c>
      <x:c r="B32" s="28" t="str">
        <x:v>арахис</x:v>
      </x:c>
      <x:c r="C32" s="28" t="str">
        <x:v>петрушка</x:v>
      </x:c>
      <x:c r="D32" s="28" t="str">
        <x:v>Травы, цветы и листья</x:v>
      </x:c>
      <x:c r="E32" s="28" t="str">
        <x:v>сенсорная комплементарность</x:v>
      </x:c>
      <x:c r="F32" s="28" t="str">
        <x:v>Арахис имеет профиль «бобовый и зелёный в сыром виде; жареный, ореховый и какаоподобный после обжарки». Партнёр «петрушка»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2" s="28" t="str">
        <x:v>сильный аллерген; риск прогоркания и загрязнения плесенью при плохом хранении</x:v>
      </x:c>
      <x:c r="I32" s="28" t="str">
        <x:v>пралине, паста, выпечка, гарнир, соус, молочный или коктейльный компонент с петрушка</x:v>
      </x:c>
      <x:c r="J32" s="28" t="str">
        <x:v>Гипотеза / практическая</x:v>
      </x:c>
      <x:c r="K32" s="28" t="str">
        <x:v>Таблица сочетания(1).pdf</x:v>
      </x:c>
      <x:c r="L32" s="28" t="str">
        <x:v>Таблица сочетания(1).pdf: 16</x:v>
      </x:c>
    </x:row>
    <x:row r="33" ht="64" customHeight="1">
      <x:c r="A33" s="28" t="str">
        <x:v>NCT-0032</x:v>
      </x:c>
      <x:c r="B33" s="28" t="str">
        <x:v>арахис</x:v>
      </x:c>
      <x:c r="C33" s="28" t="str">
        <x:v>свинина</x:v>
      </x:c>
      <x:c r="D33" s="28" t="str">
        <x:v>Мясо и птица</x:v>
      </x:c>
      <x:c r="E33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3" s="28" t="str">
        <x:v>Арахис имеет профиль «бобовый и зелёный в сыром виде; жареный, ореховый и какаоподобный после обжарки». Партнёр «свинина»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33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3" s="28" t="str">
        <x:v>сильный аллерген; риск прогоркания и загрязнения плесенью при плохом хранении</x:v>
      </x:c>
      <x:c r="I33" s="28" t="str">
        <x:v>пралине, паста, выпечка, гарнир, соус, молочный или коктейльный компонент с свинина</x:v>
      </x:c>
      <x:c r="J33" s="28" t="str">
        <x:v>Средняя</x:v>
      </x:c>
      <x:c r="K33" s="28" t="str">
        <x:v>Тезариус вкусов (Ники Сегнит)(1).pdf</x:v>
      </x:c>
      <x:c r="L33" s="28" t="str">
        <x:v>Тезариус вкусов (Ники Сегнит)(1).pdf: 56, 78</x:v>
      </x:c>
    </x:row>
    <x:row r="34" ht="64" customHeight="1">
      <x:c r="A34" s="28" t="str">
        <x:v>NCT-0033</x:v>
      </x:c>
      <x:c r="B34" s="28" t="str">
        <x:v>арахис</x:v>
      </x:c>
      <x:c r="C34" s="28" t="str">
        <x:v>свёкла</x:v>
      </x:c>
      <x:c r="D34" s="28" t="str">
        <x:v>Овощи, бобовые и грибы</x:v>
      </x:c>
      <x:c r="E34" s="28" t="str">
        <x:v>сенсорная комплементарность</x:v>
      </x:c>
      <x:c r="F34" s="28" t="str">
        <x:v>Арахис имеет профиль «бобовый и зелёный в сыром виде; жареный, ореховый и какаоподобный после обжарки». Партнёр «свёкла» относится к группе «Овощи, бобовые и грибы» и даёт землистый, сладкий.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4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4" s="28" t="str">
        <x:v>сильный аллерген; риск прогоркания и загрязнения плесенью при плохом хранении</x:v>
      </x:c>
      <x:c r="I34" s="28" t="str">
        <x:v>пралине, паста, выпечка, гарнир, соус, молочный или коктейльный компонент с свёкла</x:v>
      </x:c>
      <x:c r="J34" s="28" t="str">
        <x:v>Средняя</x:v>
      </x:c>
      <x:c r="K34" s="28" t="str">
        <x:v>The Art &amp; Science of Foodpairing.pdf</x:v>
      </x:c>
      <x:c r="L34" s="28" t="str">
        <x:v>The Art &amp; Science of Foodpairing.pdf: 224</x:v>
      </x:c>
    </x:row>
    <x:row r="35" ht="64" customHeight="1">
      <x:c r="A35" s="28" t="str">
        <x:v>NCT-0034</x:v>
      </x:c>
      <x:c r="B35" s="28" t="str">
        <x:v>арахис</x:v>
      </x:c>
      <x:c r="C35" s="28" t="str">
        <x:v>сельдерей</x:v>
      </x:c>
      <x:c r="D35" s="28" t="str">
        <x:v>Прочее</x:v>
      </x:c>
      <x:c r="E35" s="28" t="str">
        <x:v>сенсорная комплементарность</x:v>
      </x:c>
      <x:c r="F35" s="28" t="str">
        <x:v>Арахис имеет профиль «бобовый и зелёный в сыром виде; жареный, ореховый и какаоподобный после обжарки». Партнёр «сельдерей»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5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5" s="28" t="str">
        <x:v>сильный аллерген; риск прогоркания и загрязнения плесенью при плохом хранении</x:v>
      </x:c>
      <x:c r="I35" s="28" t="str">
        <x:v>пралине, паста, выпечка, гарнир, соус, молочный или коктейльный компонент с сельдерей</x:v>
      </x:c>
      <x:c r="J35" s="28" t="str">
        <x:v>Средняя</x:v>
      </x:c>
      <x:c r="K35" s="28" t="str">
        <x:v>Тезариус вкусов (Ники Сегнит)(1).pdf</x:v>
      </x:c>
      <x:c r="L35" s="28" t="str">
        <x:v>Тезариус вкусов (Ники Сегнит)(1).pdf: 56, 248</x:v>
      </x:c>
    </x:row>
    <x:row r="36" ht="64" customHeight="1">
      <x:c r="A36" s="28" t="str">
        <x:v>NCT-0035</x:v>
      </x:c>
      <x:c r="B36" s="28" t="str">
        <x:v>арахис</x:v>
      </x:c>
      <x:c r="C36" s="28" t="str">
        <x:v>спаржа</x:v>
      </x:c>
      <x:c r="D36" s="28" t="str">
        <x:v>Овощи, бобовые и грибы</x:v>
      </x:c>
      <x:c r="E36" s="28" t="str">
        <x:v>общие ароматические соединения</x:v>
      </x:c>
      <x:c r="F36" s="28" t="str">
        <x:v>Арахис имеет профиль «бобовый и зелёный в сыром виде; жареный, ореховый и какаоподобный после обжарки». Партнёр «спаржа»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6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6" s="28" t="str">
        <x:v>сильный аллерген; риск прогоркания и загрязнения плесенью при плохом хранении</x:v>
      </x:c>
      <x:c r="I36" s="28" t="str">
        <x:v>пралине, паста, выпечка, гарнир, соус, молочный или коктейльный компонент с спаржа</x:v>
      </x:c>
      <x:c r="J36" s="28" t="str">
        <x:v>Средняя</x:v>
      </x:c>
      <x:c r="K36" s="28" t="str">
        <x:v>Тезариус вкусов (Ники Сегнит)(1).pdf</x:v>
      </x:c>
      <x:c r="L36" s="28" t="str">
        <x:v>Тезариус вкусов (Ники Сегнит)(1).pdf: 56, 345</x:v>
      </x:c>
    </x:row>
    <x:row r="37" ht="64" customHeight="1">
      <x:c r="A37" s="28" t="str">
        <x:v>NCT-0036</x:v>
      </x:c>
      <x:c r="B37" s="28" t="str">
        <x:v>арахис</x:v>
      </x:c>
      <x:c r="C37" s="28" t="str">
        <x:v>томаты</x:v>
      </x:c>
      <x:c r="D37" s="28" t="str">
        <x:v>Овощи, бобовые и грибы</x:v>
      </x:c>
      <x:c r="E37" s="28" t="str">
        <x:v>сенсорная комплементарность</x:v>
      </x:c>
      <x:c r="F37" s="28" t="str">
        <x:v>Арахис имеет профиль «бобовый и зелёный в сыром виде; жареный, ореховый и какаоподобный после обжарки». Партнёр «томаты» относится к группе «Овощи, бобовые и грибы» и даёт зелёный, умами, фруктовый.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7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7" s="28" t="str">
        <x:v>сильный аллерген; риск прогоркания и загрязнения плесенью при плохом хранении</x:v>
      </x:c>
      <x:c r="I37" s="28" t="str">
        <x:v>пралине, паста, выпечка, гарнир, соус, молочный или коктейльный компонент с томаты</x:v>
      </x:c>
      <x:c r="J37" s="28" t="str">
        <x:v>Средняя</x:v>
      </x:c>
      <x:c r="K37" s="28" t="str">
        <x:v>Тезариус вкусов (Ники Сегнит)(1).pdf</x:v>
      </x:c>
      <x:c r="L37" s="28" t="str">
        <x:v>Тезариус вкусов (Ники Сегнит)(1).pdf: 56, 680</x:v>
      </x:c>
    </x:row>
    <x:row r="38" ht="64" customHeight="1">
      <x:c r="A38" s="28" t="str">
        <x:v>NCT-0037</x:v>
      </x:c>
      <x:c r="B38" s="28" t="str">
        <x:v>арахис</x:v>
      </x:c>
      <x:c r="C38" s="28" t="str">
        <x:v>цыпленок</x:v>
      </x:c>
      <x:c r="D38" s="28" t="str">
        <x:v>Прочее</x:v>
      </x:c>
      <x:c r="E38" s="28" t="str">
        <x:v>сенсорная комплементарность</x:v>
      </x:c>
      <x:c r="F38" s="28" t="str">
        <x:v>Арахис имеет профиль «бобовый и зелёный в сыром виде; жареный, ореховый и какаоподобный после обжарки». Партнёр «цыпленок»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8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8" s="28" t="str">
        <x:v>сильный аллерген; риск прогоркания и загрязнения плесенью при плохом хранении</x:v>
      </x:c>
      <x:c r="I38" s="28" t="str">
        <x:v>пралине, паста, выпечка, гарнир, соус, молочный или коктейльный компонент с цыпленок</x:v>
      </x:c>
      <x:c r="J38" s="28" t="str">
        <x:v>Средняя</x:v>
      </x:c>
      <x:c r="K38" s="28" t="str">
        <x:v>Тезариус вкусов (Ники Сегнит)(1).pdf</x:v>
      </x:c>
      <x:c r="L38" s="28" t="str">
        <x:v>Тезариус вкусов (Ники Сегнит)(1).pdf: 57, 63</x:v>
      </x:c>
    </x:row>
    <x:row r="39" ht="64" customHeight="1">
      <x:c r="A39" s="28" t="str">
        <x:v>NCT-0038</x:v>
      </x:c>
      <x:c r="B39" s="28" t="str">
        <x:v>арахис</x:v>
      </x:c>
      <x:c r="C39" s="28" t="str">
        <x:v>черная смородина</x:v>
      </x:c>
      <x:c r="D39" s="28" t="str">
        <x:v>Прочее</x:v>
      </x:c>
      <x:c r="E39" s="28" t="str">
        <x:v>сенсорная комплементарность</x:v>
      </x:c>
      <x:c r="F39" s="28" t="str">
        <x:v>Арахис имеет профиль «бобовый и зелёный в сыром виде; жареный, ореховый и какаоподобный после обжарки». Партнёр «черная смородина»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9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9" s="28" t="str">
        <x:v>сильный аллерген; риск прогоркания и загрязнения плесенью при плохом хранении</x:v>
      </x:c>
      <x:c r="I39" s="28" t="str">
        <x:v>пралине, паста, выпечка, гарнир, соус, молочный или коктейльный компонент с черная смородина</x:v>
      </x:c>
      <x:c r="J39" s="28" t="str">
        <x:v>Средняя</x:v>
      </x:c>
      <x:c r="K39" s="28" t="str">
        <x:v>Тезариус вкусов (Ники Сегнит)(1).pdf</x:v>
      </x:c>
      <x:c r="L39" s="28" t="str">
        <x:v>Тезариус вкусов (Ники Сегнит)(1).pdf: 59, 665, 875</x:v>
      </x:c>
    </x:row>
    <x:row r="40" ht="64" customHeight="1">
      <x:c r="A40" s="28" t="str">
        <x:v>NCT-0039</x:v>
      </x:c>
      <x:c r="B40" s="28" t="str">
        <x:v>арахис</x:v>
      </x:c>
      <x:c r="C40" s="28" t="str">
        <x:v>чили</x:v>
      </x:c>
      <x:c r="D40" s="28" t="str">
        <x:v>Специи</x:v>
      </x:c>
      <x:c r="E40" s="28" t="str">
        <x:v>сенсорная комплементарность</x:v>
      </x:c>
      <x:c r="F40" s="28" t="str">
        <x:v>Арахис имеет профиль «бобовый и зелёный в сыром виде; жареный, ореховый и какаоподобный после обжарки». Партнёр «чили»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0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40" s="28" t="str">
        <x:v>сильный аллерген; риск прогоркания и загрязнения плесенью при плохом хранении</x:v>
      </x:c>
      <x:c r="I40" s="28" t="str">
        <x:v>пралине, паста, выпечка, гарнир, соус, молочный или коктейльный компонент с чили</x:v>
      </x:c>
      <x:c r="J40" s="28" t="str">
        <x:v>Средняя</x:v>
      </x:c>
      <x:c r="K40" s="28" t="str">
        <x:v>Тезариус вкусов (Ники Сегнит)(1).pdf</x:v>
      </x:c>
      <x:c r="L40" s="28" t="str">
        <x:v>Тезариус вкусов (Ники Сегнит)(1).pdf: 59, 551</x:v>
      </x:c>
    </x:row>
    <x:row r="41" ht="64" customHeight="1">
      <x:c r="A41" s="28" t="str">
        <x:v>NCT-0040</x:v>
      </x:c>
      <x:c r="B41" s="28" t="str">
        <x:v>арахис</x:v>
      </x:c>
      <x:c r="C41" s="28" t="str">
        <x:v>шоколад</x:v>
      </x:c>
      <x:c r="D41" s="28" t="str">
        <x:v>Какао и шоколад</x:v>
      </x:c>
      <x:c r="E41" s="28" t="str">
        <x:v>общие ароматические соединения, пересечение ароматических семейств, жареная химия и реакции Майяра</x:v>
      </x:c>
      <x:c r="F41" s="28" t="str">
        <x:v>Арахис имеет профиль «бобовый и зелёный в сыром виде; жареный, ореховый и какаоподобный после обжарки».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альдегиды, пиразины, фураны.</x:v>
      </x:c>
      <x:c r="G41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41" s="28" t="str">
        <x:v>сильный аллерген; риск прогоркания и загрязнения плесенью при плохом хранении</x:v>
      </x:c>
      <x:c r="I41" s="28" t="str">
        <x:v>пралине, паста, выпечка, гарнир, соус, молочный или коктейльный компонент с шоколад</x:v>
      </x:c>
      <x:c r="J41" s="28" t="str">
        <x:v>Высокая</x:v>
      </x:c>
      <x:c r="K41" s="28" t="str">
        <x:v>The Art &amp; Science of Foodpairing.pdf | Таблица сочетания(1).pdf | Тезариус вкусов (Ники Сегнит)(1).pdf</x:v>
      </x:c>
      <x:c r="L41" s="28" t="str">
        <x:v>The Art &amp; Science of Foodpairing.pdf: 62; Таблица сочетания(1).pdf: 15; Тезариус вкусов (Ники Сегнит)(1).pdf: 26, 59</x:v>
      </x:c>
    </x:row>
    <x:row r="42" ht="64" customHeight="1">
      <x:c r="A42" s="28" t="str">
        <x:v>NCT-0041</x:v>
      </x:c>
      <x:c r="B42" s="28" t="str">
        <x:v>арахис</x:v>
      </x:c>
      <x:c r="C42" s="28" t="str">
        <x:v>яблоко</x:v>
      </x:c>
      <x:c r="D42" s="28" t="str">
        <x:v>Фрукты и ягоды</x:v>
      </x:c>
      <x:c r="E42" s="28" t="str">
        <x:v>общие ароматические соединения, контраст кислоты и жирной/горькой матрицы</x:v>
      </x:c>
      <x:c r="F42" s="28" t="str">
        <x:v>Арахис имеет профиль «бобовый и зелёный в сыром виде; жареный, ореховый и какаоподобный после обжарки». Партнёр «яблоко»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42" s="28" t="str">
        <x:v>сильный аллерген; риск прогоркания и загрязнения плесенью при плохом хранении; избыток кислоты может сделать чай или кофе резкими и разрушить молочную эмульсию</x:v>
      </x:c>
      <x:c r="I42" s="28" t="str">
        <x:v>пралине, паста, выпечка, гарнир, соус, молочный или коктейльный компонент с яблоко</x:v>
      </x:c>
      <x:c r="J42" s="28" t="str">
        <x:v>Средняя</x:v>
      </x:c>
      <x:c r="K42" s="28" t="str">
        <x:v>Тезариус вкусов (Ники Сегнит)(1).pdf</x:v>
      </x:c>
      <x:c r="L42" s="28" t="str">
        <x:v>Тезариус вкусов (Ники Сегнит)(1).pdf: 59, 710</x:v>
      </x:c>
    </x:row>
    <x:row r="43" ht="64" customHeight="1">
      <x:c r="A43" s="28" t="str">
        <x:v>NCT-0068</x:v>
      </x:c>
      <x:c r="B43" s="28" t="str">
        <x:v>бразильский орех</x:v>
      </x:c>
      <x:c r="C43" s="28" t="str">
        <x:v>картофель фри</x:v>
      </x:c>
      <x:c r="D43" s="28" t="str">
        <x:v>Овощи, бобовые и грибы</x:v>
      </x:c>
      <x:c r="E43" s="28" t="str">
        <x:v>общие ароматические соединения, пересечение ароматических семейств</x:v>
      </x:c>
      <x:c r="F43" s="28" t="str">
        <x:v>Бразильский орех имеет профиль «маслянистый, древесный, землистый и мягко-ореховый». Партнёр «картофель фри»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землистый; альдегиды.</x:v>
      </x:c>
      <x:c r="G43" s="28" t="str">
        <x:v>обжарка усиливает жареные и сернистые оттенки. Целый орех обжаривать умеренно, охлаждать перед измельчением и хранить герметично.</x:v>
      </x:c>
      <x:c r="H43" s="28" t="str">
        <x:v>аллерген; очень богат селеном, поэтому не подходит для бесконтрольной высокой дозировки</x:v>
      </x:c>
      <x:c r="I43" s="28" t="str">
        <x:v>пралине, паста, выпечка, гарнир, соус, молочный или коктейльный компонент с картофель фри</x:v>
      </x:c>
      <x:c r="J43" s="28" t="str">
        <x:v>Средняя</x:v>
      </x:c>
      <x:c r="K43" s="28" t="str">
        <x:v>The Art &amp; Science of Foodpairing.pdf</x:v>
      </x:c>
      <x:c r="L43" s="28" t="str">
        <x:v>The Art &amp; Science of Foodpairing.pdf: 196</x:v>
      </x:c>
    </x:row>
    <x:row r="44" ht="64" customHeight="1">
      <x:c r="A44" s="28" t="str">
        <x:v>NCT-0069</x:v>
      </x:c>
      <x:c r="B44" s="28" t="str">
        <x:v>грецкий орех</x:v>
      </x:c>
      <x:c r="C44" s="28" t="str">
        <x:v>peppercorns</x:v>
      </x:c>
      <x:c r="D44" s="28" t="str">
        <x:v>Специи</x:v>
      </x:c>
      <x:c r="E44" s="28" t="str">
        <x:v>пересечение ароматических семейств</x:v>
      </x:c>
      <x:c r="F44" s="28" t="str">
        <x:v>Грецкий орех имеет профиль «ореховый, древесный, землистый, слегка горький и маслянистый». Партнёр «peppercorns» относится к группе «Специи» и даёт пряный и древесный. Профили пересекаются в семействах: древесный Ореховый жир служит носителем ароматов и создаёт текстурный контраст, но окисление быстро превращает профиль в прогорклый. Итог: древесный; механизм не следует сводить к одной общей молекуле.</x:v>
      </x:c>
      <x:c r="G4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44" s="28" t="str">
        <x:v>аллерген; быстро окисляется; горькая кожица способна доминировать</x:v>
      </x:c>
      <x:c r="I44" s="28" t="str">
        <x:v>пралине, паста, выпечка, гарнир, соус, молочный или коктейльный компонент с peppercorns</x:v>
      </x:c>
      <x:c r="J44" s="28" t="str">
        <x:v>Средняя</x:v>
      </x:c>
      <x:c r="K44" s="28" t="str">
        <x:v>The Art &amp; Science of Foodpairing.pdf</x:v>
      </x:c>
      <x:c r="L44" s="28" t="str">
        <x:v>The Art &amp; Science of Foodpairing.pdf: 273, 274</x:v>
      </x:c>
    </x:row>
    <x:row r="45" ht="64" customHeight="1">
      <x:c r="A45" s="28" t="str">
        <x:v>NCT-0070</x:v>
      </x:c>
      <x:c r="B45" s="28" t="str">
        <x:v>грецкий орех</x:v>
      </x:c>
      <x:c r="C45" s="28" t="str">
        <x:v>sweet potato</x:v>
      </x:c>
      <x:c r="D45" s="28" t="str">
        <x:v>Овощи, бобовые и грибы</x:v>
      </x:c>
      <x:c r="E45" s="28" t="str">
        <x:v>пересечение ароматических семейств</x:v>
      </x:c>
      <x:c r="F45" s="28" t="str">
        <x:v>Грецкий орех имеет профиль «ореховый, древесный, землистый, слегка горький и маслянистый». Партнёр «sweet potato»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45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45" s="28" t="str">
        <x:v>аллерген; быстро окисляется; горькая кожица способна доминировать</x:v>
      </x:c>
      <x:c r="I45" s="28" t="str">
        <x:v>пралине, паста, выпечка, гарнир, соус, молочный или коктейльный компонент с sweet potato</x:v>
      </x:c>
      <x:c r="J45" s="28" t="str">
        <x:v>Средняя</x:v>
      </x:c>
      <x:c r="K45" s="28" t="str">
        <x:v>The Art &amp; Science of Foodpairing.pdf</x:v>
      </x:c>
      <x:c r="L45" s="28" t="str">
        <x:v>The Art &amp; Science of Foodpairing.pdf: 119</x:v>
      </x:c>
    </x:row>
    <x:row r="46" ht="64" customHeight="1">
      <x:c r="A46" s="28" t="str">
        <x:v>NCT-0071</x:v>
      </x:c>
      <x:c r="B46" s="28" t="str">
        <x:v>грецкий орех</x:v>
      </x:c>
      <x:c r="C46" s="28" t="str">
        <x:v>абрикос</x:v>
      </x:c>
      <x:c r="D46" s="28" t="str">
        <x:v>Фрукты и ягоды</x:v>
      </x:c>
      <x:c r="E46" s="28" t="str">
        <x:v>общие ароматические соединения, контраст кислоты и жирной/горькой матрицы</x:v>
      </x:c>
      <x:c r="F46" s="28" t="str">
        <x:v>Грецкий орех имеет профиль «ореховый, древесный, землистый, слегка горький и маслянистый». Партнёр «абрикос» относится к группе «Фрукты и ягоды» и даёт лактонный, миндальный, фруктовый. Молекулярный мост создают лактоны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лактоны.</x:v>
      </x:c>
      <x:c r="G46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46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46" s="28" t="str">
        <x:v>пралине, паста, выпечка, гарнир, соус, молочный или коктейльный компонент с абрикос</x:v>
      </x:c>
      <x:c r="J46" s="28" t="str">
        <x:v>Гипотеза / практическая</x:v>
      </x:c>
      <x:c r="K46" s="28" t="str">
        <x:v>Таблица сочетания(1).pdf</x:v>
      </x:c>
      <x:c r="L46" s="28" t="str">
        <x:v>Таблица сочетания(1).pdf: 21</x:v>
      </x:c>
    </x:row>
    <x:row r="47" ht="64" customHeight="1">
      <x:c r="A47" s="28" t="str">
        <x:v>NCT-0072</x:v>
      </x:c>
      <x:c r="B47" s="28" t="str">
        <x:v>грецкий орех</x:v>
      </x:c>
      <x:c r="C47" s="28" t="str">
        <x:v>айва</x:v>
      </x:c>
      <x:c r="D47" s="28" t="str">
        <x:v>Прочее</x:v>
      </x:c>
      <x:c r="E47" s="28" t="str">
        <x:v>сенсорная комплементарность</x:v>
      </x:c>
      <x:c r="F47" s="28" t="str">
        <x:v>Грецкий орех имеет профиль «ореховый, древесный, землистый, слегка горький и маслянистый». Партнёр «айва»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7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47" s="28" t="str">
        <x:v>аллерген; быстро окисляется; горькая кожица способна доминировать</x:v>
      </x:c>
      <x:c r="I47" s="28" t="str">
        <x:v>пралине, паста, выпечка, гарнир, соус, молочный или коктейльный компонент с айва</x:v>
      </x:c>
      <x:c r="J47" s="28" t="str">
        <x:v>Гипотеза / практическая</x:v>
      </x:c>
      <x:c r="K47" s="28" t="str">
        <x:v>Таблица сочетания(1).pdf</x:v>
      </x:c>
      <x:c r="L47" s="28" t="str">
        <x:v>Таблица сочетания(1).pdf: 18</x:v>
      </x:c>
    </x:row>
    <x:row r="48" ht="64" customHeight="1">
      <x:c r="A48" s="28" t="str">
        <x:v>NCT-0073</x:v>
      </x:c>
      <x:c r="B48" s="28" t="str">
        <x:v>грецкий орех</x:v>
      </x:c>
      <x:c r="C48" s="28" t="str">
        <x:v>анис</x:v>
      </x:c>
      <x:c r="D48" s="28" t="str">
        <x:v>Прочее</x:v>
      </x:c>
      <x:c r="E48" s="28" t="str">
        <x:v>сенсорная комплементарность</x:v>
      </x:c>
      <x:c r="F48" s="28" t="str">
        <x:v>Грецкий орех имеет профиль «ореховый, древесный, землистый, слегка горький и маслянистый». Партнёр «анис»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8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48" s="28" t="str">
        <x:v>аллерген; быстро окисляется; горькая кожица способна доминировать</x:v>
      </x:c>
      <x:c r="I48" s="28" t="str">
        <x:v>пралине, паста, выпечка, гарнир, соус, молочный или коктейльный компонент с анис</x:v>
      </x:c>
      <x:c r="J48" s="28" t="str">
        <x:v>Высокая</x:v>
      </x:c>
      <x:c r="K48" s="28" t="str">
        <x:v>Таблица сочетания(1).pdf | Тезариус вкусов (Ники Сегнит)(1).pdf</x:v>
      </x:c>
      <x:c r="L48" s="28" t="str">
        <x:v>Таблица сочетания(1).pdf: 21; Тезариус вкусов (Ники Сегнит)(1).pdf: 483, 622</x:v>
      </x:c>
    </x:row>
    <x:row r="49" ht="64" customHeight="1">
      <x:c r="A49" s="28" t="str">
        <x:v>NCT-0074</x:v>
      </x:c>
      <x:c r="B49" s="28" t="str">
        <x:v>грецкий орех</x:v>
      </x:c>
      <x:c r="C49" s="28" t="str">
        <x:v>апельсин</x:v>
      </x:c>
      <x:c r="D49" s="28" t="str">
        <x:v>Фрукты и ягоды</x:v>
      </x:c>
      <x:c r="E49" s="28" t="str">
        <x:v>контраст кислоты и жирной/горькой матрицы</x:v>
      </x:c>
      <x:c r="F49" s="28" t="str">
        <x:v>Грецкий орех имеет профиль «ореховый, древесный, землистый, слегка горький и маслянистый». Партнёр «апельсин»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9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49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49" s="28" t="str">
        <x:v>пралине, паста, выпечка, гарнир, соус, молочный или коктейльный компонент с апельсин</x:v>
      </x:c>
      <x:c r="J49" s="28" t="str">
        <x:v>Средняя</x:v>
      </x:c>
      <x:c r="K49" s="28" t="str">
        <x:v>Тезариус вкусов (Ники Сегнит)(1).pdf</x:v>
      </x:c>
      <x:c r="L49" s="28" t="str">
        <x:v>Тезариус вкусов (Ники Сегнит)(1).pdf: 623, 775</x:v>
      </x:c>
    </x:row>
    <x:row r="50" ht="64" customHeight="1">
      <x:c r="A50" s="28" t="str">
        <x:v>NCT-0075</x:v>
      </x:c>
      <x:c r="B50" s="28" t="str">
        <x:v>грецкий орех</x:v>
      </x:c>
      <x:c r="C50" s="28" t="str">
        <x:v>бадьян</x:v>
      </x:c>
      <x:c r="D50" s="28" t="str">
        <x:v>Прочее</x:v>
      </x:c>
      <x:c r="E50" s="28" t="str">
        <x:v>сенсорная комплементарность</x:v>
      </x:c>
      <x:c r="F50" s="28" t="str">
        <x:v>Грецкий орех имеет профиль «ореховый, древесный, землистый, слегка горький и маслянистый». Партнёр «бадьян»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50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50" s="28" t="str">
        <x:v>аллерген; быстро окисляется; горькая кожица способна доминировать</x:v>
      </x:c>
      <x:c r="I50" s="28" t="str">
        <x:v>пралине, паста, выпечка, гарнир, соус, молочный или коктейльный компонент с бадьян</x:v>
      </x:c>
      <x:c r="J50" s="28" t="str">
        <x:v>Гипотеза / практическая</x:v>
      </x:c>
      <x:c r="K50" s="28" t="str">
        <x:v>Таблица сочетания(1).pdf</x:v>
      </x:c>
      <x:c r="L50" s="28" t="str">
        <x:v>Таблица сочетания(1).pdf: 20</x:v>
      </x:c>
    </x:row>
    <x:row r="51" ht="64" customHeight="1">
      <x:c r="A51" s="28" t="str">
        <x:v>NCT-0076</x:v>
      </x:c>
      <x:c r="B51" s="28" t="str">
        <x:v>грецкий орех</x:v>
      </x:c>
      <x:c r="C51" s="28" t="str">
        <x:v>базилик</x:v>
      </x:c>
      <x:c r="D51" s="28" t="str">
        <x:v>Травы, цветы и листья</x:v>
      </x:c>
      <x:c r="E51" s="28" t="str">
        <x:v>сенсорная комплементарность</x:v>
      </x:c>
      <x:c r="F51" s="28" t="str">
        <x:v>Грецкий орех имеет профиль «ореховый, древесный, землистый, слегка горький и маслянистый». Партнёр «базилик»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51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51" s="28" t="str">
        <x:v>аллерген; быстро окисляется; горькая кожица способна доминировать</x:v>
      </x:c>
      <x:c r="I51" s="28" t="str">
        <x:v>пралине, паста, выпечка, гарнир, соус, молочный или коктейльный компонент с базилик</x:v>
      </x:c>
      <x:c r="J51" s="28" t="str">
        <x:v>Средняя</x:v>
      </x:c>
      <x:c r="K51" s="28" t="str">
        <x:v>Тезариус вкусов (Ники Сегнит)(1).pdf</x:v>
      </x:c>
      <x:c r="L51" s="28" t="str">
        <x:v>Тезариус вкусов (Ники Сегнит)(1).pdf: 566, 623</x:v>
      </x:c>
    </x:row>
    <x:row r="52" ht="64" customHeight="1">
      <x:c r="A52" s="28" t="str">
        <x:v>NCT-0077</x:v>
      </x:c>
      <x:c r="B52" s="28" t="str">
        <x:v>грецкий орех</x:v>
      </x:c>
      <x:c r="C52" s="28" t="str">
        <x:v>баклажан</x:v>
      </x:c>
      <x:c r="D52" s="28" t="str">
        <x:v>Овощи, бобовые и грибы</x:v>
      </x:c>
      <x:c r="E52" s="28" t="str">
        <x:v>пересечение ароматических семейств</x:v>
      </x:c>
      <x:c r="F52" s="28" t="str">
        <x:v>Грецкий орех имеет профиль «ореховый, древесный, землистый, слегка горький и маслянистый». Партнёр «баклажан»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52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52" s="28" t="str">
        <x:v>аллерген; быстро окисляется; горькая кожица способна доминировать</x:v>
      </x:c>
      <x:c r="I52" s="28" t="str">
        <x:v>пралине, паста, выпечка, гарнир, соус, молочный или коктейльный компонент с баклажан</x:v>
      </x:c>
      <x:c r="J52" s="28" t="str">
        <x:v>Средняя</x:v>
      </x:c>
      <x:c r="K52" s="28" t="str">
        <x:v>Тезариус вкусов (Ники Сегнит)(1).pdf</x:v>
      </x:c>
      <x:c r="L52" s="28" t="str">
        <x:v>Тезариус вкусов (Ники Сегнит)(1).pdf: 210, 623</x:v>
      </x:c>
    </x:row>
    <x:row r="53" ht="64" customHeight="1">
      <x:c r="A53" s="28" t="str">
        <x:v>NCT-0078</x:v>
      </x:c>
      <x:c r="B53" s="28" t="str">
        <x:v>грецкий орех</x:v>
      </x:c>
      <x:c r="C53" s="28" t="str">
        <x:v>банан</x:v>
      </x:c>
      <x:c r="D53" s="28" t="str">
        <x:v>Фрукты и ягоды</x:v>
      </x:c>
      <x:c r="E53" s="28" t="str">
        <x:v>контраст кислоты и жирной/горькой матрицы</x:v>
      </x:c>
      <x:c r="F53" s="28" t="str">
        <x:v>Грецкий орех имеет профиль «ореховый, древесный, землистый, слегка горький и маслянистый».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53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53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53" s="28" t="str">
        <x:v>пралине, паста, выпечка, гарнир, соус, молочный или коктейльный компонент с банан</x:v>
      </x:c>
      <x:c r="J53" s="28" t="str">
        <x:v>Высокая</x:v>
      </x:c>
      <x:c r="K53" s="28" t="str">
        <x:v>Таблица сочетания(1).pdf | Тезариус вкусов (Ники Сегнит)(1).pdf</x:v>
      </x:c>
      <x:c r="L53" s="28" t="str">
        <x:v>Таблица сочетания(1).pdf: 2, 21; Тезариус вкусов (Ники Сегнит)(1).pdf: 623, 732</x:v>
      </x:c>
    </x:row>
    <x:row r="54" ht="64" customHeight="1">
      <x:c r="A54" s="28" t="str">
        <x:v>NCT-0079</x:v>
      </x:c>
      <x:c r="B54" s="28" t="str">
        <x:v>грецкий орех</x:v>
      </x:c>
      <x:c r="C54" s="28" t="str">
        <x:v>брокколи</x:v>
      </x:c>
      <x:c r="D54" s="28" t="str">
        <x:v>Прочее</x:v>
      </x:c>
      <x:c r="E54" s="28" t="str">
        <x:v>сенсорная комплементарность</x:v>
      </x:c>
      <x:c r="F54" s="28" t="str">
        <x:v>Грецкий орех имеет профиль «ореховый, древесный, землистый, слегка горький и маслянистый». Партнёр «брокколи»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5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54" s="28" t="str">
        <x:v>аллерген; быстро окисляется; горькая кожица способна доминировать</x:v>
      </x:c>
      <x:c r="I54" s="28" t="str">
        <x:v>пралине, паста, выпечка, гарнир, соус, молочный или коктейльный компонент с брокколи</x:v>
      </x:c>
      <x:c r="J54" s="28" t="str">
        <x:v>Средняя</x:v>
      </x:c>
      <x:c r="K54" s="28" t="str">
        <x:v>Тезариус вкусов (Ники Сегнит)(1).pdf</x:v>
      </x:c>
      <x:c r="L54" s="28" t="str">
        <x:v>Тезариус вкусов (Ники Сегнит)(1).pdf: 331, 624</x:v>
      </x:c>
    </x:row>
    <x:row r="55" ht="64" customHeight="1">
      <x:c r="A55" s="28" t="str">
        <x:v>NCT-0080</x:v>
      </x:c>
      <x:c r="B55" s="28" t="str">
        <x:v>грецкий орех</x:v>
      </x:c>
      <x:c r="C55" s="28" t="str">
        <x:v>ваниль</x:v>
      </x:c>
      <x:c r="D55" s="28" t="str">
        <x:v>Специи</x:v>
      </x:c>
      <x:c r="E55" s="28" t="str">
        <x:v>сенсорная комплементарность</x:v>
      </x:c>
      <x:c r="F55" s="28" t="str">
        <x:v>Грецкий орех имеет профиль «ореховый, древесный, землистый, слегка горький и маслянистый».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55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55" s="28" t="str">
        <x:v>аллерген; быстро окисляется; горькая кожица способна доминировать</x:v>
      </x:c>
      <x:c r="I55" s="28" t="str">
        <x:v>пралине, паста, выпечка, гарнир, соус, молочный или коктейльный компонент с ваниль</x:v>
      </x:c>
      <x:c r="J55" s="28" t="str">
        <x:v>Высокая</x:v>
      </x:c>
      <x:c r="K55" s="28" t="str">
        <x:v>Таблица сочетания(1).pdf | Тезариус вкусов (Ники Сегнит)(1).pdf</x:v>
      </x:c>
      <x:c r="L55" s="28" t="str">
        <x:v>Таблица сочетания(1).pdf: 21; Тезариус вкусов (Ники Сегнит)(1).pdf: 624, 916</x:v>
      </x:c>
    </x:row>
    <x:row r="56" ht="64" customHeight="1">
      <x:c r="A56" s="28" t="str">
        <x:v>NCT-0081</x:v>
      </x:c>
      <x:c r="B56" s="28" t="str">
        <x:v>грецкий орех</x:v>
      </x:c>
      <x:c r="C56" s="28" t="str">
        <x:v>виноград</x:v>
      </x:c>
      <x:c r="D56" s="28" t="str">
        <x:v>Алкогольные напитки</x:v>
      </x:c>
      <x:c r="E56" s="28" t="str">
        <x:v>пересечение ароматических семейств</x:v>
      </x:c>
      <x:c r="F56" s="28" t="str">
        <x:v>Грецкий орех имеет профиль «ореховый, древесный, землистый, слегка горький и маслянистый». Партнёр «виноград» относится к группе «Алкогольные напитки» и даёт спиртовой, фруктовый или древесный. Профили пересекаются в семействах: древесный Ореховый жир служит носителем ароматов и создаёт текстурный контраст, но окисление быстро превращает профиль в прогорклый. Итог: древесный; механизм не следует сводить к одной общей молекуле.</x:v>
      </x:c>
      <x:c r="G56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56" s="28" t="str">
        <x:v>аллерген; быстро окисляется; горькая кожица способна доминировать</x:v>
      </x:c>
      <x:c r="I56" s="28" t="str">
        <x:v>пралине, паста, выпечка, гарнир, соус, молочный или коктейльный компонент с виноград</x:v>
      </x:c>
      <x:c r="J56" s="28" t="str">
        <x:v>Средняя</x:v>
      </x:c>
      <x:c r="K56" s="28" t="str">
        <x:v>Тезариус вкусов (Ники Сегнит)(1).pdf</x:v>
      </x:c>
      <x:c r="L56" s="28" t="str">
        <x:v>Тезариус вкусов (Ники Сегнит)(1).pdf: 625, 666</x:v>
      </x:c>
    </x:row>
    <x:row r="57" ht="64" customHeight="1">
      <x:c r="A57" s="28" t="str">
        <x:v>NCT-0082</x:v>
      </x:c>
      <x:c r="B57" s="28" t="str">
        <x:v>грецкий орех</x:v>
      </x:c>
      <x:c r="C57" s="28" t="str">
        <x:v>вишня</x:v>
      </x:c>
      <x:c r="D57" s="28" t="str">
        <x:v>Фрукты и ягоды</x:v>
      </x:c>
      <x:c r="E57" s="28" t="str">
        <x:v>контраст кислоты и жирной/горькой матрицы</x:v>
      </x:c>
      <x:c r="F57" s="28" t="str">
        <x:v>Грецкий орех имеет профиль «ореховый, древесный, землистый, слегка горький и маслянистый». Партнёр «вишня» относится к группе «Фрукты и ягоды» и даёт миндальный,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57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57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57" s="28" t="str">
        <x:v>пралине, паста, выпечка, гарнир, соус, молочный или коктейльный компонент с вишня</x:v>
      </x:c>
      <x:c r="J57" s="28" t="str">
        <x:v>Высокая</x:v>
      </x:c>
      <x:c r="K57" s="28" t="str">
        <x:v>Таблица сочетания(1).pdf | Тезариус вкусов (Ники Сегнит)(1).pdf</x:v>
      </x:c>
      <x:c r="L57" s="28" t="str">
        <x:v>Таблица сочетания(1).pdf: 22; Тезариус вкусов (Ники Сегнит)(1).pdf: 625, 654</x:v>
      </x:c>
    </x:row>
    <x:row r="58" ht="64" customHeight="1">
      <x:c r="A58" s="28" t="str">
        <x:v>NCT-0083</x:v>
      </x:c>
      <x:c r="B58" s="28" t="str">
        <x:v>грецкий орех</x:v>
      </x:c>
      <x:c r="C58" s="28" t="str">
        <x:v>водоросли</x:v>
      </x:c>
      <x:c r="D58" s="28" t="str">
        <x:v>Прочее</x:v>
      </x:c>
      <x:c r="E58" s="28" t="str">
        <x:v>сенсорная комплементарность</x:v>
      </x:c>
      <x:c r="F58" s="28" t="str">
        <x:v>Грецкий орех имеет профиль «ореховый, древесный, землистый, слегка горький и маслянистый». Партнёр «водоросли»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58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58" s="28" t="str">
        <x:v>аллерген; быстро окисляется; горькая кожица способна доминировать</x:v>
      </x:c>
      <x:c r="I58" s="28" t="str">
        <x:v>пралине, паста, выпечка, гарнир, соус, молочный или коктейльный компонент с водоросли</x:v>
      </x:c>
      <x:c r="J58" s="28" t="str">
        <x:v>Средняя</x:v>
      </x:c>
      <x:c r="K58" s="28" t="str">
        <x:v>The Art &amp; Science of Foodpairing.pdf</x:v>
      </x:c>
      <x:c r="L58" s="28" t="str">
        <x:v>The Art &amp; Science of Foodpairing.pdf: 267</x:v>
      </x:c>
    </x:row>
    <x:row r="59" ht="64" customHeight="1">
      <x:c r="A59" s="28" t="str">
        <x:v>NCT-0084</x:v>
      </x:c>
      <x:c r="B59" s="28" t="str">
        <x:v>грецкий орех</x:v>
      </x:c>
      <x:c r="C59" s="28" t="str">
        <x:v>водяной кресс</x:v>
      </x:c>
      <x:c r="D59" s="28" t="str">
        <x:v>Прочее</x:v>
      </x:c>
      <x:c r="E59" s="28" t="str">
        <x:v>сенсорная комплементарность</x:v>
      </x:c>
      <x:c r="F59" s="28" t="str">
        <x:v>Грецкий орех имеет профиль «ореховый, древесный, землистый, слегка горький и маслянистый». Партнёр «водяной кресс»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59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59" s="28" t="str">
        <x:v>аллерген; быстро окисляется; горькая кожица способна доминировать</x:v>
      </x:c>
      <x:c r="I59" s="28" t="str">
        <x:v>пралине, паста, выпечка, гарнир, соус, молочный или коктейльный компонент с водяной кресс</x:v>
      </x:c>
      <x:c r="J59" s="28" t="str">
        <x:v>Средняя</x:v>
      </x:c>
      <x:c r="K59" s="28" t="str">
        <x:v>Тезариус вкусов (Ники Сегнит)(1).pdf</x:v>
      </x:c>
      <x:c r="L59" s="28" t="str">
        <x:v>Тезариус вкусов (Ники Сегнит)(1).pdf: 259, 625</x:v>
      </x:c>
    </x:row>
    <x:row r="60" ht="64" customHeight="1">
      <x:c r="A60" s="28" t="str">
        <x:v>NCT-0085</x:v>
      </x:c>
      <x:c r="B60" s="28" t="str">
        <x:v>грецкий орех</x:v>
      </x:c>
      <x:c r="C60" s="28" t="str">
        <x:v>гвоздика</x:v>
      </x:c>
      <x:c r="D60" s="28" t="str">
        <x:v>Специи</x:v>
      </x:c>
      <x:c r="E60" s="28" t="str">
        <x:v>пересечение ароматических семейств</x:v>
      </x:c>
      <x:c r="F60" s="28" t="str">
        <x:v>Грецкий орех имеет профиль «ореховый, древесный, землистый, слегка горький и маслянистый». Партнёр «гвоздика» относится к группе «Специи» и даёт древесный, пряный, фенольный. Профили пересекаются в семействах: древесный Ореховый жир служит носителем ароматов и создаёт текстурный контраст, но окисление быстро превращает профиль в прогорклый. Итог: древесный; механизм не следует сводить к одной общей молекуле.</x:v>
      </x:c>
      <x:c r="G60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60" s="28" t="str">
        <x:v>аллерген; быстро окисляется; горькая кожица способна доминировать</x:v>
      </x:c>
      <x:c r="I60" s="28" t="str">
        <x:v>пралине, паста, выпечка, гарнир, соус, молочный или коктейльный компонент с гвоздика</x:v>
      </x:c>
      <x:c r="J60" s="28" t="str">
        <x:v>Гипотеза / практическая</x:v>
      </x:c>
      <x:c r="K60" s="28" t="str">
        <x:v>Таблица сочетания(1).pdf</x:v>
      </x:c>
      <x:c r="L60" s="28" t="str">
        <x:v>Таблица сочетания(1).pdf: 5</x:v>
      </x:c>
    </x:row>
    <x:row r="61" ht="64" customHeight="1">
      <x:c r="A61" s="28" t="str">
        <x:v>NCT-0086</x:v>
      </x:c>
      <x:c r="B61" s="28" t="str">
        <x:v>грецкий орех</x:v>
      </x:c>
      <x:c r="C61" s="28" t="str">
        <x:v>говядина</x:v>
      </x:c>
      <x:c r="D61" s="28" t="str">
        <x:v>Мясо и птица</x:v>
      </x:c>
      <x:c r="E61" s="28" t="str">
        <x:v>общие ароматические соединения, жареная химия и реакции Майяра, солёно-умами контраст</x:v>
      </x:c>
      <x:c r="F61" s="28" t="str">
        <x:v>Грецкий орех имеет профиль «ореховый, древесный, землистый, слегка горький и маслянистый». Партнёр «говядина»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61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61" s="28" t="str">
        <x:v>аллерген; быстро окисляется; горькая кожица способна доминировать</x:v>
      </x:c>
      <x:c r="I61" s="28" t="str">
        <x:v>пралине, паста, выпечка, гарнир, соус, молочный или коктейльный компонент с говядина</x:v>
      </x:c>
      <x:c r="J61" s="28" t="str">
        <x:v>Средняя</x:v>
      </x:c>
      <x:c r="K61" s="28" t="str">
        <x:v>Тезариус вкусов (Ники Сегнит)(1).pdf</x:v>
      </x:c>
      <x:c r="L61" s="28" t="str">
        <x:v>Тезариус вкусов (Ники Сегнит)(1).pdf: 108, 625</x:v>
      </x:c>
    </x:row>
    <x:row r="62" ht="64" customHeight="1">
      <x:c r="A62" s="28" t="str">
        <x:v>NCT-0087</x:v>
      </x:c>
      <x:c r="B62" s="28" t="str">
        <x:v>грецкий орех</x:v>
      </x:c>
      <x:c r="C62" s="28" t="str">
        <x:v>голубой сыр</x:v>
      </x:c>
      <x:c r="D62" s="28" t="str">
        <x:v>Молочные продукты и сыры</x:v>
      </x:c>
      <x:c r="E62" s="28" t="str">
        <x:v>жировая экстракция и связывание полифенолов белком</x:v>
      </x:c>
      <x:c r="F62" s="28" t="str">
        <x:v>Грецкий орех имеет профиль «ореховый, древесный, землистый, слегка горький и маслянистый». Партнёр «голубой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62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62" s="28" t="str">
        <x:v>аллерген; быстро окисляется; горькая кожица способна доминировать; жир способен приглушить тонкую ароматику; белок связывает полифенолы</x:v>
      </x:c>
      <x:c r="I62" s="28" t="str">
        <x:v>пралине, паста, выпечка, гарнир, соус, молочный или коктейльный компонент с голубой сыр</x:v>
      </x:c>
      <x:c r="J62" s="28" t="str">
        <x:v>Средняя</x:v>
      </x:c>
      <x:c r="K62" s="28" t="str">
        <x:v>Тезариус вкусов (Ники Сегнит)(1).pdf</x:v>
      </x:c>
      <x:c r="L62" s="28" t="str">
        <x:v>Тезариус вкусов (Ники Сегнит)(1).pdf: 156, 625</x:v>
      </x:c>
    </x:row>
    <x:row r="63" ht="64" customHeight="1">
      <x:c r="A63" s="28" t="str">
        <x:v>NCT-0088</x:v>
      </x:c>
      <x:c r="B63" s="28" t="str">
        <x:v>грецкий орех</x:v>
      </x:c>
      <x:c r="C63" s="28" t="str">
        <x:v>грибы</x:v>
      </x:c>
      <x:c r="D63" s="28" t="str">
        <x:v>Овощи, бобовые и грибы</x:v>
      </x:c>
      <x:c r="E63" s="28" t="str">
        <x:v>пересечение ароматических семейств</x:v>
      </x:c>
      <x:c r="F63" s="28" t="str">
        <x:v>Грецкий орех имеет профиль «ореховый, древесный, землистый, слегка горький и маслянистый». Партнёр «грибы»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63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63" s="28" t="str">
        <x:v>аллерген; быстро окисляется; горькая кожица способна доминировать</x:v>
      </x:c>
      <x:c r="I63" s="28" t="str">
        <x:v>пралине, паста, выпечка, гарнир, соус, молочный или коктейльный компонент с грибы</x:v>
      </x:c>
      <x:c r="J63" s="28" t="str">
        <x:v>Средняя</x:v>
      </x:c>
      <x:c r="K63" s="28" t="str">
        <x:v>Тезариус вкусов (Ники Сегнит)(1).pdf</x:v>
      </x:c>
      <x:c r="L63" s="28" t="str">
        <x:v>Тезариус вкусов (Ники Сегнит)(1).pdf: 195, 625</x:v>
      </x:c>
    </x:row>
    <x:row r="64" ht="64" customHeight="1">
      <x:c r="A64" s="28" t="str">
        <x:v>NCT-0089</x:v>
      </x:c>
      <x:c r="B64" s="28" t="str">
        <x:v>грецкий орех</x:v>
      </x:c>
      <x:c r="C64" s="28" t="str">
        <x:v>груша</x:v>
      </x:c>
      <x:c r="D64" s="28" t="str">
        <x:v>Фрукты и ягоды</x:v>
      </x:c>
      <x:c r="E64" s="28" t="str">
        <x:v>контраст кислоты и жирной/горькой матрицы</x:v>
      </x:c>
      <x:c r="F64" s="28" t="str">
        <x:v>Грецкий орех имеет профиль «ореховый, древесный, землистый, слегка горький и маслянистый». Партнёр «груша»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6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64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64" s="28" t="str">
        <x:v>пралине, паста, выпечка, гарнир, соус, молочный или коктейльный компонент с груша</x:v>
      </x:c>
      <x:c r="J64" s="28" t="str">
        <x:v>Высокая</x:v>
      </x:c>
      <x:c r="K64" s="28" t="str">
        <x:v>Таблица сочетания(1).pdf | Тезариус вкусов (Ники Сегнит)(1).pdf</x:v>
      </x:c>
      <x:c r="L64" s="28" t="str">
        <x:v>Таблица сочетания(1).pdf: 16; Тезариус вкусов (Ники Сегнит)(1).pdf: 625, 722</x:v>
      </x:c>
    </x:row>
    <x:row r="65" ht="64" customHeight="1">
      <x:c r="A65" s="28" t="str">
        <x:v>NCT-0090</x:v>
      </x:c>
      <x:c r="B65" s="28" t="str">
        <x:v>грецкий орех</x:v>
      </x:c>
      <x:c r="C65" s="28" t="str">
        <x:v>инжир</x:v>
      </x:c>
      <x:c r="D65" s="28" t="str">
        <x:v>Фрукты и ягоды</x:v>
      </x:c>
      <x:c r="E65" s="28" t="str">
        <x:v>контраст кислоты и жирной/горькой матрицы</x:v>
      </x:c>
      <x:c r="F65" s="28" t="str">
        <x:v>Грецкий орех имеет профиль «ореховый, древесный, землистый, слегка горький и маслянистый». Партнёр «инжир»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65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65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65" s="28" t="str">
        <x:v>пралине, паста, выпечка, гарнир, соус, молочный или коктейльный компонент с инжир</x:v>
      </x:c>
      <x:c r="J65" s="28" t="str">
        <x:v>Высокая</x:v>
      </x:c>
      <x:c r="K65" s="28" t="str">
        <x:v>Таблица сочетания(1).pdf | Тезариус вкусов (Ники Сегнит)(1).pdf</x:v>
      </x:c>
      <x:c r="L65" s="28" t="str">
        <x:v>Таблица сочетания(1).pdf: 8; Тезариус вкусов (Ники Сегнит)(1).pdf: 626, 893</x:v>
      </x:c>
    </x:row>
    <x:row r="66" ht="64" customHeight="1">
      <x:c r="A66" s="28" t="str">
        <x:v>NCT-0091</x:v>
      </x:c>
      <x:c r="B66" s="28" t="str">
        <x:v>грецкий орех</x:v>
      </x:c>
      <x:c r="C66" s="28" t="str">
        <x:v>карамель</x:v>
      </x:c>
      <x:c r="D66" s="28" t="str">
        <x:v>Выпечка, сахара и десерты</x:v>
      </x:c>
      <x:c r="E66" s="28" t="str">
        <x:v>жареная химия и реакции Майяра</x:v>
      </x:c>
      <x:c r="F66" s="28" t="str">
        <x:v>Грецкий орех имеет профиль «ореховый, древесный, землистый, слегка горький и маслянистый». Партнёр «карамель» относится к группе «Выпечка, сахара и десерты» и даёт жареный, карамельный.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66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66" s="28" t="str">
        <x:v>аллерген; быстро окисляется; горькая кожица способна доминировать</x:v>
      </x:c>
      <x:c r="I66" s="28" t="str">
        <x:v>пралине, паста, выпечка, гарнир, соус, молочный или коктейльный компонент с карамель</x:v>
      </x:c>
      <x:c r="J66" s="28" t="str">
        <x:v>Гипотеза / практическая</x:v>
      </x:c>
      <x:c r="K66" s="28" t="str">
        <x:v>Таблица сочетания(1).pdf</x:v>
      </x:c>
      <x:c r="L66" s="28" t="str">
        <x:v>Таблица сочетания(1).pdf: 3, 22</x:v>
      </x:c>
    </x:row>
    <x:row r="67" ht="64" customHeight="1">
      <x:c r="A67" s="28" t="str">
        <x:v>NCT-0092</x:v>
      </x:c>
      <x:c r="B67" s="28" t="str">
        <x:v>грецкий орех</x:v>
      </x:c>
      <x:c r="C67" s="28" t="str">
        <x:v>кленовый сироп</x:v>
      </x:c>
      <x:c r="D67" s="28" t="str">
        <x:v>Выпечка, сахара и десерты</x:v>
      </x:c>
      <x:c r="E67" s="28" t="str">
        <x:v>общие ароматические соединения, жареная химия и реакции Майяра</x:v>
      </x:c>
      <x:c r="F67" s="28" t="str">
        <x:v>Грецкий орех имеет профиль «ореховый, древесный, землистый, слегка горький и маслянистый». Партнёр «кленовый сироп» относится к группе «Выпечка, сахара и десерты» и даёт сладкий, карамельный и жареный.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67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67" s="28" t="str">
        <x:v>аллерген; быстро окисляется; горькая кожица способна доминировать</x:v>
      </x:c>
      <x:c r="I67" s="28" t="str">
        <x:v>пралине, паста, выпечка, гарнир, соус, молочный или коктейльный компонент с кленовый сироп</x:v>
      </x:c>
      <x:c r="J67" s="28" t="str">
        <x:v>Гипотеза / практическая</x:v>
      </x:c>
      <x:c r="K67" s="28" t="str">
        <x:v>Таблица сочетания(1).pdf</x:v>
      </x:c>
      <x:c r="L67" s="28" t="str">
        <x:v>Таблица сочетания(1).pdf: 13</x:v>
      </x:c>
    </x:row>
    <x:row r="68" ht="64" customHeight="1">
      <x:c r="A68" s="28" t="str">
        <x:v>NCT-0093</x:v>
      </x:c>
      <x:c r="B68" s="28" t="str">
        <x:v>грецкий орех</x:v>
      </x:c>
      <x:c r="C68" s="28" t="str">
        <x:v>клюква</x:v>
      </x:c>
      <x:c r="D68" s="28" t="str">
        <x:v>Прочее</x:v>
      </x:c>
      <x:c r="E68" s="28" t="str">
        <x:v>сенсорная комплементарность</x:v>
      </x:c>
      <x:c r="F68" s="28" t="str">
        <x:v>Грецкий орех имеет профиль «ореховый, древесный, землистый, слегка горький и маслянистый». Партнёр «клюква»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68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68" s="28" t="str">
        <x:v>аллерген; быстро окисляется; горькая кожица способна доминировать</x:v>
      </x:c>
      <x:c r="I68" s="28" t="str">
        <x:v>пралине, паста, выпечка, гарнир, соус, молочный или коктейльный компонент с клюква</x:v>
      </x:c>
      <x:c r="J68" s="28" t="str">
        <x:v>Гипотеза / практическая</x:v>
      </x:c>
      <x:c r="K68" s="28" t="str">
        <x:v>Таблица сочетания(1).pdf</x:v>
      </x:c>
      <x:c r="L68" s="28" t="str">
        <x:v>Таблица сочетания(1).pdf: 6, 22</x:v>
      </x:c>
    </x:row>
    <x:row r="69" ht="64" customHeight="1">
      <x:c r="A69" s="28" t="str">
        <x:v>NCT-0094</x:v>
      </x:c>
      <x:c r="B69" s="28" t="str">
        <x:v>грецкий орех</x:v>
      </x:c>
      <x:c r="C69" s="28" t="str">
        <x:v>козий сыр</x:v>
      </x:c>
      <x:c r="D69" s="28" t="str">
        <x:v>Молочные продукты и сыры</x:v>
      </x:c>
      <x:c r="E69" s="28" t="str">
        <x:v>жировая экстракция и связывание полифенолов белком</x:v>
      </x:c>
      <x:c r="F69" s="28" t="str">
        <x:v>Грецкий орех имеет профиль «ореховый, древесный, землистый, слегка горький и маслянистый». Партнёр «козий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69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69" s="28" t="str">
        <x:v>аллерген; быстро окисляется; горькая кожица способна доминировать; жир способен приглушить тонкую ароматику; белок связывает полифенолы</x:v>
      </x:c>
      <x:c r="I69" s="28" t="str">
        <x:v>пралине, паста, выпечка, гарнир, соус, молочный или коктейльный компонент с козий сыр</x:v>
      </x:c>
      <x:c r="J69" s="28" t="str">
        <x:v>Средняя</x:v>
      </x:c>
      <x:c r="K69" s="28" t="str">
        <x:v>Тезариус вкусов (Ники Сегнит)(1).pdf</x:v>
      </x:c>
      <x:c r="L69" s="28" t="str">
        <x:v>Тезариус вкусов (Ники Сегнит)(1).pdf: 137, 626</x:v>
      </x:c>
    </x:row>
    <x:row r="70" ht="64" customHeight="1">
      <x:c r="A70" s="28" t="str">
        <x:v>NCT-0095</x:v>
      </x:c>
      <x:c r="B70" s="28" t="str">
        <x:v>грецкий орех</x:v>
      </x:c>
      <x:c r="C70" s="28" t="str">
        <x:v>корица</x:v>
      </x:c>
      <x:c r="D70" s="28" t="str">
        <x:v>Специи</x:v>
      </x:c>
      <x:c r="E70" s="28" t="str">
        <x:v>пересечение ароматических семейств</x:v>
      </x:c>
      <x:c r="F70" s="28" t="str">
        <x:v>Грецкий орех имеет профиль «ореховый, древесный, землистый, слегка горький и маслянистый». Партнёр «корица» относится к группе «Специи» и даёт древесный, пряный. Профили пересекаются в семействах: древесный Ореховый жир служит носителем ароматов и создаёт текстурный контраст, но окисление быстро превращает профиль в прогорклый. Итог: древесный; механизм не следует сводить к одной общей молекуле.</x:v>
      </x:c>
      <x:c r="G70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0" s="28" t="str">
        <x:v>аллерген; быстро окисляется; горькая кожица способна доминировать</x:v>
      </x:c>
      <x:c r="I70" s="28" t="str">
        <x:v>пралине, паста, выпечка, гарнир, соус, молочный или коктейльный компонент с корица</x:v>
      </x:c>
      <x:c r="J70" s="28" t="str">
        <x:v>Средняя</x:v>
      </x:c>
      <x:c r="K70" s="28" t="str">
        <x:v>Тезариус вкусов (Ники Сегнит)(1).pdf</x:v>
      </x:c>
      <x:c r="L70" s="28" t="str">
        <x:v>Тезариус вкусов (Ники Сегнит)(1).pdf: 576, 626</x:v>
      </x:c>
    </x:row>
    <x:row r="71" ht="64" customHeight="1">
      <x:c r="A71" s="28" t="str">
        <x:v>NCT-0096</x:v>
      </x:c>
      <x:c r="B71" s="28" t="str">
        <x:v>грецкий орех</x:v>
      </x:c>
      <x:c r="C71" s="28" t="str">
        <x:v>корица и кассия</x:v>
      </x:c>
      <x:c r="D71" s="28" t="str">
        <x:v>Специи</x:v>
      </x:c>
      <x:c r="E71" s="28" t="str">
        <x:v>пересечение ароматических семейств</x:v>
      </x:c>
      <x:c r="F71" s="28" t="str">
        <x:v>Грецкий орех имеет профиль «ореховый, древесный, землистый, слегка горький и маслянистый». Партнёр «корица и кассия» относится к группе «Специи» и даёт древесный, пряный. Профили пересекаются в семействах: древесный Ореховый жир служит носителем ароматов и создаёт текстурный контраст, но окисление быстро превращает профиль в прогорклый. Итог: древесный; механизм не следует сводить к одной общей молекуле.</x:v>
      </x:c>
      <x:c r="G71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1" s="28" t="str">
        <x:v>аллерген; быстро окисляется; горькая кожица способна доминировать</x:v>
      </x:c>
      <x:c r="I71" s="28" t="str">
        <x:v>пралине, паста, выпечка, гарнир, соус, молочный или коктейльный компонент с корица и кассия</x:v>
      </x:c>
      <x:c r="J71" s="28" t="str">
        <x:v>Средняя</x:v>
      </x:c>
      <x:c r="K71" s="28" t="str">
        <x:v>The Art &amp; Science of Foodpairing.pdf</x:v>
      </x:c>
      <x:c r="L71" s="28" t="str">
        <x:v>The Art &amp; Science of Foodpairing.pdf: 130</x:v>
      </x:c>
    </x:row>
    <x:row r="72" ht="64" customHeight="1">
      <x:c r="A72" s="28" t="str">
        <x:v>NCT-0097</x:v>
      </x:c>
      <x:c r="B72" s="28" t="str">
        <x:v>грецкий орех</x:v>
      </x:c>
      <x:c r="C72" s="28" t="str">
        <x:v>кофе</x:v>
      </x:c>
      <x:c r="D72" s="28" t="str">
        <x:v>Кофе</x:v>
      </x:c>
      <x:c r="E72" s="28" t="str">
        <x:v>общие ароматические соединения, пересечение ароматических семейств, жареная химия и реакции Майяра</x:v>
      </x:c>
      <x:c r="F72" s="28" t="str">
        <x:v>Грецкий орех имеет профиль «ореховый, древесный, землистый, слегка горький и маслянистый».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пиразины.</x:v>
      </x:c>
      <x:c r="G72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2" s="28" t="str">
        <x:v>аллерген; быстро окисляется; горькая кожица способна доминировать</x:v>
      </x:c>
      <x:c r="I72" s="28" t="str">
        <x:v>пралине, паста, выпечка, гарнир, соус, молочный или коктейльный компонент с кофе</x:v>
      </x:c>
      <x:c r="J72" s="28" t="str">
        <x:v>Высокая</x:v>
      </x:c>
      <x:c r="K72" s="28" t="str">
        <x:v>Таблица сочетания(1).pdf | Тезариус вкусов (Ники Сегнит)(1).pdf</x:v>
      </x:c>
      <x:c r="L72" s="28" t="str">
        <x:v>Таблица сочетания(1).pdf: 6, 21; Тезариус вкусов (Ники Сегнит)(1).pdf: 44, 626</x:v>
      </x:c>
    </x:row>
    <x:row r="73" ht="64" customHeight="1">
      <x:c r="A73" s="28" t="str">
        <x:v>NCT-0098</x:v>
      </x:c>
      <x:c r="B73" s="28" t="str">
        <x:v>грецкий орех</x:v>
      </x:c>
      <x:c r="C73" s="28" t="str">
        <x:v>кумкват</x:v>
      </x:c>
      <x:c r="D73" s="28" t="str">
        <x:v>Прочее</x:v>
      </x:c>
      <x:c r="E73" s="28" t="str">
        <x:v>сенсорная комплементарность</x:v>
      </x:c>
      <x:c r="F73" s="28" t="str">
        <x:v>Грецкий орех имеет профиль «ореховый, древесный, землистый, слегка горький и маслянистый». Партнёр «кумкват»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3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3" s="28" t="str">
        <x:v>аллерген; быстро окисляется; горькая кожица способна доминировать</x:v>
      </x:c>
      <x:c r="I73" s="28" t="str">
        <x:v>пралине, паста, выпечка, гарнир, соус, молочный или коктейльный компонент с кумкват</x:v>
      </x:c>
      <x:c r="J73" s="28" t="str">
        <x:v>Гипотеза / практическая</x:v>
      </x:c>
      <x:c r="K73" s="28" t="str">
        <x:v>Таблица сочетания(1).pdf</x:v>
      </x:c>
      <x:c r="L73" s="28" t="str">
        <x:v>Таблица сочетания(1).pdf: 10</x:v>
      </x:c>
    </x:row>
    <x:row r="74" ht="64" customHeight="1">
      <x:c r="A74" s="28" t="str">
        <x:v>NCT-0099</x:v>
      </x:c>
      <x:c r="B74" s="28" t="str">
        <x:v>грецкий орех</x:v>
      </x:c>
      <x:c r="C74" s="28" t="str">
        <x:v>моллюски</x:v>
      </x:c>
      <x:c r="D74" s="28" t="str">
        <x:v>Прочее</x:v>
      </x:c>
      <x:c r="E74" s="28" t="str">
        <x:v>сенсорная комплементарность</x:v>
      </x:c>
      <x:c r="F74" s="28" t="str">
        <x:v>Грецкий орех имеет профиль «ореховый, древесный, землистый, слегка горький и маслянистый». Партнёр «моллюски»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4" s="28" t="str">
        <x:v>аллерген; быстро окисляется; горькая кожица способна доминировать</x:v>
      </x:c>
      <x:c r="I74" s="28" t="str">
        <x:v>пралине, паста, выпечка, гарнир, соус, молочный или коктейльный компонент с моллюски</x:v>
      </x:c>
      <x:c r="J74" s="28" t="str">
        <x:v>Средняя</x:v>
      </x:c>
      <x:c r="K74" s="28" t="str">
        <x:v>Тезариус вкусов (Ники Сегнит)(1).pdf</x:v>
      </x:c>
      <x:c r="L74" s="28" t="str">
        <x:v>Тезариус вкусов (Ники Сегнит)(1).pdf: 369, 626</x:v>
      </x:c>
    </x:row>
    <x:row r="75" ht="64" customHeight="1">
      <x:c r="A75" s="28" t="str">
        <x:v>NCT-0100</x:v>
      </x:c>
      <x:c r="B75" s="28" t="str">
        <x:v>грецкий орех</x:v>
      </x:c>
      <x:c r="C75" s="28" t="str">
        <x:v>морковь</x:v>
      </x:c>
      <x:c r="D75" s="28" t="str">
        <x:v>Овощи, бобовые и грибы</x:v>
      </x:c>
      <x:c r="E75" s="28" t="str">
        <x:v>пересечение ароматических семейств</x:v>
      </x:c>
      <x:c r="F75" s="28" t="str">
        <x:v>Грецкий орех имеет профиль «ореховый, древесный, землистый, слегка горький и маслянистый». Партнёр «морковь»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75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5" s="28" t="str">
        <x:v>аллерген; быстро окисляется; горькая кожица способна доминировать</x:v>
      </x:c>
      <x:c r="I75" s="28" t="str">
        <x:v>пралине, паста, выпечка, гарнир, соус, молочный или коктейльный компонент с морковь</x:v>
      </x:c>
      <x:c r="J75" s="28" t="str">
        <x:v>Средняя</x:v>
      </x:c>
      <x:c r="K75" s="28" t="str">
        <x:v>Тезариус вкусов (Ники Сегнит)(1).pdf</x:v>
      </x:c>
      <x:c r="L75" s="28" t="str">
        <x:v>Тезариус вкусов (Ники Сегнит)(1).pdf: 602, 627</x:v>
      </x:c>
    </x:row>
    <x:row r="76" ht="64" customHeight="1">
      <x:c r="A76" s="28" t="str">
        <x:v>NCT-0101</x:v>
      </x:c>
      <x:c r="B76" s="28" t="str">
        <x:v>грецкий орех</x:v>
      </x:c>
      <x:c r="C76" s="28" t="str">
        <x:v>мускатный орех</x:v>
      </x:c>
      <x:c r="D76" s="28" t="str">
        <x:v>Орехи и семена</x:v>
      </x:c>
      <x:c r="E76" s="28" t="str">
        <x:v>пересечение ароматических семейств, жареная химия и реакции Майяра</x:v>
      </x:c>
      <x:c r="F76" s="28" t="str">
        <x:v>Грецкий орех имеет профиль «ореховый, древесный, землистый, слегка горький и маслянистый».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механизм не следует сводить к одной общей молекуле.</x:v>
      </x:c>
      <x:c r="G76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6" s="28" t="str">
        <x:v>аллерген; быстро окисляется; горькая кожица способна доминировать</x:v>
      </x:c>
      <x:c r="I76" s="28" t="str">
        <x:v>пралине, паста, выпечка, гарнир, соус, молочный или коктейльный компонент с мускатный орех</x:v>
      </x:c>
      <x:c r="J76" s="28" t="str">
        <x:v>Высокая</x:v>
      </x:c>
      <x:c r="K76" s="28" t="str">
        <x:v>Таблица сочетания(1).pdf | Тезариус вкусов (Ники Сегнит)(1).pdf</x:v>
      </x:c>
      <x:c r="L76" s="28" t="str">
        <x:v>Таблица сочетания(1).pdf: 21; Тезариус вкусов (Ники Сегнит)(1).pdf: 588, 627</x:v>
      </x:c>
    </x:row>
    <x:row r="77" ht="64" customHeight="1">
      <x:c r="A77" s="28" t="str">
        <x:v>NCT-0102</x:v>
      </x:c>
      <x:c r="B77" s="28" t="str">
        <x:v>грецкий орех</x:v>
      </x:c>
      <x:c r="C77" s="28" t="str">
        <x:v>мягкий сыр</x:v>
      </x:c>
      <x:c r="D77" s="28" t="str">
        <x:v>Молочные продукты и сыры</x:v>
      </x:c>
      <x:c r="E77" s="28" t="str">
        <x:v>жировая экстракция и связывание полифенолов белком</x:v>
      </x:c>
      <x:c r="F77" s="28" t="str">
        <x:v>Грецкий орех имеет профиль «ореховый, древесный, землистый, слегка горький и маслянистый». Партнёр «мягкий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7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7" s="28" t="str">
        <x:v>аллерген; быстро окисляется; горькая кожица способна доминировать; жир способен приглушить тонкую ароматику; белок связывает полифенолы</x:v>
      </x:c>
      <x:c r="I77" s="28" t="str">
        <x:v>пралине, паста, выпечка, гарнир, соус, молочный или коктейльный компонент с мягкий сыр</x:v>
      </x:c>
      <x:c r="J77" s="28" t="str">
        <x:v>Средняя</x:v>
      </x:c>
      <x:c r="K77" s="28" t="str">
        <x:v>Тезариус вкусов (Ники Сегнит)(1).pdf</x:v>
      </x:c>
      <x:c r="L77" s="28" t="str">
        <x:v>Тезариус вкусов (Ники Сегнит)(1).pdf: 183, 627</x:v>
      </x:c>
    </x:row>
    <x:row r="78" ht="64" customHeight="1">
      <x:c r="A78" s="28" t="str">
        <x:v>NCT-0103</x:v>
      </x:c>
      <x:c r="B78" s="28" t="str">
        <x:v>грецкий орех</x:v>
      </x:c>
      <x:c r="C78" s="28" t="str">
        <x:v>мёд</x:v>
      </x:c>
      <x:c r="D78" s="28" t="str">
        <x:v>Выпечка, сахара и десерты</x:v>
      </x:c>
      <x:c r="E78" s="28" t="str">
        <x:v>жареная химия и реакции Майяра</x:v>
      </x:c>
      <x:c r="F78" s="28" t="str">
        <x:v>Грецкий орех имеет профиль «ореховый, древесный, землистый, слегка горький и маслянистый». Партнёр «мёд» относится к группе «Выпечка, сахара и десерты» и даёт медовый, цветочный.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8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8" s="28" t="str">
        <x:v>аллерген; быстро окисляется; горькая кожица способна доминировать</x:v>
      </x:c>
      <x:c r="I78" s="28" t="str">
        <x:v>пралине, паста, выпечка, гарнир, соус, молочный или коктейльный компонент с мёд</x:v>
      </x:c>
      <x:c r="J78" s="28" t="str">
        <x:v>Гипотеза / практическая</x:v>
      </x:c>
      <x:c r="K78" s="28" t="str">
        <x:v>Таблица сочетания(1).pdf</x:v>
      </x:c>
      <x:c r="L78" s="28" t="str">
        <x:v>Таблица сочетания(1).pdf: 22</x:v>
      </x:c>
    </x:row>
    <x:row r="79" ht="64" customHeight="1">
      <x:c r="A79" s="28" t="str">
        <x:v>NCT-0104</x:v>
      </x:c>
      <x:c r="B79" s="28" t="str">
        <x:v>грецкий орех</x:v>
      </x:c>
      <x:c r="C79" s="28" t="str">
        <x:v>пармезан</x:v>
      </x:c>
      <x:c r="D79" s="28" t="str">
        <x:v>Прочее</x:v>
      </x:c>
      <x:c r="E79" s="28" t="str">
        <x:v>сенсорная комплементарность</x:v>
      </x:c>
      <x:c r="F79" s="28" t="str">
        <x:v>Грецкий орех имеет профиль «ореховый, древесный, землистый, слегка горький и маслянистый». Партнёр «пармезан»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9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9" s="28" t="str">
        <x:v>аллерген; быстро окисляется; горькая кожица способна доминировать</x:v>
      </x:c>
      <x:c r="I79" s="28" t="str">
        <x:v>пралине, паста, выпечка, гарнир, соус, молочный или коктейльный компонент с пармезан</x:v>
      </x:c>
      <x:c r="J79" s="28" t="str">
        <x:v>Средняя</x:v>
      </x:c>
      <x:c r="K79" s="28" t="str">
        <x:v>The Art &amp; Science of Foodpairing.pdf</x:v>
      </x:c>
      <x:c r="L79" s="28" t="str">
        <x:v>The Art &amp; Science of Foodpairing.pdf: 282</x:v>
      </x:c>
    </x:row>
    <x:row r="80" ht="64" customHeight="1">
      <x:c r="A80" s="28" t="str">
        <x:v>NCT-0105</x:v>
      </x:c>
      <x:c r="B80" s="28" t="str">
        <x:v>грецкий орех</x:v>
      </x:c>
      <x:c r="C80" s="28" t="str">
        <x:v>пастернак</x:v>
      </x:c>
      <x:c r="D80" s="28" t="str">
        <x:v>Прочее</x:v>
      </x:c>
      <x:c r="E80" s="28" t="str">
        <x:v>сенсорная комплементарность</x:v>
      </x:c>
      <x:c r="F80" s="28" t="str">
        <x:v>Грецкий орех имеет профиль «ореховый, древесный, землистый, слегка горький и маслянистый». Партнёр «пастернак»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0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0" s="28" t="str">
        <x:v>аллерген; быстро окисляется; горькая кожица способна доминировать</x:v>
      </x:c>
      <x:c r="I80" s="28" t="str">
        <x:v>пралине, паста, выпечка, гарнир, соус, молочный или коктейльный компонент с пастернак</x:v>
      </x:c>
      <x:c r="J80" s="28" t="str">
        <x:v>Средняя</x:v>
      </x:c>
      <x:c r="K80" s="28" t="str">
        <x:v>Тезариус вкусов (Ники Сегнит)(1).pdf</x:v>
      </x:c>
      <x:c r="L80" s="28" t="str">
        <x:v>Тезариус вкусов (Ники Сегнит)(1).pdf: 597, 627</x:v>
      </x:c>
    </x:row>
    <x:row r="81" ht="64" customHeight="1">
      <x:c r="A81" s="28" t="str">
        <x:v>NCT-0106</x:v>
      </x:c>
      <x:c r="B81" s="28" t="str">
        <x:v>грецкий орех</x:v>
      </x:c>
      <x:c r="C81" s="28" t="str">
        <x:v>персик</x:v>
      </x:c>
      <x:c r="D81" s="28" t="str">
        <x:v>Фрукты и ягоды</x:v>
      </x:c>
      <x:c r="E81" s="28" t="str">
        <x:v>общие ароматические соединения, контраст кислоты и жирной/горькой матрицы</x:v>
      </x:c>
      <x:c r="F81" s="28" t="str">
        <x:v>Грецкий орех имеет профиль «ореховый, древесный, землистый, слегка горький и маслянистый». Партнёр «персик» относится к группе «Фрукты и ягоды» и даёт лактонный, фруктовый, цветочный. Молекулярный мост создают лактоны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лактоны.</x:v>
      </x:c>
      <x:c r="G81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1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81" s="28" t="str">
        <x:v>пралине, паста, выпечка, гарнир, соус, молочный или коктейльный компонент с персик</x:v>
      </x:c>
      <x:c r="J81" s="28" t="str">
        <x:v>Гипотеза / практическая</x:v>
      </x:c>
      <x:c r="K81" s="28" t="str">
        <x:v>Таблица сочетания(1).pdf</x:v>
      </x:c>
      <x:c r="L81" s="28" t="str">
        <x:v>Таблица сочетания(1).pdf: 15</x:v>
      </x:c>
    </x:row>
    <x:row r="82" ht="64" customHeight="1">
      <x:c r="A82" s="28" t="str">
        <x:v>NCT-0107</x:v>
      </x:c>
      <x:c r="B82" s="28" t="str">
        <x:v>грецкий орех</x:v>
      </x:c>
      <x:c r="C82" s="28" t="str">
        <x:v>петрушка</x:v>
      </x:c>
      <x:c r="D82" s="28" t="str">
        <x:v>Травы, цветы и листья</x:v>
      </x:c>
      <x:c r="E82" s="28" t="str">
        <x:v>сенсорная комплементарность</x:v>
      </x:c>
      <x:c r="F82" s="28" t="str">
        <x:v>Грецкий орех имеет профиль «ореховый, древесный, землистый, слегка горький и маслянистый». Партнёр «петрушка»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2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2" s="28" t="str">
        <x:v>аллерген; быстро окисляется; горькая кожица способна доминировать</x:v>
      </x:c>
      <x:c r="I82" s="28" t="str">
        <x:v>пралине, паста, выпечка, гарнир, соус, молочный или коктейльный компонент с петрушка</x:v>
      </x:c>
      <x:c r="J82" s="28" t="str">
        <x:v>Средняя</x:v>
      </x:c>
      <x:c r="K82" s="28" t="str">
        <x:v>Тезариус вкусов (Ники Сегнит)(1).pdf</x:v>
      </x:c>
      <x:c r="L82" s="28" t="str">
        <x:v>Тезариус вкусов (Ники Сегнит)(1).pdf: 508, 627</x:v>
      </x:c>
    </x:row>
    <x:row r="83" ht="64" customHeight="1">
      <x:c r="A83" s="28" t="str">
        <x:v>NCT-0108</x:v>
      </x:c>
      <x:c r="B83" s="28" t="str">
        <x:v>грецкий орех</x:v>
      </x:c>
      <x:c r="C83" s="28" t="str">
        <x:v>рассольный сыр</x:v>
      </x:c>
      <x:c r="D83" s="28" t="str">
        <x:v>Молочные продукты и сыры</x:v>
      </x:c>
      <x:c r="E83" s="28" t="str">
        <x:v>жировая экстракция и связывание полифенолов белком</x:v>
      </x:c>
      <x:c r="F83" s="28" t="str">
        <x:v>Грецкий орех имеет профиль «ореховый, древесный, землистый, слегка горький и маслянистый». Партнёр «рассольный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3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3" s="28" t="str">
        <x:v>аллерген; быстро окисляется; горькая кожица способна доминировать; жир способен приглушить тонкую ароматику; белок связывает полифенолы</x:v>
      </x:c>
      <x:c r="I83" s="28" t="str">
        <x:v>пралине, паста, выпечка, гарнир, соус, молочный или коктейльный компонент с рассольный сыр</x:v>
      </x:c>
      <x:c r="J83" s="28" t="str">
        <x:v>Средняя</x:v>
      </x:c>
      <x:c r="K83" s="28" t="str">
        <x:v>Тезариус вкусов (Ники Сегнит)(1).pdf</x:v>
      </x:c>
      <x:c r="L83" s="28" t="str">
        <x:v>Тезариус вкусов (Ники Сегнит)(1).pdf: 149, 628</x:v>
      </x:c>
    </x:row>
    <x:row r="84" ht="64" customHeight="1">
      <x:c r="A84" s="28" t="str">
        <x:v>NCT-0109</x:v>
      </x:c>
      <x:c r="B84" s="28" t="str">
        <x:v>грецкий орех</x:v>
      </x:c>
      <x:c r="C84" s="28" t="str">
        <x:v>розмарин</x:v>
      </x:c>
      <x:c r="D84" s="28" t="str">
        <x:v>Травы, цветы и листья</x:v>
      </x:c>
      <x:c r="E84" s="28" t="str">
        <x:v>сенсорная комплементарность</x:v>
      </x:c>
      <x:c r="F84" s="28" t="str">
        <x:v>Грецкий орех имеет профиль «ореховый, древесный, землистый, слегка горький и маслянистый». Партнёр «розмарин»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4" s="28" t="str">
        <x:v>аллерген; быстро окисляется; горькая кожица способна доминировать</x:v>
      </x:c>
      <x:c r="I84" s="28" t="str">
        <x:v>пралине, паста, выпечка, гарнир, соус, молочный или коктейльный компонент с розмарин</x:v>
      </x:c>
      <x:c r="J84" s="28" t="str">
        <x:v>Гипотеза / практическая</x:v>
      </x:c>
      <x:c r="K84" s="28" t="str">
        <x:v>Таблица сочетания(1).pdf</x:v>
      </x:c>
      <x:c r="L84" s="28" t="str">
        <x:v>Таблица сочетания(1).pdf: 21</x:v>
      </x:c>
    </x:row>
    <x:row r="85" ht="64" customHeight="1">
      <x:c r="A85" s="28" t="str">
        <x:v>NCT-0110</x:v>
      </x:c>
      <x:c r="B85" s="28" t="str">
        <x:v>грецкий орех</x:v>
      </x:c>
      <x:c r="C85" s="28" t="str">
        <x:v>свекла</x:v>
      </x:c>
      <x:c r="D85" s="28" t="str">
        <x:v>Овощи, бобовые и грибы</x:v>
      </x:c>
      <x:c r="E85" s="28" t="str">
        <x:v>пересечение ароматических семейств</x:v>
      </x:c>
      <x:c r="F85" s="28" t="str">
        <x:v>Грецкий орех имеет профиль «ореховый, древесный, землистый, слегка горький и маслянистый». Партнёр «свекла» относится к группе «Овощи, бобовые и грибы» и даёт землистый, сладкий.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85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5" s="28" t="str">
        <x:v>аллерген; быстро окисляется; горькая кожица способна доминировать</x:v>
      </x:c>
      <x:c r="I85" s="28" t="str">
        <x:v>пралине, паста, выпечка, гарнир, соус, молочный или коктейльный компонент с свекла</x:v>
      </x:c>
      <x:c r="J85" s="28" t="str">
        <x:v>Средняя</x:v>
      </x:c>
      <x:c r="K85" s="28" t="str">
        <x:v>Тезариус вкусов (Ники Сегнит)(1).pdf</x:v>
      </x:c>
      <x:c r="L85" s="28" t="str">
        <x:v>Тезариус вкусов (Ники Сегнит)(1).pdf: 223, 225, 628</x:v>
      </x:c>
    </x:row>
    <x:row r="86" ht="64" customHeight="1">
      <x:c r="A86" s="28" t="str">
        <x:v>NCT-0111</x:v>
      </x:c>
      <x:c r="B86" s="28" t="str">
        <x:v>грецкий орех</x:v>
      </x:c>
      <x:c r="C86" s="28" t="str">
        <x:v>сельдерей</x:v>
      </x:c>
      <x:c r="D86" s="28" t="str">
        <x:v>Прочее</x:v>
      </x:c>
      <x:c r="E86" s="28" t="str">
        <x:v>сенсорная комплементарность</x:v>
      </x:c>
      <x:c r="F86" s="28" t="str">
        <x:v>Грецкий орех имеет профиль «ореховый, древесный, землистый, слегка горький и маслянистый». Партнёр «сельдерей»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6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6" s="28" t="str">
        <x:v>аллерген; быстро окисляется; горькая кожица способна доминировать</x:v>
      </x:c>
      <x:c r="I86" s="28" t="str">
        <x:v>пралине, паста, выпечка, гарнир, соус, молочный или коктейльный компонент с сельдерей</x:v>
      </x:c>
      <x:c r="J86" s="28" t="str">
        <x:v>Средняя</x:v>
      </x:c>
      <x:c r="K86" s="28" t="str">
        <x:v>Тезариус вкусов (Ники Сегнит)(1).pdf</x:v>
      </x:c>
      <x:c r="L86" s="28" t="str">
        <x:v>Тезариус вкусов (Ники Сегнит)(1).pdf: 251, 628</x:v>
      </x:c>
    </x:row>
    <x:row r="87" ht="64" customHeight="1">
      <x:c r="A87" s="28" t="str">
        <x:v>NCT-0112</x:v>
      </x:c>
      <x:c r="B87" s="28" t="str">
        <x:v>грецкий орех</x:v>
      </x:c>
      <x:c r="C87" s="28" t="str">
        <x:v>слива</x:v>
      </x:c>
      <x:c r="D87" s="28" t="str">
        <x:v>Фрукты и ягоды</x:v>
      </x:c>
      <x:c r="E87" s="28" t="str">
        <x:v>контраст кислоты и жирной/горькой матрицы</x:v>
      </x:c>
      <x:c r="F87" s="28" t="str">
        <x:v>Грецкий орех имеет профиль «ореховый, древесный, землистый, слегка горький и маслянистый». Партнёр «слива»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7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7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87" s="28" t="str">
        <x:v>пралине, паста, выпечка, гарнир, соус, молочный или коктейльный компонент с слива</x:v>
      </x:c>
      <x:c r="J87" s="28" t="str">
        <x:v>Гипотеза / практическая</x:v>
      </x:c>
      <x:c r="K87" s="28" t="str">
        <x:v>Таблица сочетания(1).pdf</x:v>
      </x:c>
      <x:c r="L87" s="28" t="str">
        <x:v>Таблица сочетания(1).pdf: 17</x:v>
      </x:c>
    </x:row>
    <x:row r="88" ht="64" customHeight="1">
      <x:c r="A88" s="28" t="str">
        <x:v>NCT-0113</x:v>
      </x:c>
      <x:c r="B88" s="28" t="str">
        <x:v>грецкий орех</x:v>
      </x:c>
      <x:c r="C88" s="28" t="str">
        <x:v>твердый сыр</x:v>
      </x:c>
      <x:c r="D88" s="28" t="str">
        <x:v>Молочные продукты и сыры</x:v>
      </x:c>
      <x:c r="E88" s="28" t="str">
        <x:v>жировая экстракция и связывание полифенолов белком</x:v>
      </x:c>
      <x:c r="F88" s="28" t="str">
        <x:v>Грецкий орех имеет профиль «ореховый, древесный, землистый, слегка горький и маслянистый». Партнёр «твердый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8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8" s="28" t="str">
        <x:v>аллерген; быстро окисляется; горькая кожица способна доминировать; жир способен приглушить тонкую ароматику; белок связывает полифенолы</x:v>
      </x:c>
      <x:c r="I88" s="28" t="str">
        <x:v>пралине, паста, выпечка, гарнир, соус, молочный или коктейльный компонент с твердый сыр</x:v>
      </x:c>
      <x:c r="J88" s="28" t="str">
        <x:v>Средняя</x:v>
      </x:c>
      <x:c r="K88" s="28" t="str">
        <x:v>Тезариус вкусов (Ники Сегнит)(1).pdf</x:v>
      </x:c>
      <x:c r="L88" s="28" t="str">
        <x:v>Тезариус вкусов (Ники Сегнит)(1).pdf: 170, 629</x:v>
      </x:c>
    </x:row>
    <x:row r="89" ht="64" customHeight="1">
      <x:c r="A89" s="28" t="str">
        <x:v>NCT-0114</x:v>
      </x:c>
      <x:c r="B89" s="28" t="str">
        <x:v>грецкий орех</x:v>
      </x:c>
      <x:c r="C89" s="28" t="str">
        <x:v>финик</x:v>
      </x:c>
      <x:c r="D89" s="28" t="str">
        <x:v>Прочее</x:v>
      </x:c>
      <x:c r="E89" s="28" t="str">
        <x:v>сенсорная комплементарность</x:v>
      </x:c>
      <x:c r="F89" s="28" t="str">
        <x:v>Грецкий орех имеет профиль «ореховый, древесный, землистый, слегка горький и маслянистый». Партнёр «финик»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9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9" s="28" t="str">
        <x:v>аллерген; быстро окисляется; горькая кожица способна доминировать</x:v>
      </x:c>
      <x:c r="I89" s="28" t="str">
        <x:v>пралине, паста, выпечка, гарнир, соус, молочный или коктейльный компонент с финик</x:v>
      </x:c>
      <x:c r="J89" s="28" t="str">
        <x:v>Гипотеза / практическая</x:v>
      </x:c>
      <x:c r="K89" s="28" t="str">
        <x:v>Таблица сочетания(1).pdf</x:v>
      </x:c>
      <x:c r="L89" s="28" t="str">
        <x:v>Таблица сочетания(1).pdf: 7</x:v>
      </x:c>
    </x:row>
    <x:row r="90" ht="64" customHeight="1">
      <x:c r="A90" s="28" t="str">
        <x:v>NCT-0115</x:v>
      </x:c>
      <x:c r="B90" s="28" t="str">
        <x:v>грецкий орех</x:v>
      </x:c>
      <x:c r="C90" s="28" t="str">
        <x:v>цветная капуста</x:v>
      </x:c>
      <x:c r="D90" s="28" t="str">
        <x:v>Овощи, бобовые и грибы</x:v>
      </x:c>
      <x:c r="E90" s="28" t="str">
        <x:v>пересечение ароматических семейств</x:v>
      </x:c>
      <x:c r="F90" s="28" t="str">
        <x:v>Грецкий орех имеет профиль «ореховый, древесный, землистый, слегка горький и маслянистый». Партнёр «цветная капуста»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90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90" s="28" t="str">
        <x:v>аллерген; быстро окисляется; горькая кожица способна доминировать</x:v>
      </x:c>
      <x:c r="I90" s="28" t="str">
        <x:v>пралине, паста, выпечка, гарнир, соус, молочный или коктейльный компонент с цветная капуста</x:v>
      </x:c>
      <x:c r="J90" s="28" t="str">
        <x:v>Средняя</x:v>
      </x:c>
      <x:c r="K90" s="28" t="str">
        <x:v>Тезариус вкусов (Ники Сегнит)(1).pdf</x:v>
      </x:c>
      <x:c r="L90" s="28" t="str">
        <x:v>Тезариус вкусов (Ники Сегнит)(1).pdf: 321, 629</x:v>
      </x:c>
    </x:row>
    <x:row r="91" ht="64" customHeight="1">
      <x:c r="A91" s="28" t="str">
        <x:v>NCT-0116</x:v>
      </x:c>
      <x:c r="B91" s="28" t="str">
        <x:v>грецкий орех</x:v>
      </x:c>
      <x:c r="C91" s="28" t="str">
        <x:v>цыпленок</x:v>
      </x:c>
      <x:c r="D91" s="28" t="str">
        <x:v>Прочее</x:v>
      </x:c>
      <x:c r="E91" s="28" t="str">
        <x:v>сенсорная комплементарность</x:v>
      </x:c>
      <x:c r="F91" s="28" t="str">
        <x:v>Грецкий орех имеет профиль «ореховый, древесный, землистый, слегка горький и маслянистый». Партнёр «цыпленок»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91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91" s="28" t="str">
        <x:v>аллерген; быстро окисляется; горькая кожица способна доминировать</x:v>
      </x:c>
      <x:c r="I91" s="28" t="str">
        <x:v>пралине, паста, выпечка, гарнир, соус, молочный или коктейльный компонент с цыпленок</x:v>
      </x:c>
      <x:c r="J91" s="28" t="str">
        <x:v>Средняя</x:v>
      </x:c>
      <x:c r="K91" s="28" t="str">
        <x:v>Тезариус вкусов (Ники Сегнит)(1).pdf</x:v>
      </x:c>
      <x:c r="L91" s="28" t="str">
        <x:v>Тезариус вкусов (Ники Сегнит)(1).pdf: 64, 630</x:v>
      </x:c>
    </x:row>
    <x:row r="92" ht="64" customHeight="1">
      <x:c r="A92" s="28" t="str">
        <x:v>NCT-0117</x:v>
      </x:c>
      <x:c r="B92" s="28" t="str">
        <x:v>грецкий орех</x:v>
      </x:c>
      <x:c r="C92" s="28" t="str">
        <x:v>чернослив</x:v>
      </x:c>
      <x:c r="D92" s="28" t="str">
        <x:v>Фрукты и ягоды</x:v>
      </x:c>
      <x:c r="E92" s="28" t="str">
        <x:v>контраст кислоты и жирной/горькой матрицы</x:v>
      </x:c>
      <x:c r="F92" s="28" t="str">
        <x:v>Грецкий орех имеет профиль «ореховый, древесный, землистый, слегка горький и маслянистый». Партнёр «чернослив»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92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92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92" s="28" t="str">
        <x:v>пралине, паста, выпечка, гарнир, соус, молочный или коктейльный компонент с чернослив</x:v>
      </x:c>
      <x:c r="J92" s="28" t="str">
        <x:v>Гипотеза / практическая</x:v>
      </x:c>
      <x:c r="K92" s="28" t="str">
        <x:v>Таблица сочетания(1).pdf</x:v>
      </x:c>
      <x:c r="L92" s="28" t="str">
        <x:v>Таблица сочетания(1).pdf: 18</x:v>
      </x:c>
    </x:row>
    <x:row r="93" ht="64" customHeight="1">
      <x:c r="A93" s="28" t="str">
        <x:v>NCT-0118</x:v>
      </x:c>
      <x:c r="B93" s="28" t="str">
        <x:v>грецкий орех</x:v>
      </x:c>
      <x:c r="C93" s="28" t="str">
        <x:v>чеснок</x:v>
      </x:c>
      <x:c r="D93" s="28" t="str">
        <x:v>Овощи, бобовые и грибы</x:v>
      </x:c>
      <x:c r="E93" s="28" t="str">
        <x:v>пересечение ароматических семейств</x:v>
      </x:c>
      <x:c r="F93" s="28" t="str">
        <x:v>Грецкий орех имеет профиль «ореховый, древесный, землистый, слегка горький и маслянистый». Партнёр «чеснок»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93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93" s="28" t="str">
        <x:v>аллерген; быстро окисляется; горькая кожица способна доминировать</x:v>
      </x:c>
      <x:c r="I93" s="28" t="str">
        <x:v>пралине, паста, выпечка, гарнир, соус, молочный или коктейльный компонент с чеснок</x:v>
      </x:c>
      <x:c r="J93" s="28" t="str">
        <x:v>Средняя</x:v>
      </x:c>
      <x:c r="K93" s="28" t="str">
        <x:v>Тезариус вкусов (Ники Сегнит)(1).pdf</x:v>
      </x:c>
      <x:c r="L93" s="28" t="str">
        <x:v>Тезариус вкусов (Ники Сегнит)(1).pdf: 293, 630</x:v>
      </x:c>
    </x:row>
    <x:row r="94" ht="64" customHeight="1">
      <x:c r="A94" s="28" t="str">
        <x:v>NCT-0119</x:v>
      </x:c>
      <x:c r="B94" s="28" t="str">
        <x:v>грецкий орех</x:v>
      </x:c>
      <x:c r="C94" s="28" t="str">
        <x:v>чили</x:v>
      </x:c>
      <x:c r="D94" s="28" t="str">
        <x:v>Специи</x:v>
      </x:c>
      <x:c r="E94" s="28" t="str">
        <x:v>пересечение ароматических семейств</x:v>
      </x:c>
      <x:c r="F94" s="28" t="str">
        <x:v>Грецкий орех имеет профиль «ореховый, древесный, землистый, слегка горький и маслянистый». Партнёр «чили» относится к группе «Специи» и даёт пряный и древесный. Профили пересекаются в семействах: древесный Ореховый жир служит носителем ароматов и создаёт текстурный контраст, но окисление быстро превращает профиль в прогорклый. Итог: древесный; механизм не следует сводить к одной общей молекуле.</x:v>
      </x:c>
      <x:c r="G9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94" s="28" t="str">
        <x:v>аллерген; быстро окисляется; горькая кожица способна доминировать</x:v>
      </x:c>
      <x:c r="I94" s="28" t="str">
        <x:v>пралине, паста, выпечка, гарнир, соус, молочный или коктейльный компонент с чили</x:v>
      </x:c>
      <x:c r="J94" s="28" t="str">
        <x:v>Средняя</x:v>
      </x:c>
      <x:c r="K94" s="28" t="str">
        <x:v>Тезариус вкусов (Ники Сегнит)(1).pdf</x:v>
      </x:c>
      <x:c r="L94" s="28" t="str">
        <x:v>Тезариус вкусов (Ники Сегнит)(1).pdf: 554, 631</x:v>
      </x:c>
    </x:row>
    <x:row r="95" ht="64" customHeight="1">
      <x:c r="A95" s="28" t="str">
        <x:v>NCT-0120</x:v>
      </x:c>
      <x:c r="B95" s="28" t="str">
        <x:v>грецкий орех</x:v>
      </x:c>
      <x:c r="C95" s="28" t="str">
        <x:v>чоризо</x:v>
      </x:c>
      <x:c r="D95" s="28" t="str">
        <x:v>Прочее</x:v>
      </x:c>
      <x:c r="E95" s="28" t="str">
        <x:v>сенсорная комплементарность</x:v>
      </x:c>
      <x:c r="F95" s="28" t="str">
        <x:v>Грецкий орех имеет профиль «ореховый, древесный, землистый, слегка горький и маслянистый». Партнёр «чоризо»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95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95" s="28" t="str">
        <x:v>аллерген; быстро окисляется; горькая кожица способна доминировать</x:v>
      </x:c>
      <x:c r="I95" s="28" t="str">
        <x:v>пралине, паста, выпечка, гарнир, соус, молочный или коктейльный компонент с чоризо</x:v>
      </x:c>
      <x:c r="J95" s="28" t="str">
        <x:v>Средняя</x:v>
      </x:c>
      <x:c r="K95" s="28" t="str">
        <x:v>The Art &amp; Science of Foodpairing.pdf</x:v>
      </x:c>
      <x:c r="L95" s="28" t="str">
        <x:v>The Art &amp; Science of Foodpairing.pdf: 288</x:v>
      </x:c>
    </x:row>
    <x:row r="96" ht="64" customHeight="1">
      <x:c r="A96" s="28" t="str">
        <x:v>NCT-0121</x:v>
      </x:c>
      <x:c r="B96" s="28" t="str">
        <x:v>грецкий орех</x:v>
      </x:c>
      <x:c r="C96" s="28" t="str">
        <x:v>шоколад</x:v>
      </x:c>
      <x:c r="D96" s="28" t="str">
        <x:v>Какао и шоколад</x:v>
      </x:c>
      <x:c r="E96" s="28" t="str">
        <x:v>общие ароматические соединения, пересечение ароматических семейств, жареная химия и реакции Майяра</x:v>
      </x:c>
      <x:c r="F96" s="28" t="str">
        <x:v>Грецкий орех имеет профиль «ореховый, древесный, землистый, слегка горький и маслянистый».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древесный; пиразины.</x:v>
      </x:c>
      <x:c r="G96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96" s="28" t="str">
        <x:v>аллерген; быстро окисляется; горькая кожица способна доминировать</x:v>
      </x:c>
      <x:c r="I96" s="28" t="str">
        <x:v>пралине, паста, выпечка, гарнир, соус, молочный или коктейльный компонент с шоколад</x:v>
      </x:c>
      <x:c r="J96" s="28" t="str">
        <x:v>Высокая</x:v>
      </x:c>
      <x:c r="K96" s="28" t="str">
        <x:v>Таблица сочетания(1).pdf | Тезариус вкусов (Ники Сегнит)(1).pdf</x:v>
      </x:c>
      <x:c r="L96" s="28" t="str">
        <x:v>Таблица сочетания(1).pdf: 21; Тезариус вкусов (Ники Сегнит)(1).pdf: 28, 631</x:v>
      </x:c>
    </x:row>
    <x:row r="97" ht="64" customHeight="1">
      <x:c r="A97" s="28" t="str">
        <x:v>NCT-0122</x:v>
      </x:c>
      <x:c r="B97" s="28" t="str">
        <x:v>грецкий орех</x:v>
      </x:c>
      <x:c r="C97" s="28" t="str">
        <x:v>яблоко</x:v>
      </x:c>
      <x:c r="D97" s="28" t="str">
        <x:v>Фрукты и ягоды</x:v>
      </x:c>
      <x:c r="E97" s="28" t="str">
        <x:v>контраст кислоты и жирной/горькой матрицы</x:v>
      </x:c>
      <x:c r="F97" s="28" t="str">
        <x:v>Грецкий орех имеет профиль «ореховый, древесный, землистый, слегка горький и маслянистый». Партнёр «яблоко»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97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97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97" s="28" t="str">
        <x:v>пралине, паста, выпечка, гарнир, соус, молочный или коктейльный компонент с яблоко</x:v>
      </x:c>
      <x:c r="J97" s="28" t="str">
        <x:v>Высокая</x:v>
      </x:c>
      <x:c r="K97" s="28" t="str">
        <x:v>Таблица сочетания(1).pdf | Тезариус вкусов (Ники Сегнит)(1).pdf</x:v>
      </x:c>
      <x:c r="L97" s="28" t="str">
        <x:v>Таблица сочетания(1).pdf: 1, 21; Тезариус вкусов (Ники Сегнит)(1).pdf: 631, 711</x:v>
      </x:c>
    </x:row>
    <x:row r="98" ht="64" customHeight="1">
      <x:c r="A98" s="28" t="str">
        <x:v>NCT-0123</x:v>
      </x:c>
      <x:c r="B98" s="28" t="str">
        <x:v>грецкий орех</x:v>
      </x:c>
      <x:c r="C98" s="28" t="str">
        <x:v>ягоды годжи</x:v>
      </x:c>
      <x:c r="D98" s="28" t="str">
        <x:v>Фрукты и ягоды</x:v>
      </x:c>
      <x:c r="E98" s="28" t="str">
        <x:v>контраст кислоты и жирной/горькой матрицы</x:v>
      </x:c>
      <x:c r="F98" s="28" t="str">
        <x:v>Грецкий орех имеет профиль «ореховый, древесный, землистый, слегка горький и маслянистый». Партнёр «ягоды годжи»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98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98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98" s="28" t="str">
        <x:v>пралине, паста, выпечка, гарнир, соус, молочный или коктейльный компонент с ягоды годжи</x:v>
      </x:c>
      <x:c r="J98" s="28" t="str">
        <x:v>Гипотеза / практическая</x:v>
      </x:c>
      <x:c r="K98" s="28" t="str">
        <x:v>Таблица сочетания(1).pdf</x:v>
      </x:c>
      <x:c r="L98" s="28" t="str">
        <x:v>Таблица сочетания(1).pdf: 8</x:v>
      </x:c>
    </x:row>
    <x:row r="99" ht="64" customHeight="1">
      <x:c r="A99" s="28" t="str">
        <x:v>NCT-0140</x:v>
      </x:c>
      <x:c r="B99" s="28" t="str">
        <x:v>каштан</x:v>
      </x:c>
      <x:c r="C99" s="28" t="str">
        <x:v>апельсины</x:v>
      </x:c>
      <x:c r="D99" s="28" t="str">
        <x:v>Фрукты и ягоды</x:v>
      </x:c>
      <x:c r="E99" s="28" t="str">
        <x:v>контраст кислоты и жирной/горькой матрицы</x:v>
      </x:c>
      <x:c r="F99" s="28" t="str">
        <x:v>Каштан имеет профиль «крахмалистый, сладкий, древесный, слегка какаовый и печёный». Партнёр «апельсины»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99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99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I99" s="28" t="str">
        <x:v>пралине, паста, выпечка, гарнир, соус, молочный или коктейльный компонент с апельсины</x:v>
      </x:c>
      <x:c r="J99" s="28" t="str">
        <x:v>Гипотеза / практическая</x:v>
      </x:c>
      <x:c r="K99" s="28" t="str">
        <x:v>Таблица сочетания(1).pdf</x:v>
      </x:c>
      <x:c r="L99" s="28" t="str">
        <x:v>Таблица сочетания(1).pdf: 4</x:v>
      </x:c>
    </x:row>
    <x:row r="100" ht="64" customHeight="1">
      <x:c r="A100" s="28" t="str">
        <x:v>NCT-0141</x:v>
      </x:c>
      <x:c r="B100" s="28" t="str">
        <x:v>каштан</x:v>
      </x:c>
      <x:c r="C100" s="28" t="str">
        <x:v>баранина</x:v>
      </x:c>
      <x:c r="D100" s="28" t="str">
        <x:v>Мясо и птица</x:v>
      </x:c>
      <x:c r="E100" s="28" t="str">
        <x:v>общие ароматические соединения, жареная химия и реакции Майяра, солёно-умами контраст</x:v>
      </x:c>
      <x:c r="F100" s="28" t="str">
        <x:v>Каштан имеет профиль «крахмалистый, сладкий, древесный, слегка какаовый и печёный». Партнёр «баранина»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100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00" s="28" t="str">
        <x:v>сырой каштан жёсткий; требуется надрез перед запеканием; водянистое пюре размывает аромат</x:v>
      </x:c>
      <x:c r="I100" s="28" t="str">
        <x:v>пралине, паста, выпечка, гарнир, соус, молочный или коктейльный компонент с баранина</x:v>
      </x:c>
      <x:c r="J100" s="28" t="str">
        <x:v>Средняя</x:v>
      </x:c>
      <x:c r="K100" s="28" t="str">
        <x:v>Тезариус вкусов (Ники Сегнит)(1).pdf</x:v>
      </x:c>
      <x:c r="L100" s="28" t="str">
        <x:v>Тезариус вкусов (Ники Сегнит)(1).pdf: 130, 616</x:v>
      </x:c>
    </x:row>
    <x:row r="101" ht="64" customHeight="1">
      <x:c r="A101" s="28" t="str">
        <x:v>NCT-0142</x:v>
      </x:c>
      <x:c r="B101" s="28" t="str">
        <x:v>каштан</x:v>
      </x:c>
      <x:c r="C101" s="28" t="str">
        <x:v>ваниль</x:v>
      </x:c>
      <x:c r="D101" s="28" t="str">
        <x:v>Специи</x:v>
      </x:c>
      <x:c r="E101" s="28" t="str">
        <x:v>сенсорная комплементарность</x:v>
      </x:c>
      <x:c r="F101" s="28" t="str">
        <x:v>Каштан имеет профиль «крахмалистый, сладкий, древесный, слегка какаовый и печёный».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01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01" s="28" t="str">
        <x:v>сырой каштан жёсткий; требуется надрез перед запеканием; водянистое пюре размывает аромат</x:v>
      </x:c>
      <x:c r="I101" s="28" t="str">
        <x:v>пралине, паста, выпечка, гарнир, соус, молочный или коктейльный компонент с ваниль</x:v>
      </x:c>
      <x:c r="J101" s="28" t="str">
        <x:v>Средняя</x:v>
      </x:c>
      <x:c r="K101" s="28" t="str">
        <x:v>Тезариус вкусов (Ники Сегнит)(1).pdf</x:v>
      </x:c>
      <x:c r="L101" s="28" t="str">
        <x:v>Тезариус вкусов (Ники Сегнит)(1).pdf: 616, 917</x:v>
      </x:c>
    </x:row>
    <x:row r="102" ht="64" customHeight="1">
      <x:c r="A102" s="28" t="str">
        <x:v>NCT-0143</x:v>
      </x:c>
      <x:c r="B102" s="28" t="str">
        <x:v>каштан</x:v>
      </x:c>
      <x:c r="C102" s="28" t="str">
        <x:v>гвоздика</x:v>
      </x:c>
      <x:c r="D102" s="28" t="str">
        <x:v>Специи</x:v>
      </x:c>
      <x:c r="E102" s="28" t="str">
        <x:v>сенсорная комплементарность</x:v>
      </x:c>
      <x:c r="F102" s="28" t="str">
        <x:v>Каштан имеет профиль «крахмалистый, сладкий, древесный, слегка какаовый и печёный». Партнёр «гвоздика» относится к группе «Специи» и даёт древесный, пряный, фенольный.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02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02" s="28" t="str">
        <x:v>сырой каштан жёсткий; требуется надрез перед запеканием; водянистое пюре размывает аромат</x:v>
      </x:c>
      <x:c r="I102" s="28" t="str">
        <x:v>пралине, паста, выпечка, гарнир, соус, молочный или коктейльный компонент с гвоздика</x:v>
      </x:c>
      <x:c r="J102" s="28" t="str">
        <x:v>Гипотеза / практическая</x:v>
      </x:c>
      <x:c r="K102" s="28" t="str">
        <x:v>Таблица сочетания(1).pdf</x:v>
      </x:c>
      <x:c r="L102" s="28" t="str">
        <x:v>Таблица сочетания(1).pdf: 4</x:v>
      </x:c>
    </x:row>
    <x:row r="103" ht="64" customHeight="1">
      <x:c r="A103" s="28" t="str">
        <x:v>NCT-0144</x:v>
      </x:c>
      <x:c r="B103" s="28" t="str">
        <x:v>каштан</x:v>
      </x:c>
      <x:c r="C103" s="28" t="str">
        <x:v>грибы</x:v>
      </x:c>
      <x:c r="D103" s="28" t="str">
        <x:v>Овощи, бобовые и грибы</x:v>
      </x:c>
      <x:c r="E103" s="28" t="str">
        <x:v>общие ароматические соединения</x:v>
      </x:c>
      <x:c r="F103" s="28" t="str">
        <x:v>Каштан имеет профиль «крахмалистый, сладкий, древесный, слегка какаовый и печёный». Партнёр «грибы»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3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03" s="28" t="str">
        <x:v>сырой каштан жёсткий; требуется надрез перед запеканием; водянистое пюре размывает аромат</x:v>
      </x:c>
      <x:c r="I103" s="28" t="str">
        <x:v>пралине, паста, выпечка, гарнир, соус, молочный или коктейльный компонент с грибы</x:v>
      </x:c>
      <x:c r="J103" s="28" t="str">
        <x:v>Средняя</x:v>
      </x:c>
      <x:c r="K103" s="28" t="str">
        <x:v>Тезариус вкусов (Ники Сегнит)(1).pdf</x:v>
      </x:c>
      <x:c r="L103" s="28" t="str">
        <x:v>Тезариус вкусов (Ники Сегнит)(1).pdf: 197, 617</x:v>
      </x:c>
    </x:row>
    <x:row r="104" ht="64" customHeight="1">
      <x:c r="A104" s="28" t="str">
        <x:v>NCT-0145</x:v>
      </x:c>
      <x:c r="B104" s="28" t="str">
        <x:v>каштан</x:v>
      </x:c>
      <x:c r="C104" s="28" t="str">
        <x:v>груша</x:v>
      </x:c>
      <x:c r="D104" s="28" t="str">
        <x:v>Фрукты и ягоды</x:v>
      </x:c>
      <x:c r="E104" s="28" t="str">
        <x:v>общие ароматические соединения, контраст кислоты и жирной/горькой матрицы</x:v>
      </x:c>
      <x:c r="F104" s="28" t="str">
        <x:v>Каштан имеет профиль «крахмалистый, сладкий, древесный, слегка какаовый и печёный». Партнёр «груша»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4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04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I104" s="28" t="str">
        <x:v>пралине, паста, выпечка, гарнир, соус, молочный или коктейльный компонент с груша</x:v>
      </x:c>
      <x:c r="J104" s="28" t="str">
        <x:v>Высокая</x:v>
      </x:c>
      <x:c r="K104" s="28" t="str">
        <x:v>Таблица сочетания(1).pdf | Тезариус вкусов (Ники Сегнит)(1).pdf</x:v>
      </x:c>
      <x:c r="L104" s="28" t="str">
        <x:v>Таблица сочетания(1).pdf: 16; Тезариус вкусов (Ники Сегнит)(1).pdf: 617, 724</x:v>
      </x:c>
    </x:row>
    <x:row r="105" ht="64" customHeight="1">
      <x:c r="A105" s="28" t="str">
        <x:v>NCT-0146</x:v>
      </x:c>
      <x:c r="B105" s="28" t="str">
        <x:v>каштан</x:v>
      </x:c>
      <x:c r="C105" s="28" t="str">
        <x:v>груши</x:v>
      </x:c>
      <x:c r="D105" s="28" t="str">
        <x:v>Фрукты и ягоды</x:v>
      </x:c>
      <x:c r="E105" s="28" t="str">
        <x:v>общие ароматические соединения, контраст кислоты и жирной/горькой матрицы</x:v>
      </x:c>
      <x:c r="F105" s="28" t="str">
        <x:v>Каштан имеет профиль «крахмалистый, сладкий, древесный, слегка какаовый и печёный». Партнёр «груши»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5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05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I105" s="28" t="str">
        <x:v>пралине, паста, выпечка, гарнир, соус, молочный или коктейльный компонент с груши</x:v>
      </x:c>
      <x:c r="J105" s="28" t="str">
        <x:v>Гипотеза / практическая</x:v>
      </x:c>
      <x:c r="K105" s="28" t="str">
        <x:v>Таблица сочетания(1).pdf</x:v>
      </x:c>
      <x:c r="L105" s="28" t="str">
        <x:v>Таблица сочетания(1).pdf: 4</x:v>
      </x:c>
    </x:row>
    <x:row r="106" ht="64" customHeight="1">
      <x:c r="A106" s="28" t="str">
        <x:v>NCT-0147</x:v>
      </x:c>
      <x:c r="B106" s="28" t="str">
        <x:v>каштан</x:v>
      </x:c>
      <x:c r="C106" s="28" t="str">
        <x:v>изюм</x:v>
      </x:c>
      <x:c r="D106" s="28" t="str">
        <x:v>Прочее</x:v>
      </x:c>
      <x:c r="E106" s="28" t="str">
        <x:v>сенсорная комплементарность</x:v>
      </x:c>
      <x:c r="F106" s="28" t="str">
        <x:v>Каштан имеет профиль «крахмалистый, сладкий, древесный, слегка какаовый и печёный». Партнёр «изюм»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06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06" s="28" t="str">
        <x:v>сырой каштан жёсткий; требуется надрез перед запеканием; водянистое пюре размывает аромат</x:v>
      </x:c>
      <x:c r="I106" s="28" t="str">
        <x:v>пралине, паста, выпечка, гарнир, соус, молочный или коктейльный компонент с изюм</x:v>
      </x:c>
      <x:c r="J106" s="28" t="str">
        <x:v>Гипотеза / практическая</x:v>
      </x:c>
      <x:c r="K106" s="28" t="str">
        <x:v>Таблица сочетания(1).pdf</x:v>
      </x:c>
      <x:c r="L106" s="28" t="str">
        <x:v>Таблица сочетания(1).pdf: 4</x:v>
      </x:c>
    </x:row>
    <x:row r="107" ht="64" customHeight="1">
      <x:c r="A107" s="28" t="str">
        <x:v>NCT-0148</x:v>
      </x:c>
      <x:c r="B107" s="28" t="str">
        <x:v>каштан</x:v>
      </x:c>
      <x:c r="C107" s="28" t="str">
        <x:v>инжир</x:v>
      </x:c>
      <x:c r="D107" s="28" t="str">
        <x:v>Фрукты и ягоды</x:v>
      </x:c>
      <x:c r="E107" s="28" t="str">
        <x:v>общие ароматические соединения, контраст кислоты и жирной/горькой матрицы</x:v>
      </x:c>
      <x:c r="F107" s="28" t="str">
        <x:v>Каштан имеет профиль «крахмалистый, сладкий, древесный, слегка какаовый и печёный». Партнёр «инжир»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7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07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I107" s="28" t="str">
        <x:v>пралине, паста, выпечка, гарнир, соус, молочный или коктейльный компонент с инжир</x:v>
      </x:c>
      <x:c r="J107" s="28" t="str">
        <x:v>Гипотеза / практическая</x:v>
      </x:c>
      <x:c r="K107" s="28" t="str">
        <x:v>Таблица сочетания(1).pdf</x:v>
      </x:c>
      <x:c r="L107" s="28" t="str">
        <x:v>Таблица сочетания(1).pdf: 4</x:v>
      </x:c>
    </x:row>
    <x:row r="108" ht="64" customHeight="1">
      <x:c r="A108" s="28" t="str">
        <x:v>NCT-0149</x:v>
      </x:c>
      <x:c r="B108" s="28" t="str">
        <x:v>каштан</x:v>
      </x:c>
      <x:c r="C108" s="28" t="str">
        <x:v>капуста</x:v>
      </x:c>
      <x:c r="D108" s="28" t="str">
        <x:v>Овощи, бобовые и грибы</x:v>
      </x:c>
      <x:c r="E108" s="28" t="str">
        <x:v>общие ароматические соединения</x:v>
      </x:c>
      <x:c r="F108" s="28" t="str">
        <x:v>Каштан имеет профиль «крахмалистый, сладкий, древесный, слегка какаовый и печёный». Партнёр «капуста»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8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08" s="28" t="str">
        <x:v>сырой каштан жёсткий; требуется надрез перед запеканием; водянистое пюре размывает аромат</x:v>
      </x:c>
      <x:c r="I108" s="28" t="str">
        <x:v>пралине, паста, выпечка, гарнир, соус, молочный или коктейльный компонент с капуста</x:v>
      </x:c>
      <x:c r="J108" s="28" t="str">
        <x:v>Средняя</x:v>
      </x:c>
      <x:c r="K108" s="28" t="str">
        <x:v>Тезариус вкусов (Ники Сегнит)(1).pdf</x:v>
      </x:c>
      <x:c r="L108" s="28" t="str">
        <x:v>Тезариус вкусов (Ники Сегнит)(1).pdf: 311, 617</x:v>
      </x:c>
    </x:row>
    <x:row r="109" ht="64" customHeight="1">
      <x:c r="A109" s="28" t="str">
        <x:v>NCT-0150</x:v>
      </x:c>
      <x:c r="B109" s="28" t="str">
        <x:v>каштан</x:v>
      </x:c>
      <x:c r="C109" s="28" t="str">
        <x:v>кардамон</x:v>
      </x:c>
      <x:c r="D109" s="28" t="str">
        <x:v>Специи</x:v>
      </x:c>
      <x:c r="E109" s="28" t="str">
        <x:v>сенсорная комплементарность</x:v>
      </x:c>
      <x:c r="F109" s="28" t="str">
        <x:v>Каштан имеет профиль «крахмалистый, сладкий, древесный, слегка какаовый и печёный». Партнёр «кардамон» относится к группе «Специи» и даёт камфорный, цветочный,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09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09" s="28" t="str">
        <x:v>сырой каштан жёсткий; требуется надрез перед запеканием; водянистое пюре размывает аромат</x:v>
      </x:c>
      <x:c r="I109" s="28" t="str">
        <x:v>пралине, паста, выпечка, гарнир, соус, молочный или коктейльный компонент с кардамон</x:v>
      </x:c>
      <x:c r="J109" s="28" t="str">
        <x:v>Гипотеза / практическая</x:v>
      </x:c>
      <x:c r="K109" s="28" t="str">
        <x:v>Таблица сочетания(1).pdf</x:v>
      </x:c>
      <x:c r="L109" s="28" t="str">
        <x:v>Таблица сочетания(1).pdf: 4</x:v>
      </x:c>
    </x:row>
    <x:row r="110" ht="64" customHeight="1">
      <x:c r="A110" s="28" t="str">
        <x:v>NCT-0151</x:v>
      </x:c>
      <x:c r="B110" s="28" t="str">
        <x:v>каштан</x:v>
      </x:c>
      <x:c r="C110" s="28" t="str">
        <x:v>кленовый сироп</x:v>
      </x:c>
      <x:c r="D110" s="28" t="str">
        <x:v>Выпечка, сахара и десерты</x:v>
      </x:c>
      <x:c r="E110" s="28" t="str">
        <x:v>общие ароматические соединения, жареная химия и реакции Майяра</x:v>
      </x:c>
      <x:c r="F110" s="28" t="str">
        <x:v>Каштан имеет профиль «крахмалистый, сладкий, древесный, слегка какаовый и печёный». Партнёр «кленовый сироп» относится к группе «Выпечка, сахара и десерты» и даёт сладкий, карамельный и жареный. Молекулярный мост создают мальтол,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мальтол, пиразины, фураны.</x:v>
      </x:c>
      <x:c r="G110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10" s="28" t="str">
        <x:v>сырой каштан жёсткий; требуется надрез перед запеканием; водянистое пюре размывает аромат</x:v>
      </x:c>
      <x:c r="I110" s="28" t="str">
        <x:v>пралине, паста, выпечка, гарнир, соус, молочный или коктейльный компонент с кленовый сироп</x:v>
      </x:c>
      <x:c r="J110" s="28" t="str">
        <x:v>Гипотеза / практическая</x:v>
      </x:c>
      <x:c r="K110" s="28" t="str">
        <x:v>Таблица сочетания(1).pdf</x:v>
      </x:c>
      <x:c r="L110" s="28" t="str">
        <x:v>Таблица сочетания(1).pdf: 4</x:v>
      </x:c>
    </x:row>
    <x:row r="111" ht="64" customHeight="1">
      <x:c r="A111" s="28" t="str">
        <x:v>NCT-0152</x:v>
      </x:c>
      <x:c r="B111" s="28" t="str">
        <x:v>каштан</x:v>
      </x:c>
      <x:c r="C111" s="28" t="str">
        <x:v>кофе</x:v>
      </x:c>
      <x:c r="D111" s="28" t="str">
        <x:v>Кофе</x:v>
      </x:c>
      <x:c r="E111" s="28" t="str">
        <x:v>общие ароматические соединения, жареная химия и реакции Майяра</x:v>
      </x:c>
      <x:c r="F111" s="28" t="str">
        <x:v>Каштан имеет профиль «крахмалистый, сладкий, древесный, слегка какаовый и печёный».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пиразины, фураны.</x:v>
      </x:c>
      <x:c r="G111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11" s="28" t="str">
        <x:v>сырой каштан жёсткий; требуется надрез перед запеканием; водянистое пюре размывает аромат</x:v>
      </x:c>
      <x:c r="I111" s="28" t="str">
        <x:v>пралине, паста, выпечка, гарнир, соус, молочный или коктейльный компонент с кофе</x:v>
      </x:c>
      <x:c r="J111" s="28" t="str">
        <x:v>Гипотеза / практическая</x:v>
      </x:c>
      <x:c r="K111" s="28" t="str">
        <x:v>Таблица сочетания(1).pdf</x:v>
      </x:c>
      <x:c r="L111" s="28" t="str">
        <x:v>Таблица сочетания(1).pdf: 4</x:v>
      </x:c>
    </x:row>
    <x:row r="112" ht="64" customHeight="1">
      <x:c r="A112" s="28" t="str">
        <x:v>NCT-0153</x:v>
      </x:c>
      <x:c r="B112" s="28" t="str">
        <x:v>каштан</x:v>
      </x:c>
      <x:c r="C112" s="28" t="str">
        <x:v>лавровый лист</x:v>
      </x:c>
      <x:c r="D112" s="28" t="str">
        <x:v>Прочее</x:v>
      </x:c>
      <x:c r="E112" s="28" t="str">
        <x:v>сенсорная комплементарность</x:v>
      </x:c>
      <x:c r="F112" s="28" t="str">
        <x:v>Каштан имеет профиль «крахмалистый, сладкий, древесный, слегка какаовый и печёный». Партнёр «лавровый лист»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12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12" s="28" t="str">
        <x:v>сырой каштан жёсткий; требуется надрез перед запеканием; водянистое пюре размывает аромат</x:v>
      </x:c>
      <x:c r="I112" s="28" t="str">
        <x:v>пралине, паста, выпечка, гарнир, соус, молочный или коктейльный компонент с лавровый лист</x:v>
      </x:c>
      <x:c r="J112" s="28" t="str">
        <x:v>Гипотеза / практическая</x:v>
      </x:c>
      <x:c r="K112" s="28" t="str">
        <x:v>Таблица сочетания(1).pdf</x:v>
      </x:c>
      <x:c r="L112" s="28" t="str">
        <x:v>Таблица сочетания(1).pdf: 4</x:v>
      </x:c>
    </x:row>
    <x:row r="113" ht="64" customHeight="1">
      <x:c r="A113" s="28" t="str">
        <x:v>NCT-0154</x:v>
      </x:c>
      <x:c r="B113" s="28" t="str">
        <x:v>каштан</x:v>
      </x:c>
      <x:c r="C113" s="28" t="str">
        <x:v>лимон</x:v>
      </x:c>
      <x:c r="D113" s="28" t="str">
        <x:v>Фрукты и ягоды</x:v>
      </x:c>
      <x:c r="E113" s="28" t="str">
        <x:v>контраст кислоты и жирной/горькой матрицы</x:v>
      </x:c>
      <x:c r="F113" s="28" t="str">
        <x:v>Каштан имеет профиль «крахмалистый, сладкий, древесный, слегка какаовый и печёный».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13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13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I113" s="28" t="str">
        <x:v>пралине, паста, выпечка, гарнир, соус, молочный или коктейльный компонент с лимон</x:v>
      </x:c>
      <x:c r="J113" s="28" t="str">
        <x:v>Гипотеза / практическая</x:v>
      </x:c>
      <x:c r="K113" s="28" t="str">
        <x:v>Таблица сочетания(1).pdf</x:v>
      </x:c>
      <x:c r="L113" s="28" t="str">
        <x:v>Таблица сочетания(1).pdf: 4, 11</x:v>
      </x:c>
    </x:row>
    <x:row r="114" ht="64" customHeight="1">
      <x:c r="A114" s="28" t="str">
        <x:v>NCT-0155</x:v>
      </x:c>
      <x:c r="B114" s="28" t="str">
        <x:v>каштан</x:v>
      </x:c>
      <x:c r="C114" s="28" t="str">
        <x:v>мускатный орех</x:v>
      </x:c>
      <x:c r="D114" s="28" t="str">
        <x:v>Орехи и семена</x:v>
      </x:c>
      <x:c r="E114" s="28" t="str">
        <x:v>жареная химия и реакции Майяра</x:v>
      </x:c>
      <x:c r="F114" s="28" t="str">
        <x:v>Каштан имеет профиль «крахмалистый, сладкий, древесный, слегка какаовый и печёный». Партнёр «мускатный орех» относится к группе «Орехи и семена» и даёт камфорный, ореховый, пряный.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14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14" s="28" t="str">
        <x:v>сырой каштан жёсткий; требуется надрез перед запеканием; водянистое пюре размывает аромат</x:v>
      </x:c>
      <x:c r="I114" s="28" t="str">
        <x:v>пралине, паста, выпечка, гарнир, соус, молочный или коктейльный компонент с мускатный орех</x:v>
      </x:c>
      <x:c r="J114" s="28" t="str">
        <x:v>Гипотеза / практическая</x:v>
      </x:c>
      <x:c r="K114" s="28" t="str">
        <x:v>Таблица сочетания(1).pdf</x:v>
      </x:c>
      <x:c r="L114" s="28" t="str">
        <x:v>Таблица сочетания(1).pdf: 4</x:v>
      </x:c>
    </x:row>
    <x:row r="115" ht="64" customHeight="1">
      <x:c r="A115" s="28" t="str">
        <x:v>NCT-0156</x:v>
      </x:c>
      <x:c r="B115" s="28" t="str">
        <x:v>каштан</x:v>
      </x:c>
      <x:c r="C115" s="28" t="str">
        <x:v>мёд</x:v>
      </x:c>
      <x:c r="D115" s="28" t="str">
        <x:v>Выпечка, сахара и десерты</x:v>
      </x:c>
      <x:c r="E115" s="28" t="str">
        <x:v>жареная химия и реакции Майяра</x:v>
      </x:c>
      <x:c r="F115" s="28" t="str">
        <x:v>Каштан имеет профиль «крахмалистый, сладкий, древесный, слегка какаовый и печёный». Партнёр «мёд» относится к группе «Выпечка, сахара и десерты» и даёт медовый, цветочный.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15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15" s="28" t="str">
        <x:v>сырой каштан жёсткий; требуется надрез перед запеканием; водянистое пюре размывает аромат</x:v>
      </x:c>
      <x:c r="I115" s="28" t="str">
        <x:v>пралине, паста, выпечка, гарнир, соус, молочный или коктейльный компонент с мёд</x:v>
      </x:c>
      <x:c r="J115" s="28" t="str">
        <x:v>Гипотеза / практическая</x:v>
      </x:c>
      <x:c r="K115" s="28" t="str">
        <x:v>Таблица сочетания(1).pdf</x:v>
      </x:c>
      <x:c r="L115" s="28" t="str">
        <x:v>Таблица сочетания(1).pdf: 4</x:v>
      </x:c>
    </x:row>
    <x:row r="116" ht="64" customHeight="1">
      <x:c r="A116" s="28" t="str">
        <x:v>NCT-0157</x:v>
      </x:c>
      <x:c r="B116" s="28" t="str">
        <x:v>каштан</x:v>
      </x:c>
      <x:c r="C116" s="28" t="str">
        <x:v>прошутто</x:v>
      </x:c>
      <x:c r="D116" s="28" t="str">
        <x:v>Прочее</x:v>
      </x:c>
      <x:c r="E116" s="28" t="str">
        <x:v>сенсорная комплементарность</x:v>
      </x:c>
      <x:c r="F116" s="28" t="str">
        <x:v>Каштан имеет профиль «крахмалистый, сладкий, древесный, слегка какаовый и печёный». Партнёр «прошутто»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16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16" s="28" t="str">
        <x:v>сырой каштан жёсткий; требуется надрез перед запеканием; водянистое пюре размывает аромат</x:v>
      </x:c>
      <x:c r="I116" s="28" t="str">
        <x:v>пралине, паста, выпечка, гарнир, соус, молочный или коктейльный компонент с прошутто</x:v>
      </x:c>
      <x:c r="J116" s="28" t="str">
        <x:v>Средняя</x:v>
      </x:c>
      <x:c r="K116" s="28" t="str">
        <x:v>Тезариус вкусов (Ники Сегнит)(1).pdf</x:v>
      </x:c>
      <x:c r="L116" s="28" t="str">
        <x:v>Тезариус вкусов (Ники Сегнит)(1).pdf: 457, 618</x:v>
      </x:c>
    </x:row>
    <x:row r="117" ht="64" customHeight="1">
      <x:c r="A117" s="28" t="str">
        <x:v>NCT-0158</x:v>
      </x:c>
      <x:c r="B117" s="28" t="str">
        <x:v>каштан</x:v>
      </x:c>
      <x:c r="C117" s="28" t="str">
        <x:v>розмарин</x:v>
      </x:c>
      <x:c r="D117" s="28" t="str">
        <x:v>Травы, цветы и листья</x:v>
      </x:c>
      <x:c r="E117" s="28" t="str">
        <x:v>сенсорная комплементарность</x:v>
      </x:c>
      <x:c r="F117" s="28" t="str">
        <x:v>Каштан имеет профиль «крахмалистый, сладкий, древесный, слегка какаовый и печёный». Партнёр «розмарин»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17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17" s="28" t="str">
        <x:v>сырой каштан жёсткий; требуется надрез перед запеканием; водянистое пюре размывает аромат</x:v>
      </x:c>
      <x:c r="I117" s="28" t="str">
        <x:v>пралине, паста, выпечка, гарнир, соус, молочный или коктейльный компонент с розмарин</x:v>
      </x:c>
      <x:c r="J117" s="28" t="str">
        <x:v>Высокая</x:v>
      </x:c>
      <x:c r="K117" s="28" t="str">
        <x:v>Таблица сочетания(1).pdf | Тезариус вкусов (Ники Сегнит)(1).pdf</x:v>
      </x:c>
      <x:c r="L117" s="28" t="str">
        <x:v>Таблица сочетания(1).pdf: 4; Тезариус вкусов (Ники Сегнит)(1).pdf: 618, 837</x:v>
      </x:c>
    </x:row>
    <x:row r="118" ht="64" customHeight="1">
      <x:c r="A118" s="28" t="str">
        <x:v>NCT-0159</x:v>
      </x:c>
      <x:c r="B118" s="28" t="str">
        <x:v>каштан</x:v>
      </x:c>
      <x:c r="C118" s="28" t="str">
        <x:v>свинина</x:v>
      </x:c>
      <x:c r="D118" s="28" t="str">
        <x:v>Мясо и птица</x:v>
      </x:c>
      <x:c r="E118" s="28" t="str">
        <x:v>общие ароматические соединения, жареная химия и реакции Майяра, солёно-умами контраст</x:v>
      </x:c>
      <x:c r="F118" s="28" t="str">
        <x:v>Каштан имеет профиль «крахмалистый, сладкий, древесный, слегка какаовый и печёный». Партнёр «свинина»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118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18" s="28" t="str">
        <x:v>сырой каштан жёсткий; требуется надрез перед запеканием; водянистое пюре размывает аромат</x:v>
      </x:c>
      <x:c r="I118" s="28" t="str">
        <x:v>пралине, паста, выпечка, гарнир, соус, молочный или коктейльный компонент с свинина</x:v>
      </x:c>
      <x:c r="J118" s="28" t="str">
        <x:v>Средняя</x:v>
      </x:c>
      <x:c r="K118" s="28" t="str">
        <x:v>Тезариус вкусов (Ники Сегнит)(1).pdf</x:v>
      </x:c>
      <x:c r="L118" s="28" t="str">
        <x:v>Тезариус вкусов (Ники Сегнит)(1).pdf: 85, 619</x:v>
      </x:c>
    </x:row>
    <x:row r="119" ht="64" customHeight="1">
      <x:c r="A119" s="28" t="str">
        <x:v>NCT-0160</x:v>
      </x:c>
      <x:c r="B119" s="28" t="str">
        <x:v>каштан</x:v>
      </x:c>
      <x:c r="C119" s="28" t="str">
        <x:v>сельдерей</x:v>
      </x:c>
      <x:c r="D119" s="28" t="str">
        <x:v>Прочее</x:v>
      </x:c>
      <x:c r="E119" s="28" t="str">
        <x:v>сенсорная комплементарность</x:v>
      </x:c>
      <x:c r="F119" s="28" t="str">
        <x:v>Каштан имеет профиль «крахмалистый, сладкий, древесный, слегка какаовый и печёный». Партнёр «сельдерей»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19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19" s="28" t="str">
        <x:v>сырой каштан жёсткий; требуется надрез перед запеканием; водянистое пюре размывает аромат</x:v>
      </x:c>
      <x:c r="I119" s="28" t="str">
        <x:v>пралине, паста, выпечка, гарнир, соус, молочный или коктейльный компонент с сельдерей</x:v>
      </x:c>
      <x:c r="J119" s="28" t="str">
        <x:v>Средняя</x:v>
      </x:c>
      <x:c r="K119" s="28" t="str">
        <x:v>Тезариус вкусов (Ники Сегнит)(1).pdf</x:v>
      </x:c>
      <x:c r="L119" s="28" t="str">
        <x:v>Тезариус вкусов (Ники Сегнит)(1).pdf: 251, 620</x:v>
      </x:c>
    </x:row>
    <x:row r="120" ht="64" customHeight="1">
      <x:c r="A120" s="28" t="str">
        <x:v>NCT-0161</x:v>
      </x:c>
      <x:c r="B120" s="28" t="str">
        <x:v>каштан</x:v>
      </x:c>
      <x:c r="C120" s="28" t="str">
        <x:v>слива</x:v>
      </x:c>
      <x:c r="D120" s="28" t="str">
        <x:v>Фрукты и ягоды</x:v>
      </x:c>
      <x:c r="E120" s="28" t="str">
        <x:v>общие ароматические соединения, контраст кислоты и жирной/горькой матрицы</x:v>
      </x:c>
      <x:c r="F120" s="28" t="str">
        <x:v>Каштан имеет профиль «крахмалистый, сладкий, древесный, слегка какаовый и печёный». Партнёр «слива»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20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20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I120" s="28" t="str">
        <x:v>пралине, паста, выпечка, гарнир, соус, молочный или коктейльный компонент с слива</x:v>
      </x:c>
      <x:c r="J120" s="28" t="str">
        <x:v>Гипотеза / практическая</x:v>
      </x:c>
      <x:c r="K120" s="28" t="str">
        <x:v>Таблица сочетания(1).pdf</x:v>
      </x:c>
      <x:c r="L120" s="28" t="str">
        <x:v>Таблица сочетания(1).pdf: 17</x:v>
      </x:c>
    </x:row>
    <x:row r="121" ht="64" customHeight="1">
      <x:c r="A121" s="28" t="str">
        <x:v>NCT-0162</x:v>
      </x:c>
      <x:c r="B121" s="28" t="str">
        <x:v>каштан</x:v>
      </x:c>
      <x:c r="C121" s="28" t="str">
        <x:v>тимьян</x:v>
      </x:c>
      <x:c r="D121" s="28" t="str">
        <x:v>Травы, цветы и листья</x:v>
      </x:c>
      <x:c r="E121" s="28" t="str">
        <x:v>сенсорная комплементарность</x:v>
      </x:c>
      <x:c r="F121" s="28" t="str">
        <x:v>Каштан имеет профиль «крахмалистый, сладкий, древесный, слегка какаовый и печёный». Партнёр «тимьян»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21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21" s="28" t="str">
        <x:v>сырой каштан жёсткий; требуется надрез перед запеканием; водянистое пюре размывает аромат</x:v>
      </x:c>
      <x:c r="I121" s="28" t="str">
        <x:v>пралине, паста, выпечка, гарнир, соус, молочный или коктейльный компонент с тимьян</x:v>
      </x:c>
      <x:c r="J121" s="28" t="str">
        <x:v>Гипотеза / практическая</x:v>
      </x:c>
      <x:c r="K121" s="28" t="str">
        <x:v>Таблица сочетания(1).pdf</x:v>
      </x:c>
      <x:c r="L121" s="28" t="str">
        <x:v>Таблица сочетания(1).pdf: 4</x:v>
      </x:c>
    </x:row>
    <x:row r="122" ht="64" customHeight="1">
      <x:c r="A122" s="28" t="str">
        <x:v>NCT-0163</x:v>
      </x:c>
      <x:c r="B122" s="28" t="str">
        <x:v>каштан</x:v>
      </x:c>
      <x:c r="C122" s="28" t="str">
        <x:v>трюфель</x:v>
      </x:c>
      <x:c r="D122" s="28" t="str">
        <x:v>Прочее</x:v>
      </x:c>
      <x:c r="E122" s="28" t="str">
        <x:v>сенсорная комплементарность</x:v>
      </x:c>
      <x:c r="F122" s="28" t="str">
        <x:v>Каштан имеет профиль «крахмалистый, сладкий, древесный, слегка какаовый и печёный». Партнёр «трюфель»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22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22" s="28" t="str">
        <x:v>сырой каштан жёсткий; требуется надрез перед запеканием; водянистое пюре размывает аромат</x:v>
      </x:c>
      <x:c r="I122" s="28" t="str">
        <x:v>пралине, паста, выпечка, гарнир, соус, молочный или коктейльный компонент с трюфель</x:v>
      </x:c>
      <x:c r="J122" s="28" t="str">
        <x:v>Средняя</x:v>
      </x:c>
      <x:c r="K122" s="28" t="str">
        <x:v>The Art &amp; Science of Foodpairing.pdf</x:v>
      </x:c>
      <x:c r="L122" s="28" t="str">
        <x:v>The Art &amp; Science of Foodpairing.pdf: 192</x:v>
      </x:c>
    </x:row>
    <x:row r="123" ht="64" customHeight="1">
      <x:c r="A123" s="28" t="str">
        <x:v>NCT-0164</x:v>
      </x:c>
      <x:c r="B123" s="28" t="str">
        <x:v>каштан</x:v>
      </x:c>
      <x:c r="C123" s="28" t="str">
        <x:v>тыква баттернат</x:v>
      </x:c>
      <x:c r="D123" s="28" t="str">
        <x:v>Овощи, бобовые и грибы</x:v>
      </x:c>
      <x:c r="E123" s="28" t="str">
        <x:v>общие ароматические соединения</x:v>
      </x:c>
      <x:c r="F123" s="28" t="str">
        <x:v>Каштан имеет профиль «крахмалистый, сладкий, древесный, слегка какаовый и печёный». Партнёр «тыква баттернат»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23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23" s="28" t="str">
        <x:v>сырой каштан жёсткий; требуется надрез перед запеканием; водянистое пюре размывает аромат</x:v>
      </x:c>
      <x:c r="I123" s="28" t="str">
        <x:v>пралине, паста, выпечка, гарнир, соус, молочный или коктейльный компонент с тыква баттернат</x:v>
      </x:c>
      <x:c r="J123" s="28" t="str">
        <x:v>Средняя</x:v>
      </x:c>
      <x:c r="K123" s="28" t="str">
        <x:v>Тезариус вкусов (Ники Сегнит)(1).pdf</x:v>
      </x:c>
      <x:c r="L123" s="28" t="str">
        <x:v>Тезариус вкусов (Ники Сегнит)(1).pdf: 610, 620</x:v>
      </x:c>
    </x:row>
    <x:row r="124" ht="64" customHeight="1">
      <x:c r="A124" s="28" t="str">
        <x:v>NCT-0165</x:v>
      </x:c>
      <x:c r="B124" s="28" t="str">
        <x:v>каштан</x:v>
      </x:c>
      <x:c r="C124" s="28" t="str">
        <x:v>цыпленок</x:v>
      </x:c>
      <x:c r="D124" s="28" t="str">
        <x:v>Прочее</x:v>
      </x:c>
      <x:c r="E124" s="28" t="str">
        <x:v>сенсорная комплементарность</x:v>
      </x:c>
      <x:c r="F124" s="28" t="str">
        <x:v>Каштан имеет профиль «крахмалистый, сладкий, древесный, слегка какаовый и печёный». Партнёр «цыпленок»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24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24" s="28" t="str">
        <x:v>сырой каштан жёсткий; требуется надрез перед запеканием; водянистое пюре размывает аромат</x:v>
      </x:c>
      <x:c r="I124" s="28" t="str">
        <x:v>пралине, паста, выпечка, гарнир, соус, молочный или коктейльный компонент с цыпленок</x:v>
      </x:c>
      <x:c r="J124" s="28" t="str">
        <x:v>Средняя</x:v>
      </x:c>
      <x:c r="K124" s="28" t="str">
        <x:v>Тезариус вкусов (Ники Сегнит)(1).pdf</x:v>
      </x:c>
      <x:c r="L124" s="28" t="str">
        <x:v>Тезариус вкусов (Ники Сегнит)(1).pdf: 68, 620</x:v>
      </x:c>
    </x:row>
    <x:row r="125" ht="64" customHeight="1">
      <x:c r="A125" s="28" t="str">
        <x:v>NCT-0166</x:v>
      </x:c>
      <x:c r="B125" s="28" t="str">
        <x:v>каштан</x:v>
      </x:c>
      <x:c r="C125" s="28" t="str">
        <x:v>чернослив</x:v>
      </x:c>
      <x:c r="D125" s="28" t="str">
        <x:v>Фрукты и ягоды</x:v>
      </x:c>
      <x:c r="E125" s="28" t="str">
        <x:v>общие ароматические соединения, контраст кислоты и жирной/горькой матрицы</x:v>
      </x:c>
      <x:c r="F125" s="28" t="str">
        <x:v>Каштан имеет профиль «крахмалистый, сладкий, древесный, слегка какаовый и печёный». Партнёр «чернослив»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25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25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I125" s="28" t="str">
        <x:v>пралине, паста, выпечка, гарнир, соус, молочный или коктейльный компонент с чернослив</x:v>
      </x:c>
      <x:c r="J125" s="28" t="str">
        <x:v>Гипотеза / практическая</x:v>
      </x:c>
      <x:c r="K125" s="28" t="str">
        <x:v>Таблица сочетания(1).pdf</x:v>
      </x:c>
      <x:c r="L125" s="28" t="str">
        <x:v>Таблица сочетания(1).pdf: 4, 18</x:v>
      </x:c>
    </x:row>
    <x:row r="126" ht="64" customHeight="1">
      <x:c r="A126" s="28" t="str">
        <x:v>NCT-0167</x:v>
      </x:c>
      <x:c r="B126" s="28" t="str">
        <x:v>каштан</x:v>
      </x:c>
      <x:c r="C126" s="28" t="str">
        <x:v>шоколад</x:v>
      </x:c>
      <x:c r="D126" s="28" t="str">
        <x:v>Какао и шоколад</x:v>
      </x:c>
      <x:c r="E126" s="28" t="str">
        <x:v>общие ароматические соединения, пересечение ароматических семейств, жареная химия и реакции Майяра</x:v>
      </x:c>
      <x:c r="F126" s="28" t="str">
        <x:v>Каштан имеет профиль «крахмалистый, сладкий, древесный, слегка какаовый и печёный».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какаовый; альдегиды, пиразины, фураны.</x:v>
      </x:c>
      <x:c r="G126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26" s="28" t="str">
        <x:v>сырой каштан жёсткий; требуется надрез перед запеканием; водянистое пюре размывает аромат</x:v>
      </x:c>
      <x:c r="I126" s="28" t="str">
        <x:v>пралине, паста, выпечка, гарнир, соус, молочный или коктейльный компонент с шоколад</x:v>
      </x:c>
      <x:c r="J126" s="28" t="str">
        <x:v>Высокая</x:v>
      </x:c>
      <x:c r="K126" s="28" t="str">
        <x:v>Таблица сочетания(1).pdf | Тезариус вкусов (Ники Сегнит)(1).pdf</x:v>
      </x:c>
      <x:c r="L126" s="28" t="str">
        <x:v>Таблица сочетания(1).pdf: 4; Тезариус вкусов (Ники Сегнит)(1).pdf: 30, 621</x:v>
      </x:c>
    </x:row>
    <x:row r="127" ht="64" customHeight="1">
      <x:c r="A127" s="28" t="str">
        <x:v>NCT-0168</x:v>
      </x:c>
      <x:c r="B127" s="28" t="str">
        <x:v>каштан</x:v>
      </x:c>
      <x:c r="C127" s="28" t="str">
        <x:v>яблоко</x:v>
      </x:c>
      <x:c r="D127" s="28" t="str">
        <x:v>Фрукты и ягоды</x:v>
      </x:c>
      <x:c r="E127" s="28" t="str">
        <x:v>общие ароматические соединения, контраст кислоты и жирной/горькой матрицы</x:v>
      </x:c>
      <x:c r="F127" s="28" t="str">
        <x:v>Каштан имеет профиль «крахмалистый, сладкий, древесный, слегка какаовый и печёный». Партнёр «яблоко»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27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27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I127" s="28" t="str">
        <x:v>пралине, паста, выпечка, гарнир, соус, молочный или коктейльный компонент с яблоко</x:v>
      </x:c>
      <x:c r="J127" s="28" t="str">
        <x:v>Гипотеза / практическая</x:v>
      </x:c>
      <x:c r="K127" s="28" t="str">
        <x:v>Таблица сочетания(1).pdf</x:v>
      </x:c>
      <x:c r="L127" s="28" t="str">
        <x:v>Таблица сочетания(1).pdf: 1</x:v>
      </x:c>
    </x:row>
    <x:row r="128" ht="64" customHeight="1">
      <x:c r="A128" s="28" t="str">
        <x:v>NCT-0169</x:v>
      </x:c>
      <x:c r="B128" s="28" t="str">
        <x:v>кедровый орех</x:v>
      </x:c>
      <x:c r="C128" s="28" t="str">
        <x:v>fish</x:v>
      </x:c>
      <x:c r="D128" s="28" t="str">
        <x:v>Рыба и морепродукты</x:v>
      </x:c>
      <x:c r="E128" s="28" t="str">
        <x:v>общие ароматические соединения, солёно-умами контраст</x:v>
      </x:c>
      <x:c r="F128" s="28" t="str">
        <x:v>Кедровый орех имеет профиль «смолистый, сливочный, зелёный и ореховый».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28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28" s="28" t="str">
        <x:v>аллерген; прогоркание; у части партий возможен длительный горький привкус; малейшая прогорклость ореха или шоколада усиливает неприятные рыбные оттенки</x:v>
      </x:c>
      <x:c r="I128" s="28" t="str">
        <x:v>пралине, паста, выпечка, гарнир, соус, молочный или коктейльный компонент с fish</x:v>
      </x:c>
      <x:c r="J128" s="28" t="str">
        <x:v>Средняя</x:v>
      </x:c>
      <x:c r="K128" s="28" t="str">
        <x:v>The Art &amp; Science of Foodpairing.pdf</x:v>
      </x:c>
      <x:c r="L128" s="28" t="str">
        <x:v>The Art &amp; Science of Foodpairing.pdf: 104</x:v>
      </x:c>
    </x:row>
    <x:row r="129" ht="64" customHeight="1">
      <x:c r="A129" s="28" t="str">
        <x:v>NCT-0170</x:v>
      </x:c>
      <x:c r="B129" s="28" t="str">
        <x:v>кедровый орех</x:v>
      </x:c>
      <x:c r="C129" s="28" t="str">
        <x:v>базилик</x:v>
      </x:c>
      <x:c r="D129" s="28" t="str">
        <x:v>Травы, цветы и листья</x:v>
      </x:c>
      <x:c r="E129" s="28" t="str">
        <x:v>пересечение ароматических семейств</x:v>
      </x:c>
      <x:c r="F129" s="28" t="str">
        <x:v>Кедровый орех имеет профиль «смолистый, сливочный, зелёный и ореховый». Партнёр «базилик» относится к группе «Травы, цветы и листья» и даёт зелёный, цветочный и терпеновый. Профили пересекаются в семействах: зелёный Ореховый жир служит носителем ароматов и создаёт текстурный контраст, но окисление быстро превращает профиль в прогорклый. Итог: зелёный; механизм не следует сводить к одной общей молекуле.</x:v>
      </x:c>
      <x:c r="G129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29" s="28" t="str">
        <x:v>аллерген; прогоркание; у части партий возможен длительный горький привкус</x:v>
      </x:c>
      <x:c r="I129" s="28" t="str">
        <x:v>пралине, паста, выпечка, гарнир, соус, молочный или коктейльный компонент с базилик</x:v>
      </x:c>
      <x:c r="J129" s="28" t="str">
        <x:v>Гипотеза / практическая</x:v>
      </x:c>
      <x:c r="K129" s="28" t="str">
        <x:v>Таблица сочетания(1).pdf</x:v>
      </x:c>
      <x:c r="L129" s="28" t="str">
        <x:v>Таблица сочетания(1).pdf: 16</x:v>
      </x:c>
    </x:row>
    <x:row r="130" ht="64" customHeight="1">
      <x:c r="A130" s="28" t="str">
        <x:v>NCT-0171</x:v>
      </x:c>
      <x:c r="B130" s="28" t="str">
        <x:v>кедровый орех</x:v>
      </x:c>
      <x:c r="C130" s="28" t="str">
        <x:v>имбирь</x:v>
      </x:c>
      <x:c r="D130" s="28" t="str">
        <x:v>Специи</x:v>
      </x:c>
      <x:c r="E130" s="28" t="str">
        <x:v>сенсорная комплементарность</x:v>
      </x:c>
      <x:c r="F130" s="28" t="str">
        <x:v>Кедровый орех имеет профиль «смолистый, сливочный, зелёный и ореховый». Партнёр «имбирь» относится к группе «Специи» и даёт пряный, тёплый,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30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30" s="28" t="str">
        <x:v>аллерген; прогоркание; у части партий возможен длительный горький привкус</x:v>
      </x:c>
      <x:c r="I130" s="28" t="str">
        <x:v>пралине, паста, выпечка, гарнир, соус, молочный или коктейльный компонент с имбирь</x:v>
      </x:c>
      <x:c r="J130" s="28" t="str">
        <x:v>Гипотеза / практическая</x:v>
      </x:c>
      <x:c r="K130" s="28" t="str">
        <x:v>Таблица сочетания(1).pdf</x:v>
      </x:c>
      <x:c r="L130" s="28" t="str">
        <x:v>Таблица сочетания(1).pdf: 16</x:v>
      </x:c>
    </x:row>
    <x:row r="131" ht="64" customHeight="1">
      <x:c r="A131" s="28" t="str">
        <x:v>NCT-0172</x:v>
      </x:c>
      <x:c r="B131" s="28" t="str">
        <x:v>кедровый орех</x:v>
      </x:c>
      <x:c r="C131" s="28" t="str">
        <x:v>инжир</x:v>
      </x:c>
      <x:c r="D131" s="28" t="str">
        <x:v>Фрукты и ягоды</x:v>
      </x:c>
      <x:c r="E131" s="28" t="str">
        <x:v>общие ароматические соединения, контраст кислоты и жирной/горькой матрицы</x:v>
      </x:c>
      <x:c r="F131" s="28" t="str">
        <x:v>Кедровый орех имеет профиль «смолистый, сливочный, зелёный и ореховый». Партнёр «инжир»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31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31" s="28" t="str">
        <x:v>аллерген; прогоркание; у части партий возможен длительный горький привкус; избыток кислоты может сделать чай или кофе резкими и разрушить молочную эмульсию</x:v>
      </x:c>
      <x:c r="I131" s="28" t="str">
        <x:v>пралине, паста, выпечка, гарнир, соус, молочный или коктейльный компонент с инжир</x:v>
      </x:c>
      <x:c r="J131" s="28" t="str">
        <x:v>Гипотеза / практическая</x:v>
      </x:c>
      <x:c r="K131" s="28" t="str">
        <x:v>Таблица сочетания(1).pdf</x:v>
      </x:c>
      <x:c r="L131" s="28" t="str">
        <x:v>Таблица сочетания(1).pdf: 16</x:v>
      </x:c>
    </x:row>
    <x:row r="132" ht="64" customHeight="1">
      <x:c r="A132" s="28" t="str">
        <x:v>NCT-0173</x:v>
      </x:c>
      <x:c r="B132" s="28" t="str">
        <x:v>кедровый орех</x:v>
      </x:c>
      <x:c r="C132" s="28" t="str">
        <x:v>кленовый сироп</x:v>
      </x:c>
      <x:c r="D132" s="28" t="str">
        <x:v>Выпечка, сахара и десерты</x:v>
      </x:c>
      <x:c r="E132" s="28" t="str">
        <x:v>общие ароматические соединения, жареная химия и реакции Майяра</x:v>
      </x:c>
      <x:c r="F132" s="28" t="str">
        <x:v>Кедровый орех имеет профиль «смолистый, сливочный, зелёный и ореховый». Партнёр «кленовый сироп» относится к группе «Выпечка, сахара и десерты» и даёт сладкий, карамельный и жареный.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132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32" s="28" t="str">
        <x:v>аллерген; прогоркание; у части партий возможен длительный горький привкус</x:v>
      </x:c>
      <x:c r="I132" s="28" t="str">
        <x:v>пралине, паста, выпечка, гарнир, соус, молочный или коктейльный компонент с кленовый сироп</x:v>
      </x:c>
      <x:c r="J132" s="28" t="str">
        <x:v>Гипотеза / практическая</x:v>
      </x:c>
      <x:c r="K132" s="28" t="str">
        <x:v>Таблица сочетания(1).pdf</x:v>
      </x:c>
      <x:c r="L132" s="28" t="str">
        <x:v>Таблица сочетания(1).pdf: 16</x:v>
      </x:c>
    </x:row>
    <x:row r="133" ht="64" customHeight="1">
      <x:c r="A133" s="28" t="str">
        <x:v>NCT-0174</x:v>
      </x:c>
      <x:c r="B133" s="28" t="str">
        <x:v>кедровый орех</x:v>
      </x:c>
      <x:c r="C133" s="28" t="str">
        <x:v>куркума</x:v>
      </x:c>
      <x:c r="D133" s="28" t="str">
        <x:v>Прочее</x:v>
      </x:c>
      <x:c r="E133" s="28" t="str">
        <x:v>сенсорная комплементарность</x:v>
      </x:c>
      <x:c r="F133" s="28" t="str">
        <x:v>Кедровый орех имеет профиль «смолистый, сливочный, зелёный и ореховый». Партнёр «куркума»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33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33" s="28" t="str">
        <x:v>аллерген; прогоркание; у части партий возможен длительный горький привкус</x:v>
      </x:c>
      <x:c r="I133" s="28" t="str">
        <x:v>пралине, паста, выпечка, гарнир, соус, молочный или коктейльный компонент с куркума</x:v>
      </x:c>
      <x:c r="J133" s="28" t="str">
        <x:v>Гипотеза / практическая</x:v>
      </x:c>
      <x:c r="K133" s="28" t="str">
        <x:v>Таблица сочетания(1).pdf</x:v>
      </x:c>
      <x:c r="L133" s="28" t="str">
        <x:v>Таблица сочетания(1).pdf: 16</x:v>
      </x:c>
    </x:row>
    <x:row r="134" ht="64" customHeight="1">
      <x:c r="A134" s="28" t="str">
        <x:v>NCT-0175</x:v>
      </x:c>
      <x:c r="B134" s="28" t="str">
        <x:v>кедровый орех</x:v>
      </x:c>
      <x:c r="C134" s="28" t="str">
        <x:v>лимон</x:v>
      </x:c>
      <x:c r="D134" s="28" t="str">
        <x:v>Фрукты и ягоды</x:v>
      </x:c>
      <x:c r="E134" s="28" t="str">
        <x:v>контраст кислоты и жирной/горькой матрицы</x:v>
      </x:c>
      <x:c r="F134" s="28" t="str">
        <x:v>Кедровый орех имеет профиль «смолистый, сливочный, зелёный и ореховый».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34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34" s="28" t="str">
        <x:v>аллерген; прогоркание; у части партий возможен длительный горький привкус; избыток кислоты может сделать чай или кофе резкими и разрушить молочную эмульсию</x:v>
      </x:c>
      <x:c r="I134" s="28" t="str">
        <x:v>пралине, паста, выпечка, гарнир, соус, молочный или коктейльный компонент с лимон</x:v>
      </x:c>
      <x:c r="J134" s="28" t="str">
        <x:v>Гипотеза / практическая</x:v>
      </x:c>
      <x:c r="K134" s="28" t="str">
        <x:v>Таблица сочетания(1).pdf</x:v>
      </x:c>
      <x:c r="L134" s="28" t="str">
        <x:v>Таблица сочетания(1).pdf: 11, 16</x:v>
      </x:c>
    </x:row>
    <x:row r="135" ht="64" customHeight="1">
      <x:c r="A135" s="28" t="str">
        <x:v>NCT-0176</x:v>
      </x:c>
      <x:c r="B135" s="28" t="str">
        <x:v>кедровый орех</x:v>
      </x:c>
      <x:c r="C135" s="28" t="str">
        <x:v>манго</x:v>
      </x:c>
      <x:c r="D135" s="28" t="str">
        <x:v>Фрукты и ягоды</x:v>
      </x:c>
      <x:c r="E135" s="28" t="str">
        <x:v>общие ароматические соединения, контраст кислоты и жирной/горькой матрицы</x:v>
      </x:c>
      <x:c r="F135" s="28" t="str">
        <x:v>Кедровый орех имеет профиль «смолистый, сливочный, зелёный и ореховый». Партнёр «манго»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35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35" s="28" t="str">
        <x:v>аллерген; прогоркание; у части партий возможен длительный горький привкус; избыток кислоты может сделать чай или кофе резкими и разрушить молочную эмульсию</x:v>
      </x:c>
      <x:c r="I135" s="28" t="str">
        <x:v>пралине, паста, выпечка, гарнир, соус, молочный или коктейльный компонент с манго</x:v>
      </x:c>
      <x:c r="J135" s="28" t="str">
        <x:v>Средняя</x:v>
      </x:c>
      <x:c r="K135" s="28" t="str">
        <x:v>The Art &amp; Science of Foodpairing.pdf</x:v>
      </x:c>
      <x:c r="L135" s="28" t="str">
        <x:v>The Art &amp; Science of Foodpairing.pdf: 312</x:v>
      </x:c>
    </x:row>
    <x:row r="136" ht="64" customHeight="1">
      <x:c r="A136" s="28" t="str">
        <x:v>NCT-0177</x:v>
      </x:c>
      <x:c r="B136" s="28" t="str">
        <x:v>кедровый орех</x:v>
      </x:c>
      <x:c r="C136" s="28" t="str">
        <x:v>орегано</x:v>
      </x:c>
      <x:c r="D136" s="28" t="str">
        <x:v>Прочее</x:v>
      </x:c>
      <x:c r="E136" s="28" t="str">
        <x:v>сенсорная комплементарность</x:v>
      </x:c>
      <x:c r="F136" s="28" t="str">
        <x:v>Кедровый орех имеет профиль «смолистый, сливочный, зелёный и ореховый». Партнёр «орегано»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36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36" s="28" t="str">
        <x:v>аллерген; прогоркание; у части партий возможен длительный горький привкус</x:v>
      </x:c>
      <x:c r="I136" s="28" t="str">
        <x:v>пралине, паста, выпечка, гарнир, соус, молочный или коктейльный компонент с орегано</x:v>
      </x:c>
      <x:c r="J136" s="28" t="str">
        <x:v>Гипотеза / практическая</x:v>
      </x:c>
      <x:c r="K136" s="28" t="str">
        <x:v>Таблица сочетания(1).pdf</x:v>
      </x:c>
      <x:c r="L136" s="28" t="str">
        <x:v>Таблица сочетания(1).pdf: 17</x:v>
      </x:c>
    </x:row>
    <x:row r="137" ht="64" customHeight="1">
      <x:c r="A137" s="28" t="str">
        <x:v>NCT-0178</x:v>
      </x:c>
      <x:c r="B137" s="28" t="str">
        <x:v>кедровый орех</x:v>
      </x:c>
      <x:c r="C137" s="28" t="str">
        <x:v>персик</x:v>
      </x:c>
      <x:c r="D137" s="28" t="str">
        <x:v>Фрукты и ягоды</x:v>
      </x:c>
      <x:c r="E137" s="28" t="str">
        <x:v>контраст кислоты и жирной/горькой матрицы</x:v>
      </x:c>
      <x:c r="F137" s="28" t="str">
        <x:v>Кедровый орех имеет профиль «смолистый, сливочный, зелёный и ореховый». Партнёр «персик» относится к группе «Фрукты и ягоды» и даёт лактонный, фруктовый, цветочный.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37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37" s="28" t="str">
        <x:v>аллерген; прогоркание; у части партий возможен длительный горький привкус; избыток кислоты может сделать чай или кофе резкими и разрушить молочную эмульсию</x:v>
      </x:c>
      <x:c r="I137" s="28" t="str">
        <x:v>пралине, паста, выпечка, гарнир, соус, молочный или коктейльный компонент с персик</x:v>
      </x:c>
      <x:c r="J137" s="28" t="str">
        <x:v>Гипотеза / практическая</x:v>
      </x:c>
      <x:c r="K137" s="28" t="str">
        <x:v>Таблица сочетания(1).pdf</x:v>
      </x:c>
      <x:c r="L137" s="28" t="str">
        <x:v>Таблица сочетания(1).pdf: 16</x:v>
      </x:c>
    </x:row>
    <x:row r="138" ht="64" customHeight="1">
      <x:c r="A138" s="28" t="str">
        <x:v>NCT-0179</x:v>
      </x:c>
      <x:c r="B138" s="28" t="str">
        <x:v>кедровый орех</x:v>
      </x:c>
      <x:c r="C138" s="28" t="str">
        <x:v>розмарин</x:v>
      </x:c>
      <x:c r="D138" s="28" t="str">
        <x:v>Травы, цветы и листья</x:v>
      </x:c>
      <x:c r="E138" s="28" t="str">
        <x:v>пересечение ароматических семейств</x:v>
      </x:c>
      <x:c r="F138" s="28" t="str">
        <x:v>Кедровый орех имеет профиль «смолистый, сливочный, зелёный и ореховый». Партнёр «розмарин» относится к группе «Травы, цветы и листья» и даёт зелёный, цветочный и терпеновый. Профили пересекаются в семействах: зелёный Ореховый жир служит носителем ароматов и создаёт текстурный контраст, но окисление быстро превращает профиль в прогорклый. Итог: зелёный; механизм не следует сводить к одной общей молекуле.</x:v>
      </x:c>
      <x:c r="G138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38" s="28" t="str">
        <x:v>аллерген; прогоркание; у части партий возможен длительный горький привкус</x:v>
      </x:c>
      <x:c r="I138" s="28" t="str">
        <x:v>пралине, паста, выпечка, гарнир, соус, молочный или коктейльный компонент с розмарин</x:v>
      </x:c>
      <x:c r="J138" s="28" t="str">
        <x:v>Гипотеза / практическая</x:v>
      </x:c>
      <x:c r="K138" s="28" t="str">
        <x:v>Таблица сочетания(1).pdf</x:v>
      </x:c>
      <x:c r="L138" s="28" t="str">
        <x:v>Таблица сочетания(1).pdf: 17</x:v>
      </x:c>
    </x:row>
    <x:row r="139" ht="64" customHeight="1">
      <x:c r="A139" s="28" t="str">
        <x:v>NCT-0180</x:v>
      </x:c>
      <x:c r="B139" s="28" t="str">
        <x:v>кедровый орех</x:v>
      </x:c>
      <x:c r="C139" s="28" t="str">
        <x:v>слива</x:v>
      </x:c>
      <x:c r="D139" s="28" t="str">
        <x:v>Фрукты и ягоды</x:v>
      </x:c>
      <x:c r="E139" s="28" t="str">
        <x:v>общие ароматические соединения, контраст кислоты и жирной/горькой матрицы</x:v>
      </x:c>
      <x:c r="F139" s="28" t="str">
        <x:v>Кедровый орех имеет профиль «смолистый, сливочный, зелёный и ореховый». Партнёр «слива»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39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39" s="28" t="str">
        <x:v>аллерген; прогоркание; у части партий возможен длительный горький привкус; избыток кислоты может сделать чай или кофе резкими и разрушить молочную эмульсию</x:v>
      </x:c>
      <x:c r="I139" s="28" t="str">
        <x:v>пралине, паста, выпечка, гарнир, соус, молочный или коктейльный компонент с слива</x:v>
      </x:c>
      <x:c r="J139" s="28" t="str">
        <x:v>Гипотеза / практическая</x:v>
      </x:c>
      <x:c r="K139" s="28" t="str">
        <x:v>Таблица сочетания(1).pdf</x:v>
      </x:c>
      <x:c r="L139" s="28" t="str">
        <x:v>Таблица сочетания(1).pdf: 16</x:v>
      </x:c>
    </x:row>
    <x:row r="140" ht="64" customHeight="1">
      <x:c r="A140" s="28" t="str">
        <x:v>NCT-0181</x:v>
      </x:c>
      <x:c r="B140" s="28" t="str">
        <x:v>кешью</x:v>
      </x:c>
      <x:c r="C140" s="28" t="str">
        <x:v>balsamic vinegar</x:v>
      </x:c>
      <x:c r="D140" s="28" t="str">
        <x:v>Ферментированные продукты и соусы</x:v>
      </x:c>
      <x:c r="E140" s="28" t="str">
        <x:v>общие ароматические соединения, пересечение ароматических семейств, солёно-умами контраст</x:v>
      </x:c>
      <x:c r="F140" s="28" t="str">
        <x:v>Кешью имеет профиль «сливочный, мягко-ореховый, сладковатый и жареный». Партнёр «balsamic vinegar»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140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40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40" s="28" t="str">
        <x:v>пралине, паста, выпечка, гарнир, соус, молочный или коктейльный компонент с balsamic vinegar</x:v>
      </x:c>
      <x:c r="J140" s="28" t="str">
        <x:v>Средняя</x:v>
      </x:c>
      <x:c r="K140" s="28" t="str">
        <x:v>The Art &amp; Science of Foodpairing.pdf</x:v>
      </x:c>
      <x:c r="L140" s="28" t="str">
        <x:v>The Art &amp; Science of Foodpairing.pdf: 316</x:v>
      </x:c>
    </x:row>
    <x:row r="141" ht="64" customHeight="1">
      <x:c r="A141" s="28" t="str">
        <x:v>NCT-0182</x:v>
      </x:c>
      <x:c r="B141" s="28" t="str">
        <x:v>кешью</x:v>
      </x:c>
      <x:c r="C141" s="28" t="str">
        <x:v>cucumber</x:v>
      </x:c>
      <x:c r="D141" s="28" t="str">
        <x:v>Овощи, бобовые и грибы</x:v>
      </x:c>
      <x:c r="E141" s="28" t="str">
        <x:v>общие ароматические соединения</x:v>
      </x:c>
      <x:c r="F141" s="28" t="str">
        <x:v>Кешью имеет профиль «сливочный, мягко-ореховый, сладковатый и жареный». Партнёр «cucumber»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41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41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41" s="28" t="str">
        <x:v>пралине, паста, выпечка, гарнир, соус, молочный или коктейльный компонент с cucumber</x:v>
      </x:c>
      <x:c r="J141" s="28" t="str">
        <x:v>Средняя</x:v>
      </x:c>
      <x:c r="K141" s="28" t="str">
        <x:v>The Art &amp; Science of Foodpairing.pdf</x:v>
      </x:c>
      <x:c r="L141" s="28" t="str">
        <x:v>The Art &amp; Science of Foodpairing.pdf: 268</x:v>
      </x:c>
    </x:row>
    <x:row r="142" ht="64" customHeight="1">
      <x:c r="A142" s="28" t="str">
        <x:v>NCT-0183</x:v>
      </x:c>
      <x:c r="B142" s="28" t="str">
        <x:v>кешью</x:v>
      </x:c>
      <x:c r="C142" s="28" t="str">
        <x:v>fish</x:v>
      </x:c>
      <x:c r="D142" s="28" t="str">
        <x:v>Рыба и морепродукты</x:v>
      </x:c>
      <x:c r="E142" s="28" t="str">
        <x:v>общие ароматические соединения, солёно-умами контраст</x:v>
      </x:c>
      <x:c r="F142" s="28" t="str">
        <x:v>Кешью имеет профиль «сливочный, мягко-ореховый, сладковатый и жареный».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42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42" s="28" t="str">
        <x:v>аллерген; оболочка сырого ореха содержит раздражающие вещества, поэтому используется обработанный пищевой продукт; малейшая прогорклость ореха или шоколада усиливает неприятные рыбные оттенки</x:v>
      </x:c>
      <x:c r="I142" s="28" t="str">
        <x:v>пралине, паста, выпечка, гарнир, соус, молочный или коктейльный компонент с fish</x:v>
      </x:c>
      <x:c r="J142" s="28" t="str">
        <x:v>Средняя</x:v>
      </x:c>
      <x:c r="K142" s="28" t="str">
        <x:v>The Art &amp; Science of Foodpairing.pdf</x:v>
      </x:c>
      <x:c r="L142" s="28" t="str">
        <x:v>The Art &amp; Science of Foodpairing.pdf: 104</x:v>
      </x:c>
    </x:row>
    <x:row r="143" ht="64" customHeight="1">
      <x:c r="A143" s="28" t="str">
        <x:v>NCT-0184</x:v>
      </x:c>
      <x:c r="B143" s="28" t="str">
        <x:v>кешью</x:v>
      </x:c>
      <x:c r="C143" s="28" t="str">
        <x:v>goats' cheese and milk</x:v>
      </x:c>
      <x:c r="D143" s="28" t="str">
        <x:v>Молочные продукты и сыры</x:v>
      </x:c>
      <x:c r="E143" s="28" t="str">
        <x:v>общие ароматические соединения, пересечение ароматических семейств, жировая экстракция и связывание полифенолов белком</x:v>
      </x:c>
      <x:c r="F143" s="28" t="str">
        <x:v>Кешью имеет профиль «сливочный, мягко-ореховый, сладковатый и жареный». Партнёр «goats' cheese and milk» относится к группе «Молочные продукты и сыры» и даёт молочный, сливочный и ферментированный. Молекулярный мост создают лактоны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сливочный; лактоны.</x:v>
      </x:c>
      <x:c r="G143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43" s="28" t="str">
        <x:v>аллерген; оболочка сырого ореха содержит раздражающие вещества, поэтому используется обработанный пищевой продукт; жир способен приглушить тонкую ароматику; белок связывает полифенолы</x:v>
      </x:c>
      <x:c r="I143" s="28" t="str">
        <x:v>пралине, паста, выпечка, гарнир, соус, молочный или коктейльный компонент с goats' cheese and milk</x:v>
      </x:c>
      <x:c r="J143" s="28" t="str">
        <x:v>Средняя</x:v>
      </x:c>
      <x:c r="K143" s="28" t="str">
        <x:v>The Art &amp; Science of Foodpairing.pdf</x:v>
      </x:c>
      <x:c r="L143" s="28" t="str">
        <x:v>The Art &amp; Science of Foodpairing.pdf: 200</x:v>
      </x:c>
    </x:row>
    <x:row r="144" ht="64" customHeight="1">
      <x:c r="A144" s="28" t="str">
        <x:v>NCT-0185</x:v>
      </x:c>
      <x:c r="B144" s="28" t="str">
        <x:v>кешью</x:v>
      </x:c>
      <x:c r="C144" s="28" t="str">
        <x:v>lberico ham</x:v>
      </x:c>
      <x:c r="D144" s="28" t="str">
        <x:v>Мясо и птица</x:v>
      </x:c>
      <x:c r="E14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44" s="28" t="str">
        <x:v>Кешью имеет профиль «сливочный, мягко-ореховый, сладковатый и жареный».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144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44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44" s="28" t="str">
        <x:v>пралине, паста, выпечка, гарнир, соус, молочный или коктейльный компонент с lberico ham</x:v>
      </x:c>
      <x:c r="J144" s="28" t="str">
        <x:v>Средняя</x:v>
      </x:c>
      <x:c r="K144" s="28" t="str">
        <x:v>The Art &amp; Science of Foodpairing.pdf</x:v>
      </x:c>
      <x:c r="L144" s="28" t="str">
        <x:v>The Art &amp; Science of Foodpairing.pdf: 278</x:v>
      </x:c>
    </x:row>
    <x:row r="145" ht="64" customHeight="1">
      <x:c r="A145" s="28" t="str">
        <x:v>NCT-0186</x:v>
      </x:c>
      <x:c r="B145" s="28" t="str">
        <x:v>кешью</x:v>
      </x:c>
      <x:c r="C145" s="28" t="str">
        <x:v>tomato and tomato puree</x:v>
      </x:c>
      <x:c r="D145" s="28" t="str">
        <x:v>Овощи, бобовые и грибы</x:v>
      </x:c>
      <x:c r="E145" s="28" t="str">
        <x:v>общие ароматические соединения</x:v>
      </x:c>
      <x:c r="F145" s="28" t="str">
        <x:v>Кешью имеет профиль «сливочный, мягко-ореховый, сладковатый и жареный». Партнёр «tomato and tomato puree»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45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45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45" s="28" t="str">
        <x:v>пралине, паста, выпечка, гарнир, соус, молочный или коктейльный компонент с tomato and tomato puree</x:v>
      </x:c>
      <x:c r="J145" s="28" t="str">
        <x:v>Средняя</x:v>
      </x:c>
      <x:c r="K145" s="28" t="str">
        <x:v>The Art &amp; Science of Foodpairing.pdf</x:v>
      </x:c>
      <x:c r="L145" s="28" t="str">
        <x:v>The Art &amp; Science of Foodpairing.pdf: 161</x:v>
      </x:c>
    </x:row>
    <x:row r="146" ht="64" customHeight="1">
      <x:c r="A146" s="28" t="str">
        <x:v>NCT-0187</x:v>
      </x:c>
      <x:c r="B146" s="28" t="str">
        <x:v>кешью</x:v>
      </x:c>
      <x:c r="C146" s="28" t="str">
        <x:v>watermelon</x:v>
      </x:c>
      <x:c r="D146" s="28" t="str">
        <x:v>Фрукты и ягоды</x:v>
      </x:c>
      <x:c r="E146" s="28" t="str">
        <x:v>общие ароматические соединения, контраст кислоты и жирной/горькой матрицы</x:v>
      </x:c>
      <x:c r="F146" s="28" t="str">
        <x:v>Кешью имеет профиль «сливочный, мягко-ореховый, сладковатый и жареный». Партнёр «watermelon»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46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46" s="28" t="str">
        <x:v>аллерген; оболочка сырого ореха содержит раздражающие вещества, поэтому используется обработанный пищевой продукт; избыток кислоты может сделать чай или кофе резкими и разрушить молочную эмульсию</x:v>
      </x:c>
      <x:c r="I146" s="28" t="str">
        <x:v>пралине, паста, выпечка, гарнир, соус, молочный или коктейльный компонент с watermelon</x:v>
      </x:c>
      <x:c r="J146" s="28" t="str">
        <x:v>Высокая</x:v>
      </x:c>
      <x:c r="K146" s="28" t="str">
        <x:v>The Art &amp; Science of Foodpairing.pdf</x:v>
      </x:c>
      <x:c r="L146" s="28" t="str">
        <x:v>The Art &amp; Science of Foodpairing.pdf: 79</x:v>
      </x:c>
    </x:row>
    <x:row r="147" ht="64" customHeight="1">
      <x:c r="A147" s="28" t="str">
        <x:v>NCT-0188</x:v>
      </x:c>
      <x:c r="B147" s="28" t="str">
        <x:v>кешью</x:v>
      </x:c>
      <x:c r="C147" s="28" t="str">
        <x:v>ананас</x:v>
      </x:c>
      <x:c r="D147" s="28" t="str">
        <x:v>Прочее</x:v>
      </x:c>
      <x:c r="E147" s="28" t="str">
        <x:v>сенсорная комплементарность</x:v>
      </x:c>
      <x:c r="F147" s="28" t="str">
        <x:v>Кешью имеет профиль «сливочный, мягко-ореховый, сладковатый и жареный». Партнёр «ананас»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47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47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47" s="28" t="str">
        <x:v>пралине, паста, выпечка, гарнир, соус, молочный или коктейльный компонент с ананас</x:v>
      </x:c>
      <x:c r="J147" s="28" t="str">
        <x:v>Гипотеза / практическая</x:v>
      </x:c>
      <x:c r="K147" s="28" t="str">
        <x:v>Таблица сочетания(1).pdf</x:v>
      </x:c>
      <x:c r="L147" s="28" t="str">
        <x:v>Таблица сочетания(1).pdf: 4</x:v>
      </x:c>
    </x:row>
    <x:row r="148" ht="64" customHeight="1">
      <x:c r="A148" s="28" t="str">
        <x:v>NCT-0189</x:v>
      </x:c>
      <x:c r="B148" s="28" t="str">
        <x:v>кешью</x:v>
      </x:c>
      <x:c r="C148" s="28" t="str">
        <x:v>груша</x:v>
      </x:c>
      <x:c r="D148" s="28" t="str">
        <x:v>Фрукты и ягоды</x:v>
      </x:c>
      <x:c r="E148" s="28" t="str">
        <x:v>общие ароматические соединения, контраст кислоты и жирной/горькой матрицы</x:v>
      </x:c>
      <x:c r="F148" s="28" t="str">
        <x:v>Кешью имеет профиль «сливочный, мягко-ореховый, сладковатый и жареный». Партнёр «груша»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48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48" s="28" t="str">
        <x:v>аллерген; оболочка сырого ореха содержит раздражающие вещества, поэтому используется обработанный пищевой продукт; избыток кислоты может сделать чай или кофе резкими и разрушить молочную эмульсию</x:v>
      </x:c>
      <x:c r="I148" s="28" t="str">
        <x:v>пралине, паста, выпечка, гарнир, соус, молочный или коктейльный компонент с груша</x:v>
      </x:c>
      <x:c r="J148" s="28" t="str">
        <x:v>Высокая</x:v>
      </x:c>
      <x:c r="K148" s="28" t="str">
        <x:v>The Art &amp; Science of Foodpairing.pdf | Таблица сочетания(1).pdf</x:v>
      </x:c>
      <x:c r="L148" s="28" t="str">
        <x:v>The Art &amp; Science of Foodpairing.pdf: 350; Таблица сочетания(1).pdf: 4</x:v>
      </x:c>
    </x:row>
    <x:row r="149" ht="64" customHeight="1">
      <x:c r="A149" s="28" t="str">
        <x:v>NCT-0190</x:v>
      </x:c>
      <x:c r="B149" s="28" t="str">
        <x:v>кешью</x:v>
      </x:c>
      <x:c r="C149" s="28" t="str">
        <x:v>имбирь</x:v>
      </x:c>
      <x:c r="D149" s="28" t="str">
        <x:v>Специи</x:v>
      </x:c>
      <x:c r="E149" s="28" t="str">
        <x:v>сенсорная комплементарность</x:v>
      </x:c>
      <x:c r="F149" s="28" t="str">
        <x:v>Кешью имеет профиль «сливочный, мягко-ореховый, сладковатый и жареный». Партнёр «имбирь» относится к группе «Специи» и даёт пряный, тёплый,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49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49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49" s="28" t="str">
        <x:v>пралине, паста, выпечка, гарнир, соус, молочный или коктейльный компонент с имбирь</x:v>
      </x:c>
      <x:c r="J149" s="28" t="str">
        <x:v>Гипотеза / практическая</x:v>
      </x:c>
      <x:c r="K149" s="28" t="str">
        <x:v>Таблица сочетания(1).pdf</x:v>
      </x:c>
      <x:c r="L149" s="28" t="str">
        <x:v>Таблица сочетания(1).pdf: 4</x:v>
      </x:c>
    </x:row>
    <x:row r="150" ht="64" customHeight="1">
      <x:c r="A150" s="28" t="str">
        <x:v>NCT-0191</x:v>
      </x:c>
      <x:c r="B150" s="28" t="str">
        <x:v>кешью</x:v>
      </x:c>
      <x:c r="C150" s="28" t="str">
        <x:v>карамель</x:v>
      </x:c>
      <x:c r="D150" s="28" t="str">
        <x:v>Выпечка, сахара и десерты</x:v>
      </x:c>
      <x:c r="E150" s="28" t="str">
        <x:v>общие ароматические соединения, пересечение ароматических семейств, жареная химия и реакции Майяра</x:v>
      </x:c>
      <x:c r="F150" s="28" t="str">
        <x:v>Кешью имеет профиль «сливочный, мягко-ореховый, сладковатый и жареный». Партнёр «карамель» относится к группе «Выпечка, сахара и десерты» и даёт жареный, карамельный. Молекулярный мост создают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фураны.</x:v>
      </x:c>
      <x:c r="G150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50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50" s="28" t="str">
        <x:v>пралине, паста, выпечка, гарнир, соус, молочный или коктейльный компонент с карамель</x:v>
      </x:c>
      <x:c r="J150" s="28" t="str">
        <x:v>Гипотеза / практическая</x:v>
      </x:c>
      <x:c r="K150" s="28" t="str">
        <x:v>Таблица сочетания(1).pdf</x:v>
      </x:c>
      <x:c r="L150" s="28" t="str">
        <x:v>Таблица сочетания(1).pdf: 4</x:v>
      </x:c>
    </x:row>
    <x:row r="151" ht="64" customHeight="1">
      <x:c r="A151" s="28" t="str">
        <x:v>NCT-0192</x:v>
      </x:c>
      <x:c r="B151" s="28" t="str">
        <x:v>кешью</x:v>
      </x:c>
      <x:c r="C151" s="28" t="str">
        <x:v>корица</x:v>
      </x:c>
      <x:c r="D151" s="28" t="str">
        <x:v>Специи</x:v>
      </x:c>
      <x:c r="E151" s="28" t="str">
        <x:v>сенсорная комплементарность</x:v>
      </x:c>
      <x:c r="F151" s="28" t="str">
        <x:v>Кешью имеет профиль «сливочный, мягко-ореховый, сладковатый и жареный». Партнёр «корица» относится к группе «Специи» и даёт древесный, пряный.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51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51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51" s="28" t="str">
        <x:v>пралине, паста, выпечка, гарнир, соус, молочный или коктейльный компонент с корица</x:v>
      </x:c>
      <x:c r="J151" s="28" t="str">
        <x:v>Гипотеза / практическая</x:v>
      </x:c>
      <x:c r="K151" s="28" t="str">
        <x:v>Таблица сочетания(1).pdf</x:v>
      </x:c>
      <x:c r="L151" s="28" t="str">
        <x:v>Таблица сочетания(1).pdf: 4</x:v>
      </x:c>
    </x:row>
    <x:row r="152" ht="64" customHeight="1">
      <x:c r="A152" s="28" t="str">
        <x:v>NCT-0193</x:v>
      </x:c>
      <x:c r="B152" s="28" t="str">
        <x:v>кешью</x:v>
      </x:c>
      <x:c r="C152" s="28" t="str">
        <x:v>кофе</x:v>
      </x:c>
      <x:c r="D152" s="28" t="str">
        <x:v>Кофе</x:v>
      </x:c>
      <x:c r="E152" s="28" t="str">
        <x:v>общие ароматические соединения, пересечение ароматических семейств, жареная химия и реакции Майяра</x:v>
      </x:c>
      <x:c r="F152" s="28" t="str">
        <x:v>Кешью имеет профиль «сливочный, мягко-ореховый, сладковатый и жареный».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ореховый; пиразины, фураны.</x:v>
      </x:c>
      <x:c r="G152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52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52" s="28" t="str">
        <x:v>пралине, паста, выпечка, гарнир, соус, молочный или коктейльный компонент с кофе</x:v>
      </x:c>
      <x:c r="J152" s="28" t="str">
        <x:v>Средняя</x:v>
      </x:c>
      <x:c r="K152" s="28" t="str">
        <x:v>The Art &amp; Science of Foodpairing.pdf</x:v>
      </x:c>
      <x:c r="L152" s="28" t="str">
        <x:v>The Art &amp; Science of Foodpairing.pdf: 297</x:v>
      </x:c>
    </x:row>
    <x:row r="153" ht="64" customHeight="1">
      <x:c r="A153" s="28" t="str">
        <x:v>NCT-0194</x:v>
      </x:c>
      <x:c r="B153" s="28" t="str">
        <x:v>кешью</x:v>
      </x:c>
      <x:c r="C153" s="28" t="str">
        <x:v>мускатный орех</x:v>
      </x:c>
      <x:c r="D153" s="28" t="str">
        <x:v>Орехи и семена</x:v>
      </x:c>
      <x:c r="E153" s="28" t="str">
        <x:v>пересечение ароматических семейств, жареная химия и реакции Майяра</x:v>
      </x:c>
      <x:c r="F153" s="28" t="str">
        <x:v>Кешью имеет профиль «сливочный, мягко-ореховый, сладковатый и жареный».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механизм не следует сводить к одной общей молекуле.</x:v>
      </x:c>
      <x:c r="G153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53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53" s="28" t="str">
        <x:v>пралине, паста, выпечка, гарнир, соус, молочный или коктейльный компонент с мускатный орех</x:v>
      </x:c>
      <x:c r="J153" s="28" t="str">
        <x:v>Гипотеза / практическая</x:v>
      </x:c>
      <x:c r="K153" s="28" t="str">
        <x:v>Таблица сочетания(1).pdf</x:v>
      </x:c>
      <x:c r="L153" s="28" t="str">
        <x:v>Таблица сочетания(1).pdf: 4</x:v>
      </x:c>
    </x:row>
    <x:row r="154" ht="64" customHeight="1">
      <x:c r="A154" s="28" t="str">
        <x:v>NCT-0195</x:v>
      </x:c>
      <x:c r="B154" s="28" t="str">
        <x:v>кешью</x:v>
      </x:c>
      <x:c r="C154" s="28" t="str">
        <x:v>мёд</x:v>
      </x:c>
      <x:c r="D154" s="28" t="str">
        <x:v>Выпечка, сахара и десерты</x:v>
      </x:c>
      <x:c r="E154" s="28" t="str">
        <x:v>жареная химия и реакции Майяра</x:v>
      </x:c>
      <x:c r="F154" s="28" t="str">
        <x:v>Кешью имеет профиль «сливочный, мягко-ореховый, сладковатый и жареный». Партнёр «мёд» относится к группе «Выпечка, сахара и десерты» и даёт медовый, цветочный.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54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54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54" s="28" t="str">
        <x:v>пралине, паста, выпечка, гарнир, соус, молочный или коктейльный компонент с мёд</x:v>
      </x:c>
      <x:c r="J154" s="28" t="str">
        <x:v>Гипотеза / практическая</x:v>
      </x:c>
      <x:c r="K154" s="28" t="str">
        <x:v>Таблица сочетания(1).pdf</x:v>
      </x:c>
      <x:c r="L154" s="28" t="str">
        <x:v>Таблица сочетания(1).pdf: 4</x:v>
      </x:c>
    </x:row>
    <x:row r="155" ht="64" customHeight="1">
      <x:c r="A155" s="28" t="str">
        <x:v>NCT-0196</x:v>
      </x:c>
      <x:c r="B155" s="28" t="str">
        <x:v>кешью</x:v>
      </x:c>
      <x:c r="C155" s="28" t="str">
        <x:v>петрушка</x:v>
      </x:c>
      <x:c r="D155" s="28" t="str">
        <x:v>Травы, цветы и листья</x:v>
      </x:c>
      <x:c r="E155" s="28" t="str">
        <x:v>сенсорная комплементарность</x:v>
      </x:c>
      <x:c r="F155" s="28" t="str">
        <x:v>Кешью имеет профиль «сливочный, мягко-ореховый, сладковатый и жареный». Партнёр «петрушка»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55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55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55" s="28" t="str">
        <x:v>пралине, паста, выпечка, гарнир, соус, молочный или коктейльный компонент с петрушка</x:v>
      </x:c>
      <x:c r="J155" s="28" t="str">
        <x:v>Гипотеза / практическая</x:v>
      </x:c>
      <x:c r="K155" s="28" t="str">
        <x:v>Таблица сочетания(1).pdf</x:v>
      </x:c>
      <x:c r="L155" s="28" t="str">
        <x:v>Таблица сочетания(1).pdf: 4</x:v>
      </x:c>
    </x:row>
    <x:row r="156" ht="64" customHeight="1">
      <x:c r="A156" s="28" t="str">
        <x:v>NCT-0197</x:v>
      </x:c>
      <x:c r="B156" s="28" t="str">
        <x:v>кешью</x:v>
      </x:c>
      <x:c r="C156" s="28" t="str">
        <x:v>сельдерей корневой</x:v>
      </x:c>
      <x:c r="D156" s="28" t="str">
        <x:v>Прочее</x:v>
      </x:c>
      <x:c r="E156" s="28" t="str">
        <x:v>сенсорная комплементарность</x:v>
      </x:c>
      <x:c r="F156" s="28" t="str">
        <x:v>Кешью имеет профиль «сливочный, мягко-ореховый, сладковатый и жареный». Партнёр «сельдерей корневой»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56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56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56" s="28" t="str">
        <x:v>пралине, паста, выпечка, гарнир, соус, молочный или коктейльный компонент с сельдерей корневой</x:v>
      </x:c>
      <x:c r="J156" s="28" t="str">
        <x:v>Средняя</x:v>
      </x:c>
      <x:c r="K156" s="28" t="str">
        <x:v>The Art &amp; Science of Foodpairing.pdf</x:v>
      </x:c>
      <x:c r="L156" s="28" t="str">
        <x:v>The Art &amp; Science of Foodpairing.pdf: 52</x:v>
      </x:c>
    </x:row>
    <x:row r="157" ht="64" customHeight="1">
      <x:c r="A157" s="28" t="str">
        <x:v>NCT-0198</x:v>
      </x:c>
      <x:c r="B157" s="28" t="str">
        <x:v>кешью</x:v>
      </x:c>
      <x:c r="C157" s="28" t="str">
        <x:v>укроп</x:v>
      </x:c>
      <x:c r="D157" s="28" t="str">
        <x:v>Прочее</x:v>
      </x:c>
      <x:c r="E157" s="28" t="str">
        <x:v>сенсорная комплементарность</x:v>
      </x:c>
      <x:c r="F157" s="28" t="str">
        <x:v>Кешью имеет профиль «сливочный, мягко-ореховый, сладковатый и жареный». Партнёр «укроп»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57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57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57" s="28" t="str">
        <x:v>пралине, паста, выпечка, гарнир, соус, молочный или коктейльный компонент с укроп</x:v>
      </x:c>
      <x:c r="J157" s="28" t="str">
        <x:v>Гипотеза / практическая</x:v>
      </x:c>
      <x:c r="K157" s="28" t="str">
        <x:v>Таблица сочетания(1).pdf</x:v>
      </x:c>
      <x:c r="L157" s="28" t="str">
        <x:v>Таблица сочетания(1).pdf: 4</x:v>
      </x:c>
    </x:row>
    <x:row r="158" ht="64" customHeight="1">
      <x:c r="A158" s="28" t="str">
        <x:v>NCT-0199</x:v>
      </x:c>
      <x:c r="B158" s="28" t="str">
        <x:v>кешью</x:v>
      </x:c>
      <x:c r="C158" s="28" t="str">
        <x:v>яблоко</x:v>
      </x:c>
      <x:c r="D158" s="28" t="str">
        <x:v>Фрукты и ягоды</x:v>
      </x:c>
      <x:c r="E158" s="28" t="str">
        <x:v>общие ароматические соединения, контраст кислоты и жирной/горькой матрицы</x:v>
      </x:c>
      <x:c r="F158" s="28" t="str">
        <x:v>Кешью имеет профиль «сливочный, мягко-ореховый, сладковатый и жареный». Партнёр «яблоко»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58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58" s="28" t="str">
        <x:v>аллерген; оболочка сырого ореха содержит раздражающие вещества, поэтому используется обработанный пищевой продукт; избыток кислоты может сделать чай или кофе резкими и разрушить молочную эмульсию</x:v>
      </x:c>
      <x:c r="I158" s="28" t="str">
        <x:v>пралине, паста, выпечка, гарнир, соус, молочный или коктейльный компонент с яблоко</x:v>
      </x:c>
      <x:c r="J158" s="28" t="str">
        <x:v>Гипотеза / практическая</x:v>
      </x:c>
      <x:c r="K158" s="28" t="str">
        <x:v>Таблица сочетания(1).pdf</x:v>
      </x:c>
      <x:c r="L158" s="28" t="str">
        <x:v>Таблица сочетания(1).pdf: 4</x:v>
      </x:c>
    </x:row>
    <x:row r="159" ht="64" customHeight="1">
      <x:c r="A159" s="28" t="str">
        <x:v>NCT-0200</x:v>
      </x:c>
      <x:c r="B159" s="28" t="str">
        <x:v>кешью</x:v>
      </x:c>
      <x:c r="C159" s="28" t="str">
        <x:v>ягоды годжи</x:v>
      </x:c>
      <x:c r="D159" s="28" t="str">
        <x:v>Фрукты и ягоды</x:v>
      </x:c>
      <x:c r="E159" s="28" t="str">
        <x:v>общие ароматические соединения, контраст кислоты и жирной/горькой матрицы</x:v>
      </x:c>
      <x:c r="F159" s="28" t="str">
        <x:v>Кешью имеет профиль «сливочный, мягко-ореховый, сладковатый и жареный». Партнёр «ягоды годжи»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59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59" s="28" t="str">
        <x:v>аллерген; оболочка сырого ореха содержит раздражающие вещества, поэтому используется обработанный пищевой продукт; избыток кислоты может сделать чай или кофе резкими и разрушить молочную эмульсию</x:v>
      </x:c>
      <x:c r="I159" s="28" t="str">
        <x:v>пралине, паста, выпечка, гарнир, соус, молочный или коктейльный компонент с ягоды годжи</x:v>
      </x:c>
      <x:c r="J159" s="28" t="str">
        <x:v>Гипотеза / практическая</x:v>
      </x:c>
      <x:c r="K159" s="28" t="str">
        <x:v>Таблица сочетания(1).pdf</x:v>
      </x:c>
      <x:c r="L159" s="28" t="str">
        <x:v>Таблица сочетания(1).pdf: 8</x:v>
      </x:c>
    </x:row>
    <x:row r="160" ht="64" customHeight="1">
      <x:c r="A160" s="28" t="str">
        <x:v>NCT-0295</x:v>
      </x:c>
      <x:c r="B160" s="28" t="str">
        <x:v>макадамия</x:v>
      </x:c>
      <x:c r="C160" s="28" t="str">
        <x:v>bacon</x:v>
      </x:c>
      <x:c r="D160" s="28" t="str">
        <x:v>Мясо и птица</x:v>
      </x:c>
      <x:c r="E160" s="28" t="str">
        <x:v>общие ароматические соединения, жареная химия и реакции Майяра, солёно-умами контраст</x:v>
      </x:c>
      <x:c r="F160" s="28" t="str">
        <x:v>Макадамия имеет профиль «сливочный, маслянистый, сладко-ореховый и мягко-жареный». Партнёр «bacon»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160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160" s="28" t="str">
        <x:v>аллерген; высокая энергетическая плотность и прогоркание</x:v>
      </x:c>
      <x:c r="I160" s="28" t="str">
        <x:v>пралине, паста, выпечка, гарнир, соус, молочный или коктейльный компонент с bacon</x:v>
      </x:c>
      <x:c r="J160" s="28" t="str">
        <x:v>Высокая</x:v>
      </x:c>
      <x:c r="K160" s="28" t="str">
        <x:v>The Art &amp; Science of Foodpairing.pdf</x:v>
      </x:c>
      <x:c r="L160" s="28" t="str">
        <x:v>The Art &amp; Science of Foodpairing.pdf: 188</x:v>
      </x:c>
    </x:row>
    <x:row r="161" ht="64" customHeight="1">
      <x:c r="A161" s="28" t="str">
        <x:v>NCT-0296</x:v>
      </x:c>
      <x:c r="B161" s="28" t="str">
        <x:v>макадамия</x:v>
      </x:c>
      <x:c r="C161" s="28" t="str">
        <x:v>ананас</x:v>
      </x:c>
      <x:c r="D161" s="28" t="str">
        <x:v>Прочее</x:v>
      </x:c>
      <x:c r="E161" s="28" t="str">
        <x:v>сенсорная комплементарность</x:v>
      </x:c>
      <x:c r="F161" s="28" t="str">
        <x:v>Макадамия имеет профиль «сливочный, маслянистый, сладко-ореховый и мягко-жареный». Партнёр «ананас»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61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161" s="28" t="str">
        <x:v>аллерген; высокая энергетическая плотность и прогоркание</x:v>
      </x:c>
      <x:c r="I161" s="28" t="str">
        <x:v>пралине, паста, выпечка, гарнир, соус, молочный или коктейльный компонент с ананас</x:v>
      </x:c>
      <x:c r="J161" s="28" t="str">
        <x:v>Гипотеза / практическая</x:v>
      </x:c>
      <x:c r="K161" s="28" t="str">
        <x:v>Таблица сочетания(1).pdf</x:v>
      </x:c>
      <x:c r="L161" s="28" t="str">
        <x:v>Таблица сочетания(1).pdf: 17</x:v>
      </x:c>
    </x:row>
    <x:row r="162" ht="64" customHeight="1">
      <x:c r="A162" s="28" t="str">
        <x:v>NCT-0297</x:v>
      </x:c>
      <x:c r="B162" s="28" t="str">
        <x:v>макадамия</x:v>
      </x:c>
      <x:c r="C162" s="28" t="str">
        <x:v>банан</x:v>
      </x:c>
      <x:c r="D162" s="28" t="str">
        <x:v>Фрукты и ягоды</x:v>
      </x:c>
      <x:c r="E162" s="28" t="str">
        <x:v>пересечение ароматических семейств, контраст кислоты и жирной/горькой матрицы</x:v>
      </x:c>
      <x:c r="F162" s="28" t="str">
        <x:v>Макадамия имеет профиль «сливочный, маслянистый, сладко-ореховый и мягко-жареный». Партнёр «банан» относится к группе «Фрукты и ягоды» и даёт сливочный, фруктовый. Профили пересекаются в семействах: сливочный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сливочный; механизм не следует сводить к одной общей молекуле.</x:v>
      </x:c>
      <x:c r="G162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162" s="28" t="str">
        <x:v>аллерген; высокая энергетическая плотность и прогоркание; избыток кислоты может сделать чай или кофе резкими и разрушить молочную эмульсию</x:v>
      </x:c>
      <x:c r="I162" s="28" t="str">
        <x:v>пралине, паста, выпечка, гарнир, соус, молочный или коктейльный компонент с банан</x:v>
      </x:c>
      <x:c r="J162" s="28" t="str">
        <x:v>Гипотеза / практическая</x:v>
      </x:c>
      <x:c r="K162" s="28" t="str">
        <x:v>Таблица сочетания(1).pdf</x:v>
      </x:c>
      <x:c r="L162" s="28" t="str">
        <x:v>Таблица сочетания(1).pdf: 2</x:v>
      </x:c>
    </x:row>
    <x:row r="163" ht="64" customHeight="1">
      <x:c r="A163" s="28" t="str">
        <x:v>NCT-0298</x:v>
      </x:c>
      <x:c r="B163" s="28" t="str">
        <x:v>макадамия</x:v>
      </x:c>
      <x:c r="C163" s="28" t="str">
        <x:v>вишня</x:v>
      </x:c>
      <x:c r="D163" s="28" t="str">
        <x:v>Фрукты и ягоды</x:v>
      </x:c>
      <x:c r="E163" s="28" t="str">
        <x:v>контраст кислоты и жирной/горькой матрицы</x:v>
      </x:c>
      <x:c r="F163" s="28" t="str">
        <x:v>Макадамия имеет профиль «сливочный, маслянистый, сладко-ореховый и мягко-жареный». Партнёр «вишня» относится к группе «Фрукты и ягоды» и даёт миндальный,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63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163" s="28" t="str">
        <x:v>аллерген; высокая энергетическая плотность и прогоркание; избыток кислоты может сделать чай или кофе резкими и разрушить молочную эмульсию</x:v>
      </x:c>
      <x:c r="I163" s="28" t="str">
        <x:v>пралине, паста, выпечка, гарнир, соус, молочный или коктейльный компонент с вишня</x:v>
      </x:c>
      <x:c r="J163" s="28" t="str">
        <x:v>Гипотеза / практическая</x:v>
      </x:c>
      <x:c r="K163" s="28" t="str">
        <x:v>Таблица сочетания(1).pdf</x:v>
      </x:c>
      <x:c r="L163" s="28" t="str">
        <x:v>Таблица сочетания(1).pdf: 12</x:v>
      </x:c>
    </x:row>
    <x:row r="164" ht="64" customHeight="1">
      <x:c r="A164" s="28" t="str">
        <x:v>NCT-0299</x:v>
      </x:c>
      <x:c r="B164" s="28" t="str">
        <x:v>макадамия</x:v>
      </x:c>
      <x:c r="C164" s="28" t="str">
        <x:v>груша</x:v>
      </x:c>
      <x:c r="D164" s="28" t="str">
        <x:v>Фрукты и ягоды</x:v>
      </x:c>
      <x:c r="E164" s="28" t="str">
        <x:v>общие ароматические соединения, контраст кислоты и жирной/горькой матрицы</x:v>
      </x:c>
      <x:c r="F164" s="28" t="str">
        <x:v>Макадамия имеет профиль «сливочный, маслянистый, сладко-ореховый и мягко-жареный». Партнёр «груша»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64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164" s="28" t="str">
        <x:v>аллерген; высокая энергетическая плотность и прогоркание; избыток кислоты может сделать чай или кофе резкими и разрушить молочную эмульсию</x:v>
      </x:c>
      <x:c r="I164" s="28" t="str">
        <x:v>пралине, паста, выпечка, гарнир, соус, молочный или коктейльный компонент с груша</x:v>
      </x:c>
      <x:c r="J164" s="28" t="str">
        <x:v>Гипотеза / практическая</x:v>
      </x:c>
      <x:c r="K164" s="28" t="str">
        <x:v>Таблица сочетания(1).pdf</x:v>
      </x:c>
      <x:c r="L164" s="28" t="str">
        <x:v>Таблица сочетания(1).pdf: 16</x:v>
      </x:c>
    </x:row>
    <x:row r="165" ht="64" customHeight="1">
      <x:c r="A165" s="28" t="str">
        <x:v>NCT-0300</x:v>
      </x:c>
      <x:c r="B165" s="28" t="str">
        <x:v>макадамия</x:v>
      </x:c>
      <x:c r="C165" s="28" t="str">
        <x:v>имбирь</x:v>
      </x:c>
      <x:c r="D165" s="28" t="str">
        <x:v>Специи</x:v>
      </x:c>
      <x:c r="E165" s="28" t="str">
        <x:v>сенсорная комплементарность</x:v>
      </x:c>
      <x:c r="F165" s="28" t="str">
        <x:v>Макадамия имеет профиль «сливочный, маслянистый, сладко-ореховый и мягко-жареный». Партнёр «имбирь» относится к группе «Специи» и даёт пряный, тёплый,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65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165" s="28" t="str">
        <x:v>аллерген; высокая энергетическая плотность и прогоркание</x:v>
      </x:c>
      <x:c r="I165" s="28" t="str">
        <x:v>пралине, паста, выпечка, гарнир, соус, молочный или коктейльный компонент с имбирь</x:v>
      </x:c>
      <x:c r="J165" s="28" t="str">
        <x:v>Гипотеза / практическая</x:v>
      </x:c>
      <x:c r="K165" s="28" t="str">
        <x:v>Таблица сочетания(1).pdf</x:v>
      </x:c>
      <x:c r="L165" s="28" t="str">
        <x:v>Таблица сочетания(1).pdf: 12</x:v>
      </x:c>
    </x:row>
    <x:row r="166" ht="64" customHeight="1">
      <x:c r="A166" s="28" t="str">
        <x:v>NCT-0301</x:v>
      </x:c>
      <x:c r="B166" s="28" t="str">
        <x:v>макадамия</x:v>
      </x:c>
      <x:c r="C166" s="28" t="str">
        <x:v>кайенский перец</x:v>
      </x:c>
      <x:c r="D166" s="28" t="str">
        <x:v>Специи</x:v>
      </x:c>
      <x:c r="E166" s="28" t="str">
        <x:v>сенсорная комплементарность</x:v>
      </x:c>
      <x:c r="F166" s="28" t="str">
        <x:v>Макадамия имеет профиль «сливочный, маслянистый, сладко-ореховый и мягко-жареный». Партнёр «кайенский перец»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66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166" s="28" t="str">
        <x:v>аллерген; высокая энергетическая плотность и прогоркание</x:v>
      </x:c>
      <x:c r="I166" s="28" t="str">
        <x:v>пралине, паста, выпечка, гарнир, соус, молочный или коктейльный компонент с кайенский перец</x:v>
      </x:c>
      <x:c r="J166" s="28" t="str">
        <x:v>Гипотеза / практическая</x:v>
      </x:c>
      <x:c r="K166" s="28" t="str">
        <x:v>Таблица сочетания(1).pdf</x:v>
      </x:c>
      <x:c r="L166" s="28" t="str">
        <x:v>Таблица сочетания(1).pdf: 12</x:v>
      </x:c>
    </x:row>
    <x:row r="167" ht="64" customHeight="1">
      <x:c r="A167" s="28" t="str">
        <x:v>NCT-0302</x:v>
      </x:c>
      <x:c r="B167" s="28" t="str">
        <x:v>макадамия</x:v>
      </x:c>
      <x:c r="C167" s="28" t="str">
        <x:v>киви</x:v>
      </x:c>
      <x:c r="D167" s="28" t="str">
        <x:v>Фрукты и ягоды</x:v>
      </x:c>
      <x:c r="E167" s="28" t="str">
        <x:v>общие ароматические соединения, контраст кислоты и жирной/горькой матрицы</x:v>
      </x:c>
      <x:c r="F167" s="28" t="str">
        <x:v>Макадамия имеет профиль «сливочный, маслянистый, сладко-ореховый и мягко-жареный». Партнёр «киви»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67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167" s="28" t="str">
        <x:v>аллерген; высокая энергетическая плотность и прогоркание; избыток кислоты может сделать чай или кофе резкими и разрушить молочную эмульсию</x:v>
      </x:c>
      <x:c r="I167" s="28" t="str">
        <x:v>пралине, паста, выпечка, гарнир, соус, молочный или коктейльный компонент с киви</x:v>
      </x:c>
      <x:c r="J167" s="28" t="str">
        <x:v>Гипотеза / практическая</x:v>
      </x:c>
      <x:c r="K167" s="28" t="str">
        <x:v>Таблица сочетания(1).pdf</x:v>
      </x:c>
      <x:c r="L167" s="28" t="str">
        <x:v>Таблица сочетания(1).pdf: 10</x:v>
      </x:c>
    </x:row>
    <x:row r="168" ht="64" customHeight="1">
      <x:c r="A168" s="28" t="str">
        <x:v>NCT-0303</x:v>
      </x:c>
      <x:c r="B168" s="28" t="str">
        <x:v>макадамия</x:v>
      </x:c>
      <x:c r="C168" s="28" t="str">
        <x:v>кленовый сироп</x:v>
      </x:c>
      <x:c r="D168" s="28" t="str">
        <x:v>Выпечка, сахара и десерты</x:v>
      </x:c>
      <x:c r="E168" s="28" t="str">
        <x:v>общие ароматические соединения, жареная химия и реакции Майяра</x:v>
      </x:c>
      <x:c r="F168" s="28" t="str">
        <x:v>Макадамия имеет профиль «сливочный, маслянистый, сладко-ореховый и мягко-жареный».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пиразины, фураны.</x:v>
      </x:c>
      <x:c r="G168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168" s="28" t="str">
        <x:v>аллерген; высокая энергетическая плотность и прогоркание</x:v>
      </x:c>
      <x:c r="I168" s="28" t="str">
        <x:v>пралине, паста, выпечка, гарнир, соус, молочный или коктейльный компонент с кленовый сироп</x:v>
      </x:c>
      <x:c r="J168" s="28" t="str">
        <x:v>Гипотеза / практическая</x:v>
      </x:c>
      <x:c r="K168" s="28" t="str">
        <x:v>Таблица сочетания(1).pdf</x:v>
      </x:c>
      <x:c r="L168" s="28" t="str">
        <x:v>Таблица сочетания(1).pdf: 12</x:v>
      </x:c>
    </x:row>
    <x:row r="169" ht="64" customHeight="1">
      <x:c r="A169" s="28" t="str">
        <x:v>NCT-0304</x:v>
      </x:c>
      <x:c r="B169" s="28" t="str">
        <x:v>макадамия</x:v>
      </x:c>
      <x:c r="C169" s="28" t="str">
        <x:v>клубника</x:v>
      </x:c>
      <x:c r="D169" s="28" t="str">
        <x:v>Прочее</x:v>
      </x:c>
      <x:c r="E169" s="28" t="str">
        <x:v>сенсорная комплементарность</x:v>
      </x:c>
      <x:c r="F169" s="28" t="str">
        <x:v>Макадамия имеет профиль «сливочный, маслянистый, сладко-ореховый и мягко-жареный». Партнёр «клубника» относится к группе «Прочее» и даёт зелёный, карамельный, фруктовый.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69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169" s="28" t="str">
        <x:v>аллерген; высокая энергетическая плотность и прогоркание</x:v>
      </x:c>
      <x:c r="I169" s="28" t="str">
        <x:v>пралине, паста, выпечка, гарнир, соус, молочный или коктейльный компонент с клубника</x:v>
      </x:c>
      <x:c r="J169" s="28" t="str">
        <x:v>Гипотеза / практическая</x:v>
      </x:c>
      <x:c r="K169" s="28" t="str">
        <x:v>Таблица сочетания(1).pdf</x:v>
      </x:c>
      <x:c r="L169" s="28" t="str">
        <x:v>Таблица сочетания(1).pdf: 12</x:v>
      </x:c>
    </x:row>
    <x:row r="170" ht="64" customHeight="1">
      <x:c r="A170" s="28" t="str">
        <x:v>NCT-0305</x:v>
      </x:c>
      <x:c r="B170" s="28" t="str">
        <x:v>макадамия</x:v>
      </x:c>
      <x:c r="C170" s="28" t="str">
        <x:v>кумин (зира)</x:v>
      </x:c>
      <x:c r="D170" s="28" t="str">
        <x:v>Прочее</x:v>
      </x:c>
      <x:c r="E170" s="28" t="str">
        <x:v>сенсорная комплементарность</x:v>
      </x:c>
      <x:c r="F170" s="28" t="str">
        <x:v>Макадамия имеет профиль «сливочный, маслянистый, сладко-ореховый и мягко-жареный». Партнёр «кумин (зира)»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70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170" s="28" t="str">
        <x:v>аллерген; высокая энергетическая плотность и прогоркание</x:v>
      </x:c>
      <x:c r="I170" s="28" t="str">
        <x:v>пралине, паста, выпечка, гарнир, соус, молочный или коктейльный компонент с кумин (зира)</x:v>
      </x:c>
      <x:c r="J170" s="28" t="str">
        <x:v>Гипотеза / практическая</x:v>
      </x:c>
      <x:c r="K170" s="28" t="str">
        <x:v>Таблица сочетания(1).pdf</x:v>
      </x:c>
      <x:c r="L170" s="28" t="str">
        <x:v>Таблица сочетания(1).pdf: 12</x:v>
      </x:c>
    </x:row>
    <x:row r="171" ht="64" customHeight="1">
      <x:c r="A171" s="28" t="str">
        <x:v>NCT-0306</x:v>
      </x:c>
      <x:c r="B171" s="28" t="str">
        <x:v>макадамия</x:v>
      </x:c>
      <x:c r="C171" s="28" t="str">
        <x:v>маракуйя</x:v>
      </x:c>
      <x:c r="D171" s="28" t="str">
        <x:v>Прочее</x:v>
      </x:c>
      <x:c r="E171" s="28" t="str">
        <x:v>сенсорная комплементарность</x:v>
      </x:c>
      <x:c r="F171" s="28" t="str">
        <x:v>Макадамия имеет профиль «сливочный, маслянистый, сладко-ореховый и мягко-жареный». Партнёр «маракуйя»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71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171" s="28" t="str">
        <x:v>аллерген; высокая энергетическая плотность и прогоркание</x:v>
      </x:c>
      <x:c r="I171" s="28" t="str">
        <x:v>пралине, паста, выпечка, гарнир, соус, молочный или коктейльный компонент с маракуйя</x:v>
      </x:c>
      <x:c r="J171" s="28" t="str">
        <x:v>Гипотеза / практическая</x:v>
      </x:c>
      <x:c r="K171" s="28" t="str">
        <x:v>Таблица сочетания(1).pdf</x:v>
      </x:c>
      <x:c r="L171" s="28" t="str">
        <x:v>Таблица сочетания(1).pdf: 15</x:v>
      </x:c>
    </x:row>
    <x:row r="172" ht="64" customHeight="1">
      <x:c r="A172" s="28" t="str">
        <x:v>NCT-0307</x:v>
      </x:c>
      <x:c r="B172" s="28" t="str">
        <x:v>макадамия</x:v>
      </x:c>
      <x:c r="C172" s="28" t="str">
        <x:v>мята</x:v>
      </x:c>
      <x:c r="D172" s="28" t="str">
        <x:v>Травы, цветы и листья</x:v>
      </x:c>
      <x:c r="E172" s="28" t="str">
        <x:v>сенсорная комплементарность</x:v>
      </x:c>
      <x:c r="F172" s="28" t="str">
        <x:v>Макадамия имеет профиль «сливочный, маслянистый, сладко-ореховый и мягко-жареный». Партнёр «мята» относится к группе «Травы, цветы и листья» и даёт зелёный, холодящий.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72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172" s="28" t="str">
        <x:v>аллерген; высокая энергетическая плотность и прогоркание</x:v>
      </x:c>
      <x:c r="I172" s="28" t="str">
        <x:v>пралине, паста, выпечка, гарнир, соус, молочный или коктейльный компонент с мята</x:v>
      </x:c>
      <x:c r="J172" s="28" t="str">
        <x:v>Гипотеза / практическая</x:v>
      </x:c>
      <x:c r="K172" s="28" t="str">
        <x:v>Таблица сочетания(1).pdf</x:v>
      </x:c>
      <x:c r="L172" s="28" t="str">
        <x:v>Таблица сочетания(1).pdf: 12</x:v>
      </x:c>
    </x:row>
    <x:row r="173" ht="64" customHeight="1">
      <x:c r="A173" s="28" t="str">
        <x:v>NCT-0308</x:v>
      </x:c>
      <x:c r="B173" s="28" t="str">
        <x:v>макадамия</x:v>
      </x:c>
      <x:c r="C173" s="28" t="str">
        <x:v>папайя</x:v>
      </x:c>
      <x:c r="D173" s="28" t="str">
        <x:v>Прочее</x:v>
      </x:c>
      <x:c r="E173" s="28" t="str">
        <x:v>сенсорная комплементарность</x:v>
      </x:c>
      <x:c r="F173" s="28" t="str">
        <x:v>Макадамия имеет профиль «сливочный, маслянистый, сладко-ореховый и мягко-жареный». Партнёр «папайя»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73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173" s="28" t="str">
        <x:v>аллерген; высокая энергетическая плотность и прогоркание</x:v>
      </x:c>
      <x:c r="I173" s="28" t="str">
        <x:v>пралине, паста, выпечка, гарнир, соус, молочный или коктейльный компонент с папайя</x:v>
      </x:c>
      <x:c r="J173" s="28" t="str">
        <x:v>Гипотеза / практическая</x:v>
      </x:c>
      <x:c r="K173" s="28" t="str">
        <x:v>Таблица сочетания(1).pdf</x:v>
      </x:c>
      <x:c r="L173" s="28" t="str">
        <x:v>Таблица сочетания(1).pdf: 15</x:v>
      </x:c>
    </x:row>
    <x:row r="174" ht="64" customHeight="1">
      <x:c r="A174" s="28" t="str">
        <x:v>NCT-0309</x:v>
      </x:c>
      <x:c r="B174" s="28" t="str">
        <x:v>макадамия</x:v>
      </x:c>
      <x:c r="C174" s="28" t="str">
        <x:v>персик</x:v>
      </x:c>
      <x:c r="D174" s="28" t="str">
        <x:v>Фрукты и ягоды</x:v>
      </x:c>
      <x:c r="E174" s="28" t="str">
        <x:v>общие ароматические соединения, контраст кислоты и жирной/горькой матрицы</x:v>
      </x:c>
      <x:c r="F174" s="28" t="str">
        <x:v>Макадамия имеет профиль «сливочный, маслянистый, сладко-ореховый и мягко-жареный». Партнёр «персик» относится к группе «Фрукты и ягоды» и даёт лактонный, фруктовый, цветочный. Молекулярный мост создают лактоны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лактоны.</x:v>
      </x:c>
      <x:c r="G174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174" s="28" t="str">
        <x:v>аллерген; высокая энергетическая плотность и прогоркание; избыток кислоты может сделать чай или кофе резкими и разрушить молочную эмульсию</x:v>
      </x:c>
      <x:c r="I174" s="28" t="str">
        <x:v>пралине, паста, выпечка, гарнир, соус, молочный или коктейльный компонент с персик</x:v>
      </x:c>
      <x:c r="J174" s="28" t="str">
        <x:v>Гипотеза / практическая</x:v>
      </x:c>
      <x:c r="K174" s="28" t="str">
        <x:v>Таблица сочетания(1).pdf</x:v>
      </x:c>
      <x:c r="L174" s="28" t="str">
        <x:v>Таблица сочетания(1).pdf: 12</x:v>
      </x:c>
    </x:row>
    <x:row r="175" ht="64" customHeight="1">
      <x:c r="A175" s="28" t="str">
        <x:v>NCT-0310</x:v>
      </x:c>
      <x:c r="B175" s="28" t="str">
        <x:v>макадамия</x:v>
      </x:c>
      <x:c r="C175" s="28" t="str">
        <x:v>слива</x:v>
      </x:c>
      <x:c r="D175" s="28" t="str">
        <x:v>Фрукты и ягоды</x:v>
      </x:c>
      <x:c r="E175" s="28" t="str">
        <x:v>общие ароматические соединения, контраст кислоты и жирной/горькой матрицы</x:v>
      </x:c>
      <x:c r="F175" s="28" t="str">
        <x:v>Макадамия имеет профиль «сливочный, маслянистый, сладко-ореховый и мягко-жареный». Партнёр «слива»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75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175" s="28" t="str">
        <x:v>аллерген; высокая энергетическая плотность и прогоркание; избыток кислоты может сделать чай или кофе резкими и разрушить молочную эмульсию</x:v>
      </x:c>
      <x:c r="I175" s="28" t="str">
        <x:v>пралине, паста, выпечка, гарнир, соус, молочный или коктейльный компонент с слива</x:v>
      </x:c>
      <x:c r="J175" s="28" t="str">
        <x:v>Гипотеза / практическая</x:v>
      </x:c>
      <x:c r="K175" s="28" t="str">
        <x:v>Таблица сочетания(1).pdf</x:v>
      </x:c>
      <x:c r="L175" s="28" t="str">
        <x:v>Таблица сочетания(1).pdf: 12</x:v>
      </x:c>
    </x:row>
    <x:row r="176" ht="64" customHeight="1">
      <x:c r="A176" s="28" t="str">
        <x:v>NCT-0311</x:v>
      </x:c>
      <x:c r="B176" s="28" t="str">
        <x:v>миндаль</x:v>
      </x:c>
      <x:c r="C176" s="28" t="str">
        <x:v>baechu kimchi</x:v>
      </x:c>
      <x:c r="D176" s="28" t="str">
        <x:v>Ферментированные продукты и соусы</x:v>
      </x:c>
      <x:c r="E176" s="28" t="str">
        <x:v>общие ароматические соединения, пересечение ароматических семейств, солёно-умами контраст</x:v>
      </x:c>
      <x:c r="F176" s="28" t="str">
        <x:v>Миндаль имеет профиль «ореховый, сладкий, марципановый, слегка зелёный; после обжарки — карамельный и жареный». Партнёр «baechu kimchi»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17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76" s="28" t="str">
        <x:v>аллерген; быстро прогоркает после помола; горький миндаль и ядра косточковых не взаимозаменяемы</x:v>
      </x:c>
      <x:c r="I176" s="28" t="str">
        <x:v>пралине, паста, выпечка, гарнир, соус, молочный или коктейльный компонент с baechu kimchi</x:v>
      </x:c>
      <x:c r="J176" s="28" t="str">
        <x:v>Средняя</x:v>
      </x:c>
      <x:c r="K176" s="28" t="str">
        <x:v>The Art &amp; Science of Foodpairing.pdf</x:v>
      </x:c>
      <x:c r="L176" s="28" t="str">
        <x:v>The Art &amp; Science of Foodpairing.pdf: 305</x:v>
      </x:c>
    </x:row>
    <x:row r="177" ht="64" customHeight="1">
      <x:c r="A177" s="28" t="str">
        <x:v>NCT-0312</x:v>
      </x:c>
      <x:c r="B177" s="28" t="str">
        <x:v>миндаль</x:v>
      </x:c>
      <x:c r="C177" s="28" t="str">
        <x:v>brie and camembert</x:v>
      </x:c>
      <x:c r="D177" s="28" t="str">
        <x:v>Молочные продукты и сыры</x:v>
      </x:c>
      <x:c r="E177" s="28" t="str">
        <x:v>жировая экстракция и связывание полифенолов белком</x:v>
      </x:c>
      <x:c r="F177" s="28" t="str">
        <x:v>Миндаль имеет профиль «ореховый, сладкий, марципановый, слегка зелёный; после обжарки — карамельный и жареный». Партнёр «brie and camembert»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7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77" s="28" t="str">
        <x:v>аллерген; быстро прогоркает после помола; горький миндаль и ядра косточковых не взаимозаменяемы; жир способен приглушить тонкую ароматику; белок связывает полифенолы</x:v>
      </x:c>
      <x:c r="I177" s="28" t="str">
        <x:v>пралине, паста, выпечка, гарнир, соус, молочный или коктейльный компонент с brie and camembert</x:v>
      </x:c>
      <x:c r="J177" s="28" t="str">
        <x:v>Средняя</x:v>
      </x:c>
      <x:c r="K177" s="28" t="str">
        <x:v>The Art &amp; Science of Foodpairing.pdf</x:v>
      </x:c>
      <x:c r="L177" s="28" t="str">
        <x:v>The Art &amp; Science of Foodpairing.pdf: 336</x:v>
      </x:c>
    </x:row>
    <x:row r="178" ht="64" customHeight="1">
      <x:c r="A178" s="28" t="str">
        <x:v>NCT-0313</x:v>
      </x:c>
      <x:c r="B178" s="28" t="str">
        <x:v>миндаль</x:v>
      </x:c>
      <x:c r="C178" s="28" t="str">
        <x:v>carrot</x:v>
      </x:c>
      <x:c r="D178" s="28" t="str">
        <x:v>Овощи, бобовые и грибы</x:v>
      </x:c>
      <x:c r="E178" s="28" t="str">
        <x:v>сенсорная комплементарность</x:v>
      </x:c>
      <x:c r="F178" s="28" t="str">
        <x:v>Миндаль имеет профиль «ореховый, сладкий, марципановый, слегка зелёный; после обжарки — карамельный и жареный». Партнёр «carrot»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7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78" s="28" t="str">
        <x:v>аллерген; быстро прогоркает после помола; горький миндаль и ядра косточковых не взаимозаменяемы</x:v>
      </x:c>
      <x:c r="I178" s="28" t="str">
        <x:v>пралине, паста, выпечка, гарнир, соус, молочный или коктейльный компонент с carrot</x:v>
      </x:c>
      <x:c r="J178" s="28" t="str">
        <x:v>Средняя</x:v>
      </x:c>
      <x:c r="K178" s="28" t="str">
        <x:v>The Art &amp; Science of Foodpairing.pdf</x:v>
      </x:c>
      <x:c r="L178" s="28" t="str">
        <x:v>The Art &amp; Science of Foodpairing.pdf: 232</x:v>
      </x:c>
    </x:row>
    <x:row r="179" ht="64" customHeight="1">
      <x:c r="A179" s="28" t="str">
        <x:v>NCT-0314</x:v>
      </x:c>
      <x:c r="B179" s="28" t="str">
        <x:v>миндаль</x:v>
      </x:c>
      <x:c r="C179" s="28" t="str">
        <x:v>chilli peppers</x:v>
      </x:c>
      <x:c r="D179" s="28" t="str">
        <x:v>Специи</x:v>
      </x:c>
      <x:c r="E179" s="28" t="str">
        <x:v>сенсорная комплементарность</x:v>
      </x:c>
      <x:c r="F179" s="28" t="str">
        <x:v>Миндаль имеет профиль «ореховый, сладкий, марципановый, слегка зелёный; после обжарки — карамельный и жареный». Партнёр «chilli peppers»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7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79" s="28" t="str">
        <x:v>аллерген; быстро прогоркает после помола; горький миндаль и ядра косточковых не взаимозаменяемы</x:v>
      </x:c>
      <x:c r="I179" s="28" t="str">
        <x:v>пралине, паста, выпечка, гарнир, соус, молочный или коктейльный компонент с chilli peppers</x:v>
      </x:c>
      <x:c r="J179" s="28" t="str">
        <x:v>Средняя</x:v>
      </x:c>
      <x:c r="K179" s="28" t="str">
        <x:v>The Art &amp; Science of Foodpairing.pdf</x:v>
      </x:c>
      <x:c r="L179" s="28" t="str">
        <x:v>The Art &amp; Science of Foodpairing.pdf: 94</x:v>
      </x:c>
    </x:row>
    <x:row r="180" ht="64" customHeight="1">
      <x:c r="A180" s="28" t="str">
        <x:v>NCT-0315</x:v>
      </x:c>
      <x:c r="B180" s="28" t="str">
        <x:v>миндаль</x:v>
      </x:c>
      <x:c r="C180" s="28" t="str">
        <x:v>cognac</x:v>
      </x:c>
      <x:c r="D180" s="28" t="str">
        <x:v>Алкогольные напитки</x:v>
      </x:c>
      <x:c r="E180" s="28" t="str">
        <x:v>сенсорная комплементарность</x:v>
      </x:c>
      <x:c r="F180" s="28" t="str">
        <x:v>Миндаль имеет профиль «ореховый, сладкий, марципановый, слегка зелёный; после обжарки — карамельный и жареный». Партнёр «cognac» относится к группе «Алкогольные напитки» и даёт спиртовой, фруктовый или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8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80" s="28" t="str">
        <x:v>аллерген; быстро прогоркает после помола; горький миндаль и ядра косточковых не взаимозаменяемы</x:v>
      </x:c>
      <x:c r="I180" s="28" t="str">
        <x:v>пралине, паста, выпечка, гарнир, соус, молочный или коктейльный компонент с cognac</x:v>
      </x:c>
      <x:c r="J180" s="28" t="str">
        <x:v>Средняя</x:v>
      </x:c>
      <x:c r="K180" s="28" t="str">
        <x:v>The Art &amp; Science of Foodpairing.pdf</x:v>
      </x:c>
      <x:c r="L180" s="28" t="str">
        <x:v>The Art &amp; Science of Foodpairing.pdf: 123</x:v>
      </x:c>
    </x:row>
    <x:row r="181" ht="64" customHeight="1">
      <x:c r="A181" s="28" t="str">
        <x:v>NCT-0316</x:v>
      </x:c>
      <x:c r="B181" s="28" t="str">
        <x:v>миндаль</x:v>
      </x:c>
      <x:c r="C181" s="28" t="str">
        <x:v>duck</x:v>
      </x:c>
      <x:c r="D181" s="28" t="str">
        <x:v>Мясо и птица</x:v>
      </x:c>
      <x:c r="E181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81" s="28" t="str">
        <x:v>Миндаль имеет профиль «ореховый, сладкий, марципановый, слегка зелёный; после обжарки — карамельный и жареный». Партнёр «duck»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18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81" s="28" t="str">
        <x:v>аллерген; быстро прогоркает после помола; горький миндаль и ядра косточковых не взаимозаменяемы</x:v>
      </x:c>
      <x:c r="I181" s="28" t="str">
        <x:v>пралине, паста, выпечка, гарнир, соус, молочный или коктейльный компонент с duck</x:v>
      </x:c>
      <x:c r="J181" s="28" t="str">
        <x:v>Высокая</x:v>
      </x:c>
      <x:c r="K181" s="28" t="str">
        <x:v>The Art &amp; Science of Foodpairing.pdf</x:v>
      </x:c>
      <x:c r="L181" s="28" t="str">
        <x:v>The Art &amp; Science of Foodpairing.pdf: 346</x:v>
      </x:c>
    </x:row>
    <x:row r="182" ht="64" customHeight="1">
      <x:c r="A182" s="28" t="str">
        <x:v>NCT-0317</x:v>
      </x:c>
      <x:c r="B182" s="28" t="str">
        <x:v>миндаль</x:v>
      </x:c>
      <x:c r="C182" s="28" t="str">
        <x:v>абрикос</x:v>
      </x:c>
      <x:c r="D182" s="28" t="str">
        <x:v>Фрукты и ягоды</x:v>
      </x:c>
      <x:c r="E182" s="28" t="str">
        <x:v>общие ароматические соединения, контраст кислоты и жирной/горькой матрицы</x:v>
      </x:c>
      <x:c r="F182" s="28" t="str">
        <x:v>Миндаль имеет профиль «ореховый, сладкий, марципановый, слегка зелёный; после обжарки — карамельный и жареный». Партнёр «абрикос» относится к группе «Фрукты и ягоды» и даёт лактонный, миндальный, фруктовый. Молекулярный мост создают бензальдегид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бензальдегид.</x:v>
      </x:c>
      <x:c r="G18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82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182" s="28" t="str">
        <x:v>пралине, паста, выпечка, гарнир, соус, молочный или коктейльный компонент с абрикос</x:v>
      </x:c>
      <x:c r="J182" s="28" t="str">
        <x:v>Высокая</x:v>
      </x:c>
      <x:c r="K182" s="28" t="str">
        <x:v>Таблица сочетания(1).pdf | Тезариус вкусов (Ники Сегнит)(1).pdf</x:v>
      </x:c>
      <x:c r="L182" s="28" t="str">
        <x:v>Таблица сочетания(1).pdf: 1; Тезариус вкусов (Ники Сегнит)(1).pdf: 641, 743</x:v>
      </x:c>
    </x:row>
    <x:row r="183" ht="64" customHeight="1">
      <x:c r="A183" s="28" t="str">
        <x:v>NCT-0318</x:v>
      </x:c>
      <x:c r="B183" s="28" t="str">
        <x:v>миндаль</x:v>
      </x:c>
      <x:c r="C183" s="28" t="str">
        <x:v>агава</x:v>
      </x:c>
      <x:c r="D183" s="28" t="str">
        <x:v>Прочее</x:v>
      </x:c>
      <x:c r="E183" s="28" t="str">
        <x:v>сенсорная комплементарность</x:v>
      </x:c>
      <x:c r="F183" s="28" t="str">
        <x:v>Миндаль имеет профиль «ореховый, сладкий, марципановый, слегка зелёный; после обжарки — карамельный и жареный». Партнёр «агава»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8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83" s="28" t="str">
        <x:v>аллерген; быстро прогоркает после помола; горький миндаль и ядра косточковых не взаимозаменяемы</x:v>
      </x:c>
      <x:c r="I183" s="28" t="str">
        <x:v>пралине, паста, выпечка, гарнир, соус, молочный или коктейльный компонент с агава</x:v>
      </x:c>
      <x:c r="J183" s="28" t="str">
        <x:v>Гипотеза / практическая</x:v>
      </x:c>
      <x:c r="K183" s="28" t="str">
        <x:v>Таблица сочетания(1).pdf</x:v>
      </x:c>
      <x:c r="L183" s="28" t="str">
        <x:v>Таблица сочетания(1).pdf: 1</x:v>
      </x:c>
    </x:row>
    <x:row r="184" ht="64" customHeight="1">
      <x:c r="A184" s="28" t="str">
        <x:v>NCT-0319</x:v>
      </x:c>
      <x:c r="B184" s="28" t="str">
        <x:v>миндаль</x:v>
      </x:c>
      <x:c r="C184" s="28" t="str">
        <x:v>айва</x:v>
      </x:c>
      <x:c r="D184" s="28" t="str">
        <x:v>Прочее</x:v>
      </x:c>
      <x:c r="E184" s="28" t="str">
        <x:v>сенсорная комплементарность</x:v>
      </x:c>
      <x:c r="F184" s="28" t="str">
        <x:v>Миндаль имеет профиль «ореховый, сладкий, марципановый, слегка зелёный; после обжарки — карамельный и жареный». Партнёр «айва»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8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84" s="28" t="str">
        <x:v>аллерген; быстро прогоркает после помола; горький миндаль и ядра косточковых не взаимозаменяемы</x:v>
      </x:c>
      <x:c r="I184" s="28" t="str">
        <x:v>пралине, паста, выпечка, гарнир, соус, молочный или коктейльный компонент с айва</x:v>
      </x:c>
      <x:c r="J184" s="28" t="str">
        <x:v>Гипотеза / практическая</x:v>
      </x:c>
      <x:c r="K184" s="28" t="str">
        <x:v>Таблица сочетания(1).pdf</x:v>
      </x:c>
      <x:c r="L184" s="28" t="str">
        <x:v>Таблица сочетания(1).pdf: 18</x:v>
      </x:c>
    </x:row>
    <x:row r="185" ht="64" customHeight="1">
      <x:c r="A185" s="28" t="str">
        <x:v>NCT-0320</x:v>
      </x:c>
      <x:c r="B185" s="28" t="str">
        <x:v>миндаль</x:v>
      </x:c>
      <x:c r="C185" s="28" t="str">
        <x:v>ананас</x:v>
      </x:c>
      <x:c r="D185" s="28" t="str">
        <x:v>Прочее</x:v>
      </x:c>
      <x:c r="E185" s="28" t="str">
        <x:v>сенсорная комплементарность</x:v>
      </x:c>
      <x:c r="F185" s="28" t="str">
        <x:v>Миндаль имеет профиль «ореховый, сладкий, марципановый, слегка зелёный; после обжарки — карамельный и жареный». Партнёр «ананас»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8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85" s="28" t="str">
        <x:v>аллерген; быстро прогоркает после помола; горький миндаль и ядра косточковых не взаимозаменяемы</x:v>
      </x:c>
      <x:c r="I185" s="28" t="str">
        <x:v>пралине, паста, выпечка, гарнир, соус, молочный или коктейльный компонент с ананас</x:v>
      </x:c>
      <x:c r="J185" s="28" t="str">
        <x:v>Гипотеза / практическая</x:v>
      </x:c>
      <x:c r="K185" s="28" t="str">
        <x:v>Таблица сочетания(1).pdf</x:v>
      </x:c>
      <x:c r="L185" s="28" t="str">
        <x:v>Таблица сочетания(1).pdf: 17</x:v>
      </x:c>
    </x:row>
    <x:row r="186" ht="64" customHeight="1">
      <x:c r="A186" s="28" t="str">
        <x:v>NCT-0321</x:v>
      </x:c>
      <x:c r="B186" s="28" t="str">
        <x:v>миндаль</x:v>
      </x:c>
      <x:c r="C186" s="28" t="str">
        <x:v>анис</x:v>
      </x:c>
      <x:c r="D186" s="28" t="str">
        <x:v>Прочее</x:v>
      </x:c>
      <x:c r="E186" s="28" t="str">
        <x:v>сенсорная комплементарность</x:v>
      </x:c>
      <x:c r="F186" s="28" t="str">
        <x:v>Миндаль имеет профиль «ореховый, сладкий, марципановый, слегка зелёный; после обжарки — карамельный и жареный». Партнёр «анис»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8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86" s="28" t="str">
        <x:v>аллерген; быстро прогоркает после помола; горький миндаль и ядра косточковых не взаимозаменяемы</x:v>
      </x:c>
      <x:c r="I186" s="28" t="str">
        <x:v>пралине, паста, выпечка, гарнир, соус, молочный или коктейльный компонент с анис</x:v>
      </x:c>
      <x:c r="J186" s="28" t="str">
        <x:v>Средняя</x:v>
      </x:c>
      <x:c r="K186" s="28" t="str">
        <x:v>Тезариус вкусов (Ники Сегнит)(1).pdf</x:v>
      </x:c>
      <x:c r="L186" s="28" t="str">
        <x:v>Тезариус вкусов (Ники Сегнит)(1).pdf: 485, 642</x:v>
      </x:c>
    </x:row>
    <x:row r="187" ht="64" customHeight="1">
      <x:c r="A187" s="28" t="str">
        <x:v>NCT-0322</x:v>
      </x:c>
      <x:c r="B187" s="28" t="str">
        <x:v>миндаль</x:v>
      </x:c>
      <x:c r="C187" s="28" t="str">
        <x:v>апельсин</x:v>
      </x:c>
      <x:c r="D187" s="28" t="str">
        <x:v>Фрукты и ягоды</x:v>
      </x:c>
      <x:c r="E187" s="28" t="str">
        <x:v>контраст кислоты и жирной/горькой матрицы</x:v>
      </x:c>
      <x:c r="F187" s="28" t="str">
        <x:v>Миндаль имеет профиль «ореховый, сладкий, марципановый, слегка зелёный; после обжарки — карамельный и жареный». Партнёр «апельсин»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8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87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187" s="28" t="str">
        <x:v>пралине, паста, выпечка, гарнир, соус, молочный или коктейльный компонент с апельсин</x:v>
      </x:c>
      <x:c r="J187" s="28" t="str">
        <x:v>Средняя</x:v>
      </x:c>
      <x:c r="K187" s="28" t="str">
        <x:v>Тезариус вкусов (Ники Сегнит)(1).pdf</x:v>
      </x:c>
      <x:c r="L187" s="28" t="str">
        <x:v>Тезариус вкусов (Ники Сегнит)(1).pdf: 642, 777</x:v>
      </x:c>
    </x:row>
    <x:row r="188" ht="64" customHeight="1">
      <x:c r="A188" s="28" t="str">
        <x:v>NCT-0323</x:v>
      </x:c>
      <x:c r="B188" s="28" t="str">
        <x:v>миндаль</x:v>
      </x:c>
      <x:c r="C188" s="28" t="str">
        <x:v>бадьян</x:v>
      </x:c>
      <x:c r="D188" s="28" t="str">
        <x:v>Прочее</x:v>
      </x:c>
      <x:c r="E188" s="28" t="str">
        <x:v>сенсорная комплементарность</x:v>
      </x:c>
      <x:c r="F188" s="28" t="str">
        <x:v>Миндаль имеет профиль «ореховый, сладкий, марципановый, слегка зелёный; после обжарки — карамельный и жареный». Партнёр «бадьян»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8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88" s="28" t="str">
        <x:v>аллерген; быстро прогоркает после помола; горький миндаль и ядра косточковых не взаимозаменяемы</x:v>
      </x:c>
      <x:c r="I188" s="28" t="str">
        <x:v>пралине, паста, выпечка, гарнир, соус, молочный или коктейльный компонент с бадьян</x:v>
      </x:c>
      <x:c r="J188" s="28" t="str">
        <x:v>Гипотеза / практическая</x:v>
      </x:c>
      <x:c r="K188" s="28" t="str">
        <x:v>Таблица сочетания(1).pdf</x:v>
      </x:c>
      <x:c r="L188" s="28" t="str">
        <x:v>Таблица сочетания(1).pdf: 20</x:v>
      </x:c>
    </x:row>
    <x:row r="189" ht="64" customHeight="1">
      <x:c r="A189" s="28" t="str">
        <x:v>NCT-0324</x:v>
      </x:c>
      <x:c r="B189" s="28" t="str">
        <x:v>миндаль</x:v>
      </x:c>
      <x:c r="C189" s="28" t="str">
        <x:v>базилик</x:v>
      </x:c>
      <x:c r="D189" s="28" t="str">
        <x:v>Травы, цветы и листья</x:v>
      </x:c>
      <x:c r="E189" s="28" t="str">
        <x:v>сенсорная комплементарность</x:v>
      </x:c>
      <x:c r="F189" s="28" t="str">
        <x:v>Миндаль имеет профиль «ореховый, сладкий, марципановый, слегка зелёный; после обжарки — карамельный и жареный». Партнёр «базилик»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8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89" s="28" t="str">
        <x:v>аллерген; быстро прогоркает после помола; горький миндаль и ядра косточковых не взаимозаменяемы</x:v>
      </x:c>
      <x:c r="I189" s="28" t="str">
        <x:v>пралине, паста, выпечка, гарнир, соус, молочный или коктейльный компонент с базилик</x:v>
      </x:c>
      <x:c r="J189" s="28" t="str">
        <x:v>Гипотеза / практическая</x:v>
      </x:c>
      <x:c r="K189" s="28" t="str">
        <x:v>Таблица сочетания(1).pdf</x:v>
      </x:c>
      <x:c r="L189" s="28" t="str">
        <x:v>Таблица сочетания(1).pdf: 1</x:v>
      </x:c>
    </x:row>
    <x:row r="190" ht="64" customHeight="1">
      <x:c r="A190" s="28" t="str">
        <x:v>NCT-0325</x:v>
      </x:c>
      <x:c r="B190" s="28" t="str">
        <x:v>миндаль</x:v>
      </x:c>
      <x:c r="C190" s="28" t="str">
        <x:v>банан</x:v>
      </x:c>
      <x:c r="D190" s="28" t="str">
        <x:v>Фрукты и ягоды</x:v>
      </x:c>
      <x:c r="E190" s="28" t="str">
        <x:v>контраст кислоты и жирной/горькой матрицы</x:v>
      </x:c>
      <x:c r="F190" s="28" t="str">
        <x:v>Миндаль имеет профиль «ореховый, сладкий, марципановый, слегка зелёный; после обжарки — карамельный и жареный».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9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90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190" s="28" t="str">
        <x:v>пралине, паста, выпечка, гарнир, соус, молочный или коктейльный компонент с банан</x:v>
      </x:c>
      <x:c r="J190" s="28" t="str">
        <x:v>Высокая</x:v>
      </x:c>
      <x:c r="K190" s="28" t="str">
        <x:v>The Art &amp; Science of Foodpairing.pdf | Тезариус вкусов (Ники Сегнит)(1).pdf</x:v>
      </x:c>
      <x:c r="L190" s="28" t="str">
        <x:v>The Art &amp; Science of Foodpairing.pdf: 342, 343; Тезариус вкусов (Ники Сегнит)(1).pdf: 642, 733</x:v>
      </x:c>
    </x:row>
    <x:row r="191" ht="64" customHeight="1">
      <x:c r="A191" s="28" t="str">
        <x:v>NCT-0326</x:v>
      </x:c>
      <x:c r="B191" s="28" t="str">
        <x:v>миндаль</x:v>
      </x:c>
      <x:c r="C191" s="28" t="str">
        <x:v>баранина</x:v>
      </x:c>
      <x:c r="D191" s="28" t="str">
        <x:v>Мясо и птица</x:v>
      </x:c>
      <x:c r="E191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91" s="28" t="str">
        <x:v>Миндаль имеет профиль «ореховый, сладкий, марципановый, слегка зелёный; после обжарки — карамельный и жареный». Партнёр «баранина»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19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91" s="28" t="str">
        <x:v>аллерген; быстро прогоркает после помола; горький миндаль и ядра косточковых не взаимозаменяемы</x:v>
      </x:c>
      <x:c r="I191" s="28" t="str">
        <x:v>пралине, паста, выпечка, гарнир, соус, молочный или коктейльный компонент с баранина</x:v>
      </x:c>
      <x:c r="J191" s="28" t="str">
        <x:v>Средняя</x:v>
      </x:c>
      <x:c r="K191" s="28" t="str">
        <x:v>Тезариус вкусов (Ники Сегнит)(1).pdf</x:v>
      </x:c>
      <x:c r="L191" s="28" t="str">
        <x:v>Тезариус вкусов (Ники Сегнит)(1).pdf: 130, 642</x:v>
      </x:c>
    </x:row>
    <x:row r="192" ht="64" customHeight="1">
      <x:c r="A192" s="28" t="str">
        <x:v>NCT-0327</x:v>
      </x:c>
      <x:c r="B192" s="28" t="str">
        <x:v>миндаль</x:v>
      </x:c>
      <x:c r="C192" s="28" t="str">
        <x:v>белый шоколад</x:v>
      </x:c>
      <x:c r="D192" s="28" t="str">
        <x:v>Какао и шоколад</x:v>
      </x:c>
      <x:c r="E192" s="28" t="str">
        <x:v>жареная химия и реакции Майяра</x:v>
      </x:c>
      <x:c r="F192" s="28" t="str">
        <x:v>Миндаль имеет профиль «ореховый, сладкий, марципановый, слегка зелёный; после обжарки — карамельный и жареный». Партнёр «белый шоколад» относится к группе «Какао и шоколад» и даёт сливочный, ванильный, карамельный и маслянистый без выраженного какаового жареного профиля.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9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92" s="28" t="str">
        <x:v>аллерген; быстро прогоркает после помола; горький миндаль и ядра косточковых не взаимозаменяемы</x:v>
      </x:c>
      <x:c r="I192" s="28" t="str">
        <x:v>пралине, паста, выпечка, гарнир, соус, молочный или коктейльный компонент с белый шоколад</x:v>
      </x:c>
      <x:c r="J192" s="28" t="str">
        <x:v>Средняя</x:v>
      </x:c>
      <x:c r="K192" s="28" t="str">
        <x:v>Тезариус вкусов (Ники Сегнит)(1).pdf</x:v>
      </x:c>
      <x:c r="L192" s="28" t="str">
        <x:v>Тезариус вкусов (Ники Сегнит)(1).pdf: 642, 925</x:v>
      </x:c>
    </x:row>
    <x:row r="193" ht="64" customHeight="1">
      <x:c r="A193" s="28" t="str">
        <x:v>NCT-0328</x:v>
      </x:c>
      <x:c r="B193" s="28" t="str">
        <x:v>миндаль</x:v>
      </x:c>
      <x:c r="C193" s="28" t="str">
        <x:v>ваниль</x:v>
      </x:c>
      <x:c r="D193" s="28" t="str">
        <x:v>Специи</x:v>
      </x:c>
      <x:c r="E193" s="28" t="str">
        <x:v>сенсорная комплементарность</x:v>
      </x:c>
      <x:c r="F193" s="28" t="str">
        <x:v>Миндаль имеет профиль «ореховый, сладкий, марципановый, слегка зелёный; после обжарки — карамельный и жареный».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9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93" s="28" t="str">
        <x:v>аллерген; быстро прогоркает после помола; горький миндаль и ядра косточковых не взаимозаменяемы</x:v>
      </x:c>
      <x:c r="I193" s="28" t="str">
        <x:v>пралине, паста, выпечка, гарнир, соус, молочный или коктейльный компонент с ваниль</x:v>
      </x:c>
      <x:c r="J193" s="28" t="str">
        <x:v>Гипотеза / практическая</x:v>
      </x:c>
      <x:c r="K193" s="28" t="str">
        <x:v>Таблица сочетания(1).pdf</x:v>
      </x:c>
      <x:c r="L193" s="28" t="str">
        <x:v>Таблица сочетания(1).pdf: 21</x:v>
      </x:c>
    </x:row>
    <x:row r="194" ht="64" customHeight="1">
      <x:c r="A194" s="28" t="str">
        <x:v>NCT-0329</x:v>
      </x:c>
      <x:c r="B194" s="28" t="str">
        <x:v>миндаль</x:v>
      </x:c>
      <x:c r="C194" s="28" t="str">
        <x:v>виноград</x:v>
      </x:c>
      <x:c r="D194" s="28" t="str">
        <x:v>Алкогольные напитки</x:v>
      </x:c>
      <x:c r="E194" s="28" t="str">
        <x:v>сенсорная комплементарность</x:v>
      </x:c>
      <x:c r="F194" s="28" t="str">
        <x:v>Миндаль имеет профиль «ореховый, сладкий, марципановый, слегка зелёный; после обжарки — карамельный и жареный». Партнёр «виноград» относится к группе «Алкогольные напитки» и даёт спиртовой, фруктовый или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9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94" s="28" t="str">
        <x:v>аллерген; быстро прогоркает после помола; горький миндаль и ядра косточковых не взаимозаменяемы</x:v>
      </x:c>
      <x:c r="I194" s="28" t="str">
        <x:v>пралине, паста, выпечка, гарнир, соус, молочный или коктейльный компонент с виноград</x:v>
      </x:c>
      <x:c r="J194" s="28" t="str">
        <x:v>Средняя</x:v>
      </x:c>
      <x:c r="K194" s="28" t="str">
        <x:v>Тезариус вкусов (Ники Сегнит)(1).pdf</x:v>
      </x:c>
      <x:c r="L194" s="28" t="str">
        <x:v>Тезариус вкусов (Ники Сегнит)(1).pdf: 642, 667</x:v>
      </x:c>
    </x:row>
    <x:row r="195" ht="64" customHeight="1">
      <x:c r="A195" s="28" t="str">
        <x:v>NCT-0330</x:v>
      </x:c>
      <x:c r="B195" s="28" t="str">
        <x:v>миндаль</x:v>
      </x:c>
      <x:c r="C195" s="28" t="str">
        <x:v>вишня</x:v>
      </x:c>
      <x:c r="D195" s="28" t="str">
        <x:v>Фрукты и ягоды</x:v>
      </x:c>
      <x:c r="E195" s="28" t="str">
        <x:v>общие ароматические соединения, контраст кислоты и жирной/горькой матрицы</x:v>
      </x:c>
      <x:c r="F195" s="28" t="str">
        <x:v>Миндаль имеет профиль «ореховый, сладкий, марципановый, слегка зелёный; после обжарки — карамельный и жареный». Партнёр «вишня» относится к группе «Фрукты и ягоды» и даёт миндальный, фруктовый. Молекулярный мост создают бензальдегид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бензальдегид.</x:v>
      </x:c>
      <x:c r="G19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95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195" s="28" t="str">
        <x:v>пралине, паста, выпечка, гарнир, соус, молочный или коктейльный компонент с вишня</x:v>
      </x:c>
      <x:c r="J195" s="28" t="str">
        <x:v>Высокая</x:v>
      </x:c>
      <x:c r="K195" s="28" t="str">
        <x:v>Таблица сочетания(1).pdf | Тезариус вкусов (Ники Сегнит)(1).pdf</x:v>
      </x:c>
      <x:c r="L195" s="28" t="str">
        <x:v>Таблица сочетания(1).pdf: 1; Тезариус вкусов (Ники Сегнит)(1).pdf: 642, 655</x:v>
      </x:c>
    </x:row>
    <x:row r="196" ht="64" customHeight="1">
      <x:c r="A196" s="28" t="str">
        <x:v>NCT-0331</x:v>
      </x:c>
      <x:c r="B196" s="28" t="str">
        <x:v>миндаль</x:v>
      </x:c>
      <x:c r="C196" s="28" t="str">
        <x:v>голубика</x:v>
      </x:c>
      <x:c r="D196" s="28" t="str">
        <x:v>Прочее</x:v>
      </x:c>
      <x:c r="E196" s="28" t="str">
        <x:v>сенсорная комплементарность</x:v>
      </x:c>
      <x:c r="F196" s="28" t="str">
        <x:v>Миндаль имеет профиль «ореховый, сладкий, марципановый, слегка зелёный; после обжарки — карамельный и жареный». Партнёр «голубика»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9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96" s="28" t="str">
        <x:v>аллерген; быстро прогоркает после помола; горький миндаль и ядра косточковых не взаимозаменяемы</x:v>
      </x:c>
      <x:c r="I196" s="28" t="str">
        <x:v>пралине, паста, выпечка, гарнир, соус, молочный или коктейльный компонент с голубика</x:v>
      </x:c>
      <x:c r="J196" s="28" t="str">
        <x:v>Гипотеза / практическая</x:v>
      </x:c>
      <x:c r="K196" s="28" t="str">
        <x:v>Таблица сочетания(1).pdf</x:v>
      </x:c>
      <x:c r="L196" s="28" t="str">
        <x:v>Таблица сочетания(1).pdf: 3</x:v>
      </x:c>
    </x:row>
    <x:row r="197" ht="64" customHeight="1">
      <x:c r="A197" s="28" t="str">
        <x:v>NCT-0332</x:v>
      </x:c>
      <x:c r="B197" s="28" t="str">
        <x:v>миндаль</x:v>
      </x:c>
      <x:c r="C197" s="28" t="str">
        <x:v>груша</x:v>
      </x:c>
      <x:c r="D197" s="28" t="str">
        <x:v>Фрукты и ягоды</x:v>
      </x:c>
      <x:c r="E197" s="28" t="str">
        <x:v>контраст кислоты и жирной/горькой матрицы</x:v>
      </x:c>
      <x:c r="F197" s="28" t="str">
        <x:v>Миндаль имеет профиль «ореховый, сладкий, марципановый, слегка зелёный; после обжарки — карамельный и жареный». Партнёр «груша»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9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97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197" s="28" t="str">
        <x:v>пралине, паста, выпечка, гарнир, соус, молочный или коктейльный компонент с груша</x:v>
      </x:c>
      <x:c r="J197" s="28" t="str">
        <x:v>Высокая</x:v>
      </x:c>
      <x:c r="K197" s="28" t="str">
        <x:v>The Art &amp; Science of Foodpairing.pdf | Таблица сочетания(1).pdf | Тезариус вкусов (Ники Сегнит)(1).pdf</x:v>
      </x:c>
      <x:c r="L197" s="28" t="str">
        <x:v>The Art &amp; Science of Foodpairing.pdf: 350; Таблица сочетания(1).pdf: 16; Тезариус вкусов (Ники Сегнит)(1).pdf: 642, 725</x:v>
      </x:c>
    </x:row>
    <x:row r="198" ht="64" customHeight="1">
      <x:c r="A198" s="28" t="str">
        <x:v>NCT-0333</x:v>
      </x:c>
      <x:c r="B198" s="28" t="str">
        <x:v>миндаль</x:v>
      </x:c>
      <x:c r="C198" s="28" t="str">
        <x:v>дыня</x:v>
      </x:c>
      <x:c r="D198" s="28" t="str">
        <x:v>Фрукты и ягоды</x:v>
      </x:c>
      <x:c r="E198" s="28" t="str">
        <x:v>контраст кислоты и жирной/горькой матрицы</x:v>
      </x:c>
      <x:c r="F198" s="28" t="str">
        <x:v>Миндаль имеет профиль «ореховый, сладкий, марципановый, слегка зелёный; после обжарки — карамельный и жареный». Партнёр «дыня»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9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98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198" s="28" t="str">
        <x:v>пралине, паста, выпечка, гарнир, соус, молочный или коктейльный компонент с дыня</x:v>
      </x:c>
      <x:c r="J198" s="28" t="str">
        <x:v>Средняя</x:v>
      </x:c>
      <x:c r="K198" s="28" t="str">
        <x:v>Тезариус вкусов (Ники Сегнит)(1).pdf</x:v>
      </x:c>
      <x:c r="L198" s="28" t="str">
        <x:v>Тезариус вкусов (Ники Сегнит)(1).pdf: 642, 739</x:v>
      </x:c>
    </x:row>
    <x:row r="199" ht="64" customHeight="1">
      <x:c r="A199" s="28" t="str">
        <x:v>NCT-0334</x:v>
      </x:c>
      <x:c r="B199" s="28" t="str">
        <x:v>миндаль</x:v>
      </x:c>
      <x:c r="C199" s="28" t="str">
        <x:v>ежевика</x:v>
      </x:c>
      <x:c r="D199" s="28" t="str">
        <x:v>Прочее</x:v>
      </x:c>
      <x:c r="E199" s="28" t="str">
        <x:v>сенсорная комплементарность</x:v>
      </x:c>
      <x:c r="F199" s="28" t="str">
        <x:v>Миндаль имеет профиль «ореховый, сладкий, марципановый, слегка зелёный; после обжарки — карамельный и жареный». Партнёр «ежевика»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9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99" s="28" t="str">
        <x:v>аллерген; быстро прогоркает после помола; горький миндаль и ядра косточковых не взаимозаменяемы</x:v>
      </x:c>
      <x:c r="I199" s="28" t="str">
        <x:v>пралине, паста, выпечка, гарнир, соус, молочный или коктейльный компонент с ежевика</x:v>
      </x:c>
      <x:c r="J199" s="28" t="str">
        <x:v>Средняя</x:v>
      </x:c>
      <x:c r="K199" s="28" t="str">
        <x:v>Тезариус вкусов (Ники Сегнит)(1).pdf</x:v>
      </x:c>
      <x:c r="L199" s="28" t="str">
        <x:v>Тезариус вкусов (Ники Сегнит)(1).pdf: 642, 882</x:v>
      </x:c>
    </x:row>
    <x:row r="200" ht="64" customHeight="1">
      <x:c r="A200" s="28" t="str">
        <x:v>NCT-0335</x:v>
      </x:c>
      <x:c r="B200" s="28" t="str">
        <x:v>миндаль</x:v>
      </x:c>
      <x:c r="C200" s="28" t="str">
        <x:v>жасмин</x:v>
      </x:c>
      <x:c r="D200" s="28" t="str">
        <x:v>Травы, цветы и листья</x:v>
      </x:c>
      <x:c r="E200" s="28" t="str">
        <x:v>сенсорная комплементарность</x:v>
      </x:c>
      <x:c r="F200" s="28" t="str">
        <x:v>Миндаль имеет профиль «ореховый, сладкий, марципановый, слегка зелёный; после обжарки — карамельный и жареный». Партнёр «жасмин» относится к группе «Травы, цветы и листья» и даёт животный,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0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00" s="28" t="str">
        <x:v>аллерген; быстро прогоркает после помола; горький миндаль и ядра косточковых не взаимозаменяемы</x:v>
      </x:c>
      <x:c r="I200" s="28" t="str">
        <x:v>пралине, паста, выпечка, гарнир, соус, молочный или коктейльный компонент с жасмин</x:v>
      </x:c>
      <x:c r="J200" s="28" t="str">
        <x:v>Средняя</x:v>
      </x:c>
      <x:c r="K200" s="28" t="str">
        <x:v>The Art &amp; Science of Foodpairing.pdf</x:v>
      </x:c>
      <x:c r="L200" s="28" t="str">
        <x:v>The Art &amp; Science of Foodpairing.pdf: 210</x:v>
      </x:c>
    </x:row>
    <x:row r="201" ht="64" customHeight="1">
      <x:c r="A201" s="28" t="str">
        <x:v>NCT-0336</x:v>
      </x:c>
      <x:c r="B201" s="28" t="str">
        <x:v>миндаль</x:v>
      </x:c>
      <x:c r="C201" s="28" t="str">
        <x:v>жирная рыба</x:v>
      </x:c>
      <x:c r="D201" s="28" t="str">
        <x:v>Рыба и морепродукты</x:v>
      </x:c>
      <x:c r="E201" s="28" t="str">
        <x:v>солёно-умами контраст</x:v>
      </x:c>
      <x:c r="F201" s="28" t="str">
        <x:v>Миндаль имеет профиль «ореховый, сладкий, марципановый, слегка зелёный; после обжарки — карамельный и жареный». Партнёр «жирная рыба»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0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01" s="28" t="str">
        <x:v>аллерген; быстро прогоркает после помола; горький миндаль и ядра косточковых не взаимозаменяемы; малейшая прогорклость ореха или шоколада усиливает неприятные рыбные оттенки</x:v>
      </x:c>
      <x:c r="I201" s="28" t="str">
        <x:v>пралине, паста, выпечка, гарнир, соус, молочный или коктейльный компонент с жирная рыба</x:v>
      </x:c>
      <x:c r="J201" s="28" t="str">
        <x:v>Средняя</x:v>
      </x:c>
      <x:c r="K201" s="28" t="str">
        <x:v>Тезариус вкусов (Ники Сегнит)(1).pdf</x:v>
      </x:c>
      <x:c r="L201" s="28" t="str">
        <x:v>Тезариус вкусов (Ники Сегнит)(1).pdf: 415, 643</x:v>
      </x:c>
    </x:row>
    <x:row r="202" ht="64" customHeight="1">
      <x:c r="A202" s="28" t="str">
        <x:v>NCT-0337</x:v>
      </x:c>
      <x:c r="B202" s="28" t="str">
        <x:v>миндаль</x:v>
      </x:c>
      <x:c r="C202" s="28" t="str">
        <x:v>имбирь</x:v>
      </x:c>
      <x:c r="D202" s="28" t="str">
        <x:v>Специи</x:v>
      </x:c>
      <x:c r="E202" s="28" t="str">
        <x:v>сенсорная комплементарность</x:v>
      </x:c>
      <x:c r="F202" s="28" t="str">
        <x:v>Миндаль имеет профиль «ореховый, сладкий, марципановый, слегка зелёный; после обжарки — карамельный и жареный». Партнёр «имбирь» относится к группе «Специи» и даёт пряный, тёплый,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0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02" s="28" t="str">
        <x:v>аллерген; быстро прогоркает после помола; горький миндаль и ядра косточковых не взаимозаменяемы</x:v>
      </x:c>
      <x:c r="I202" s="28" t="str">
        <x:v>пралине, паста, выпечка, гарнир, соус, молочный или коктейльный компонент с имбирь</x:v>
      </x:c>
      <x:c r="J202" s="28" t="str">
        <x:v>Высокая</x:v>
      </x:c>
      <x:c r="K202" s="28" t="str">
        <x:v>Таблица сочетания(1).pdf | Тезариус вкусов (Ники Сегнит)(1).pdf</x:v>
      </x:c>
      <x:c r="L202" s="28" t="str">
        <x:v>Таблица сочетания(1).pdf: 8; Тезариус вкусов (Ники Сегнит)(1).pdf: 643, 818</x:v>
      </x:c>
    </x:row>
    <x:row r="203" ht="64" customHeight="1">
      <x:c r="A203" s="28" t="str">
        <x:v>NCT-0338</x:v>
      </x:c>
      <x:c r="B203" s="28" t="str">
        <x:v>миндаль</x:v>
      </x:c>
      <x:c r="C203" s="28" t="str">
        <x:v>инжир</x:v>
      </x:c>
      <x:c r="D203" s="28" t="str">
        <x:v>Фрукты и ягоды</x:v>
      </x:c>
      <x:c r="E203" s="28" t="str">
        <x:v>контраст кислоты и жирной/горькой матрицы</x:v>
      </x:c>
      <x:c r="F203" s="28" t="str">
        <x:v>Миндаль имеет профиль «ореховый, сладкий, марципановый, слегка зелёный; после обжарки — карамельный и жареный». Партнёр «инжир»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0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03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03" s="28" t="str">
        <x:v>пралине, паста, выпечка, гарнир, соус, молочный или коктейльный компонент с инжир</x:v>
      </x:c>
      <x:c r="J203" s="28" t="str">
        <x:v>Высокая</x:v>
      </x:c>
      <x:c r="K203" s="28" t="str">
        <x:v>Таблица сочетания(1).pdf | Тезариус вкусов (Ники Сегнит)(1).pdf</x:v>
      </x:c>
      <x:c r="L203" s="28" t="str">
        <x:v>Таблица сочетания(1).pdf: 1; Тезариус вкусов (Ники Сегнит)(1).pdf: 644, 894</x:v>
      </x:c>
    </x:row>
    <x:row r="204" ht="64" customHeight="1">
      <x:c r="A204" s="28" t="str">
        <x:v>NCT-0339</x:v>
      </x:c>
      <x:c r="B204" s="28" t="str">
        <x:v>миндаль</x:v>
      </x:c>
      <x:c r="C204" s="28" t="str">
        <x:v>карамель</x:v>
      </x:c>
      <x:c r="D204" s="28" t="str">
        <x:v>Выпечка, сахара и десерты</x:v>
      </x:c>
      <x:c r="E204" s="28" t="str">
        <x:v>общие ароматические соединения, пересечение ароматических семейств, жареная химия и реакции Майяра</x:v>
      </x:c>
      <x:c r="F204" s="28" t="str">
        <x:v>Миндаль имеет профиль «ореховый, сладкий, марципановый, слегка зелёный; после обжарки — карамельный и жареный». Партнёр «карамель» относится к группе «Выпечка, сахара и десерты» и даёт жареный, карамельный. Молекулярный мост создают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фураны.</x:v>
      </x:c>
      <x:c r="G20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04" s="28" t="str">
        <x:v>аллерген; быстро прогоркает после помола; горький миндаль и ядра косточковых не взаимозаменяемы</x:v>
      </x:c>
      <x:c r="I204" s="28" t="str">
        <x:v>пралине, паста, выпечка, гарнир, соус, молочный или коктейльный компонент с карамель</x:v>
      </x:c>
      <x:c r="J204" s="28" t="str">
        <x:v>Гипотеза / практическая</x:v>
      </x:c>
      <x:c r="K204" s="28" t="str">
        <x:v>Таблица сочетания(1).pdf</x:v>
      </x:c>
      <x:c r="L204" s="28" t="str">
        <x:v>Таблица сочетания(1).pdf: 1, 3</x:v>
      </x:c>
    </x:row>
    <x:row r="205" ht="64" customHeight="1">
      <x:c r="A205" s="28" t="str">
        <x:v>NCT-0340</x:v>
      </x:c>
      <x:c r="B205" s="28" t="str">
        <x:v>миндаль</x:v>
      </x:c>
      <x:c r="C205" s="28" t="str">
        <x:v>кардамон</x:v>
      </x:c>
      <x:c r="D205" s="28" t="str">
        <x:v>Специи</x:v>
      </x:c>
      <x:c r="E205" s="28" t="str">
        <x:v>сенсорная комплементарность</x:v>
      </x:c>
      <x:c r="F205" s="28" t="str">
        <x:v>Миндаль имеет профиль «ореховый, сладкий, марципановый, слегка зелёный; после обжарки — карамельный и жареный». Партнёр «кардамон» относится к группе «Специи» и даёт камфорный, цветочный,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0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05" s="28" t="str">
        <x:v>аллерген; быстро прогоркает после помола; горький миндаль и ядра косточковых не взаимозаменяемы</x:v>
      </x:c>
      <x:c r="I205" s="28" t="str">
        <x:v>пралине, паста, выпечка, гарнир, соус, молочный или коктейльный компонент с кардамон</x:v>
      </x:c>
      <x:c r="J205" s="28" t="str">
        <x:v>Высокая</x:v>
      </x:c>
      <x:c r="K205" s="28" t="str">
        <x:v>Таблица сочетания(1).pdf | Тезариус вкусов (Ники Сегнит)(1).pdf</x:v>
      </x:c>
      <x:c r="L205" s="28" t="str">
        <x:v>Таблица сочетания(1).pdf: 1; Тезариус вкусов (Ники Сегнит)(1).pdf: 644, 829</x:v>
      </x:c>
    </x:row>
    <x:row r="206" ht="64" customHeight="1">
      <x:c r="A206" s="28" t="str">
        <x:v>NCT-0341</x:v>
      </x:c>
      <x:c r="B206" s="28" t="str">
        <x:v>миндаль</x:v>
      </x:c>
      <x:c r="C206" s="28" t="str">
        <x:v>кедровый орех</x:v>
      </x:c>
      <x:c r="D206" s="28" t="str">
        <x:v>Орехи и семена</x:v>
      </x:c>
      <x:c r="E206" s="28" t="str">
        <x:v>общие ароматические соединения, пересечение ароматических семейств, жареная химия и реакции Майяра</x:v>
      </x:c>
      <x:c r="F206" s="28" t="str">
        <x:v>Миндаль имеет профиль «ореховый, сладкий, марципановый, слегка зелёный; после обжарки — карамельный и жареный». Партнёр «кедровый орех» относится к группе «Орехи и семена» и даёт смолистый, сливочный, зелёный и ореховый.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пиразины.</x:v>
      </x:c>
      <x:c r="G20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06" s="28" t="str">
        <x:v>аллерген; быстро прогоркает после помола; горький миндаль и ядра косточковых не взаимозаменяемы</x:v>
      </x:c>
      <x:c r="I206" s="28" t="str">
        <x:v>пралине, паста, выпечка, гарнир, соус, молочный или коктейльный компонент с кедровый орех</x:v>
      </x:c>
      <x:c r="J206" s="28" t="str">
        <x:v>Гипотеза / практическая</x:v>
      </x:c>
      <x:c r="K206" s="28" t="str">
        <x:v>Таблица сочетания(1).pdf</x:v>
      </x:c>
      <x:c r="L206" s="28" t="str">
        <x:v>Таблица сочетания(1).pdf: 16</x:v>
      </x:c>
    </x:row>
    <x:row r="207" ht="64" customHeight="1">
      <x:c r="A207" s="28" t="str">
        <x:v>NCT-0342</x:v>
      </x:c>
      <x:c r="B207" s="28" t="str">
        <x:v>миндаль</x:v>
      </x:c>
      <x:c r="C207" s="28" t="str">
        <x:v>кленовый сироп</x:v>
      </x:c>
      <x:c r="D207" s="28" t="str">
        <x:v>Выпечка, сахара и десерты</x:v>
      </x:c>
      <x:c r="E207" s="28" t="str">
        <x:v>общие ароматические соединения, пересечение ароматических семейств, жареная химия и реакции Майяра</x:v>
      </x:c>
      <x:c r="F207" s="28" t="str">
        <x:v>Миндаль имеет профиль «ореховый, сладкий, марципановый, слегка зелёный; после обжарки — карамельный и жареный».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20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07" s="28" t="str">
        <x:v>аллерген; быстро прогоркает после помола; горький миндаль и ядра косточковых не взаимозаменяемы</x:v>
      </x:c>
      <x:c r="I207" s="28" t="str">
        <x:v>пралине, паста, выпечка, гарнир, соус, молочный или коктейльный компонент с кленовый сироп</x:v>
      </x:c>
      <x:c r="J207" s="28" t="str">
        <x:v>Гипотеза / практическая</x:v>
      </x:c>
      <x:c r="K207" s="28" t="str">
        <x:v>Таблица сочетания(1).pdf</x:v>
      </x:c>
      <x:c r="L207" s="28" t="str">
        <x:v>Таблица сочетания(1).pdf: 13</x:v>
      </x:c>
    </x:row>
    <x:row r="208" ht="64" customHeight="1">
      <x:c r="A208" s="28" t="str">
        <x:v>NCT-0343</x:v>
      </x:c>
      <x:c r="B208" s="28" t="str">
        <x:v>миндаль</x:v>
      </x:c>
      <x:c r="C208" s="28" t="str">
        <x:v>клубника</x:v>
      </x:c>
      <x:c r="D208" s="28" t="str">
        <x:v>Прочее</x:v>
      </x:c>
      <x:c r="E208" s="28" t="str">
        <x:v>сенсорная комплементарность</x:v>
      </x:c>
      <x:c r="F208" s="28" t="str">
        <x:v>Миндаль имеет профиль «ореховый, сладкий, марципановый, слегка зелёный; после обжарки — карамельный и жареный». Партнёр «клубника» относится к группе «Прочее» и даёт зелёный, карамельный, фруктовый.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0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08" s="28" t="str">
        <x:v>аллерген; быстро прогоркает после помола; горький миндаль и ядра косточковых не взаимозаменяемы</x:v>
      </x:c>
      <x:c r="I208" s="28" t="str">
        <x:v>пралине, паста, выпечка, гарнир, соус, молочный или коктейльный компонент с клубника</x:v>
      </x:c>
      <x:c r="J208" s="28" t="str">
        <x:v>Высокая</x:v>
      </x:c>
      <x:c r="K208" s="28" t="str">
        <x:v>Таблица сочетания(1).pdf | Тезариус вкусов (Ники Сегнит)(1).pdf</x:v>
      </x:c>
      <x:c r="L208" s="28" t="str">
        <x:v>Таблица сочетания(1).pdf: 20; Тезариус вкусов (Ники Сегнит)(1).pdf: 644, 696</x:v>
      </x:c>
    </x:row>
    <x:row r="209" ht="64" customHeight="1">
      <x:c r="A209" s="28" t="str">
        <x:v>NCT-0344</x:v>
      </x:c>
      <x:c r="B209" s="28" t="str">
        <x:v>миндаль</x:v>
      </x:c>
      <x:c r="C209" s="28" t="str">
        <x:v>клюква</x:v>
      </x:c>
      <x:c r="D209" s="28" t="str">
        <x:v>Прочее</x:v>
      </x:c>
      <x:c r="E209" s="28" t="str">
        <x:v>сенсорная комплементарность</x:v>
      </x:c>
      <x:c r="F209" s="28" t="str">
        <x:v>Миндаль имеет профиль «ореховый, сладкий, марципановый, слегка зелёный; после обжарки — карамельный и жареный». Партнёр «клюква»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0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09" s="28" t="str">
        <x:v>аллерген; быстро прогоркает после помола; горький миндаль и ядра косточковых не взаимозаменяемы</x:v>
      </x:c>
      <x:c r="I209" s="28" t="str">
        <x:v>пралине, паста, выпечка, гарнир, соус, молочный или коктейльный компонент с клюква</x:v>
      </x:c>
      <x:c r="J209" s="28" t="str">
        <x:v>Гипотеза / практическая</x:v>
      </x:c>
      <x:c r="K209" s="28" t="str">
        <x:v>Таблица сочетания(1).pdf</x:v>
      </x:c>
      <x:c r="L209" s="28" t="str">
        <x:v>Таблица сочетания(1).pdf: 6</x:v>
      </x:c>
    </x:row>
    <x:row r="210" ht="64" customHeight="1">
      <x:c r="A210" s="28" t="str">
        <x:v>NCT-0345</x:v>
      </x:c>
      <x:c r="B210" s="28" t="str">
        <x:v>миндаль</x:v>
      </x:c>
      <x:c r="C210" s="28" t="str">
        <x:v>кокос</x:v>
      </x:c>
      <x:c r="D210" s="28" t="str">
        <x:v>Прочее</x:v>
      </x:c>
      <x:c r="E210" s="28" t="str">
        <x:v>сенсорная комплементарность</x:v>
      </x:c>
      <x:c r="F210" s="28" t="str">
        <x:v>Миндаль имеет профиль «ореховый, сладкий, марципановый, слегка зелёный; после обжарки — карамельный и жареный». Партнёр «кокос» относится к группе «Прочее» и даёт лактонный, сливочный.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1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10" s="28" t="str">
        <x:v>аллерген; быстро прогоркает после помола; горький миндаль и ядра косточковых не взаимозаменяемы</x:v>
      </x:c>
      <x:c r="I210" s="28" t="str">
        <x:v>пралине, паста, выпечка, гарнир, соус, молочный или коктейльный компонент с кокос</x:v>
      </x:c>
      <x:c r="J210" s="28" t="str">
        <x:v>Высокая</x:v>
      </x:c>
      <x:c r="K210" s="28" t="str">
        <x:v>The Art &amp; Science of Foodpairing.pdf | Тезариус вкусов (Ники Сегнит)(1).pdf</x:v>
      </x:c>
      <x:c r="L210" s="28" t="str">
        <x:v>The Art &amp; Science of Foodpairing.pdf: 134, 135; Тезариус вкусов (Ники Сегнит)(1).pdf: 644, 759</x:v>
      </x:c>
    </x:row>
    <x:row r="211" ht="64" customHeight="1">
      <x:c r="A211" s="28" t="str">
        <x:v>NCT-0346</x:v>
      </x:c>
      <x:c r="B211" s="28" t="str">
        <x:v>миндаль</x:v>
      </x:c>
      <x:c r="C211" s="28" t="str">
        <x:v>корица</x:v>
      </x:c>
      <x:c r="D211" s="28" t="str">
        <x:v>Специи</x:v>
      </x:c>
      <x:c r="E211" s="28" t="str">
        <x:v>сенсорная комплементарность</x:v>
      </x:c>
      <x:c r="F211" s="28" t="str">
        <x:v>Миндаль имеет профиль «ореховый, сладкий, марципановый, слегка зелёный; после обжарки — карамельный и жареный». Партнёр «корица» относится к группе «Специи» и даёт древесный, пряный.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1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11" s="28" t="str">
        <x:v>аллерген; быстро прогоркает после помола; горький миндаль и ядра косточковых не взаимозаменяемы</x:v>
      </x:c>
      <x:c r="I211" s="28" t="str">
        <x:v>пралине, паста, выпечка, гарнир, соус, молочный или коктейльный компонент с корица</x:v>
      </x:c>
      <x:c r="J211" s="28" t="str">
        <x:v>Высокая</x:v>
      </x:c>
      <x:c r="K211" s="28" t="str">
        <x:v>Таблица сочетания(1).pdf | Тезариус вкусов (Ники Сегнит)(1).pdf</x:v>
      </x:c>
      <x:c r="L211" s="28" t="str">
        <x:v>Таблица сочетания(1).pdf: 1, 5; Тезариус вкусов (Ники Сегнит)(1).pdf: 577</x:v>
      </x:c>
    </x:row>
    <x:row r="212" ht="64" customHeight="1">
      <x:c r="A212" s="28" t="str">
        <x:v>NCT-0347</x:v>
      </x:c>
      <x:c r="B212" s="28" t="str">
        <x:v>миндаль</x:v>
      </x:c>
      <x:c r="C212" s="28" t="str">
        <x:v>кофе</x:v>
      </x:c>
      <x:c r="D212" s="28" t="str">
        <x:v>Кофе</x:v>
      </x:c>
      <x:c r="E212" s="28" t="str">
        <x:v>общие ароматические соединения, пересечение ароматических семейств, жареная химия и реакции Майяра</x:v>
      </x:c>
      <x:c r="F212" s="28" t="str">
        <x:v>Миндаль имеет профиль «ореховый, сладкий, марципановый, слегка зелёный; после обжарки — карамельный и жареный».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ореховый; пиразины, фураны.</x:v>
      </x:c>
      <x:c r="G21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12" s="28" t="str">
        <x:v>аллерген; быстро прогоркает после помола; горький миндаль и ядра косточковых не взаимозаменяемы</x:v>
      </x:c>
      <x:c r="I212" s="28" t="str">
        <x:v>пралине, паста, выпечка, гарнир, соус, молочный или коктейльный компонент с кофе</x:v>
      </x:c>
      <x:c r="J212" s="28" t="str">
        <x:v>Высокая</x:v>
      </x:c>
      <x:c r="K212" s="28" t="str">
        <x:v>The Art &amp; Science of Foodpairing.pdf | Таблица сочетания(1).pdf | Тезариус вкусов (Ники Сегнит)(1).pdf</x:v>
      </x:c>
      <x:c r="L212" s="28" t="str">
        <x:v>The Art &amp; Science of Foodpairing.pdf: 297; Таблица сочетания(1).pdf: 1, 6; Тезариус вкусов (Ники Сегнит)(1).pdf: 47, 645</x:v>
      </x:c>
    </x:row>
    <x:row r="213" ht="64" customHeight="1">
      <x:c r="A213" s="28" t="str">
        <x:v>NCT-0348</x:v>
      </x:c>
      <x:c r="B213" s="28" t="str">
        <x:v>миндаль</x:v>
      </x:c>
      <x:c r="C213" s="28" t="str">
        <x:v>красный апельсин</x:v>
      </x:c>
      <x:c r="D213" s="28" t="str">
        <x:v>Фрукты и ягоды</x:v>
      </x:c>
      <x:c r="E213" s="28" t="str">
        <x:v>контраст кислоты и жирной/горькой матрицы</x:v>
      </x:c>
      <x:c r="F213" s="28" t="str">
        <x:v>Миндаль имеет профиль «ореховый, сладкий, марципановый, слегка зелёный; после обжарки — карамельный и жареный». Партнёр «красный 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1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13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13" s="28" t="str">
        <x:v>пралине, паста, выпечка, гарнир, соус, молочный или коктейльный компонент с красный апельсин</x:v>
      </x:c>
      <x:c r="J213" s="28" t="str">
        <x:v>Гипотеза / практическая</x:v>
      </x:c>
      <x:c r="K213" s="28" t="str">
        <x:v>Таблица сочетания(1).pdf</x:v>
      </x:c>
      <x:c r="L213" s="28" t="str">
        <x:v>Таблица сочетания(1).pdf: 3</x:v>
      </x:c>
    </x:row>
    <x:row r="214" ht="64" customHeight="1">
      <x:c r="A214" s="28" t="str">
        <x:v>NCT-0349</x:v>
      </x:c>
      <x:c r="B214" s="28" t="str">
        <x:v>миндаль</x:v>
      </x:c>
      <x:c r="C214" s="28" t="str">
        <x:v>лимон</x:v>
      </x:c>
      <x:c r="D214" s="28" t="str">
        <x:v>Фрукты и ягоды</x:v>
      </x:c>
      <x:c r="E214" s="28" t="str">
        <x:v>контраст кислоты и жирной/горькой матрицы</x:v>
      </x:c>
      <x:c r="F214" s="28" t="str">
        <x:v>Миндаль имеет профиль «ореховый, сладкий, марципановый, слегка зелёный; после обжарки — карамельный и жареный».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1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14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14" s="28" t="str">
        <x:v>пралине, паста, выпечка, гарнир, соус, молочный или коктейльный компонент с лимон</x:v>
      </x:c>
      <x:c r="J214" s="28" t="str">
        <x:v>Высокая</x:v>
      </x:c>
      <x:c r="K214" s="28" t="str">
        <x:v>Таблица сочетания(1).pdf | Тезариус вкусов (Ники Сегнит)(1).pdf</x:v>
      </x:c>
      <x:c r="L214" s="28" t="str">
        <x:v>Таблица сочетания(1).pdf: 11; Тезариус вкусов (Ники Сегнит)(1).pdf: 645, 805</x:v>
      </x:c>
    </x:row>
    <x:row r="215" ht="64" customHeight="1">
      <x:c r="A215" s="28" t="str">
        <x:v>NCT-0350</x:v>
      </x:c>
      <x:c r="B215" s="28" t="str">
        <x:v>миндаль</x:v>
      </x:c>
      <x:c r="C215" s="28" t="str">
        <x:v>листья кассии</x:v>
      </x:c>
      <x:c r="D215" s="28" t="str">
        <x:v>Прочее</x:v>
      </x:c>
      <x:c r="E215" s="28" t="str">
        <x:v>сенсорная комплементарность</x:v>
      </x:c>
      <x:c r="F215" s="28" t="str">
        <x:v>Миндаль имеет профиль «ореховый, сладкий, марципановый, слегка зелёный; после обжарки — карамельный и жареный». Партнёр «листья кассии»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1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15" s="28" t="str">
        <x:v>аллерген; быстро прогоркает после помола; горький миндаль и ядра косточковых не взаимозаменяемы</x:v>
      </x:c>
      <x:c r="I215" s="28" t="str">
        <x:v>пралине, паста, выпечка, гарнир, соус, молочный или коктейльный компонент с листья кассии</x:v>
      </x:c>
      <x:c r="J215" s="28" t="str">
        <x:v>Гипотеза / практическая</x:v>
      </x:c>
      <x:c r="K215" s="28" t="str">
        <x:v>Таблица сочетания(1).pdf</x:v>
      </x:c>
      <x:c r="L215" s="28" t="str">
        <x:v>Таблица сочетания(1).pdf: 1</x:v>
      </x:c>
    </x:row>
    <x:row r="216" ht="64" customHeight="1">
      <x:c r="A216" s="28" t="str">
        <x:v>NCT-0351</x:v>
      </x:c>
      <x:c r="B216" s="28" t="str">
        <x:v>миндаль</x:v>
      </x:c>
      <x:c r="C216" s="28" t="str">
        <x:v>малина</x:v>
      </x:c>
      <x:c r="D216" s="28" t="str">
        <x:v>Прочее</x:v>
      </x:c>
      <x:c r="E216" s="28" t="str">
        <x:v>сенсорная комплементарность</x:v>
      </x:c>
      <x:c r="F216" s="28" t="str">
        <x:v>Миндаль имеет профиль «ореховый, сладкий, марципановый, слегка зелёный; после обжарки — карамельный и жареный». Партнёр «малина» относится к группе «Прочее» и даёт цветочный, ягодный.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1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16" s="28" t="str">
        <x:v>аллерген; быстро прогоркает после помола; горький миндаль и ядра косточковых не взаимозаменяемы</x:v>
      </x:c>
      <x:c r="I216" s="28" t="str">
        <x:v>пралине, паста, выпечка, гарнир, соус, молочный или коктейльный компонент с малина</x:v>
      </x:c>
      <x:c r="J216" s="28" t="str">
        <x:v>Средняя</x:v>
      </x:c>
      <x:c r="K216" s="28" t="str">
        <x:v>Тезариус вкусов (Ники Сегнит)(1).pdf</x:v>
      </x:c>
      <x:c r="L216" s="28" t="str">
        <x:v>Тезариус вкусов (Ники Сегнит)(1).pdf: 646, 887</x:v>
      </x:c>
    </x:row>
    <x:row r="217" ht="64" customHeight="1">
      <x:c r="A217" s="28" t="str">
        <x:v>NCT-0352</x:v>
      </x:c>
      <x:c r="B217" s="28" t="str">
        <x:v>миндаль</x:v>
      </x:c>
      <x:c r="C217" s="28" t="str">
        <x:v>моллюски</x:v>
      </x:c>
      <x:c r="D217" s="28" t="str">
        <x:v>Прочее</x:v>
      </x:c>
      <x:c r="E217" s="28" t="str">
        <x:v>сенсорная комплементарность</x:v>
      </x:c>
      <x:c r="F217" s="28" t="str">
        <x:v>Миндаль имеет профиль «ореховый, сладкий, марципановый, слегка зелёный; после обжарки — карамельный и жареный». Партнёр «моллюски»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1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17" s="28" t="str">
        <x:v>аллерген; быстро прогоркает после помола; горький миндаль и ядра косточковых не взаимозаменяемы</x:v>
      </x:c>
      <x:c r="I217" s="28" t="str">
        <x:v>пралине, паста, выпечка, гарнир, соус, молочный или коктейльный компонент с моллюски</x:v>
      </x:c>
      <x:c r="J217" s="28" t="str">
        <x:v>Средняя</x:v>
      </x:c>
      <x:c r="K217" s="28" t="str">
        <x:v>Тезариус вкусов (Ники Сегнит)(1).pdf</x:v>
      </x:c>
      <x:c r="L217" s="28" t="str">
        <x:v>Тезариус вкусов (Ники Сегнит)(1).pdf: 373, 646</x:v>
      </x:c>
    </x:row>
    <x:row r="218" ht="64" customHeight="1">
      <x:c r="A218" s="28" t="str">
        <x:v>NCT-0353</x:v>
      </x:c>
      <x:c r="B218" s="28" t="str">
        <x:v>миндаль</x:v>
      </x:c>
      <x:c r="C218" s="28" t="str">
        <x:v>мускатный орех</x:v>
      </x:c>
      <x:c r="D218" s="28" t="str">
        <x:v>Орехи и семена</x:v>
      </x:c>
      <x:c r="E218" s="28" t="str">
        <x:v>пересечение ароматических семейств, жареная химия и реакции Майяра</x:v>
      </x:c>
      <x:c r="F218" s="28" t="str">
        <x:v>Миндаль имеет профиль «ореховый, сладкий, марципановый, слегка зелёный; после обжарки — карамельный и жареный».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механизм не следует сводить к одной общей молекуле.</x:v>
      </x:c>
      <x:c r="G21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18" s="28" t="str">
        <x:v>аллерген; быстро прогоркает после помола; горький миндаль и ядра косточковых не взаимозаменяемы</x:v>
      </x:c>
      <x:c r="I218" s="28" t="str">
        <x:v>пралине, паста, выпечка, гарнир, соус, молочный или коктейльный компонент с мускатный орех</x:v>
      </x:c>
      <x:c r="J218" s="28" t="str">
        <x:v>Гипотеза / практическая</x:v>
      </x:c>
      <x:c r="K218" s="28" t="str">
        <x:v>Таблица сочетания(1).pdf</x:v>
      </x:c>
      <x:c r="L218" s="28" t="str">
        <x:v>Таблица сочетания(1).pdf: 1</x:v>
      </x:c>
    </x:row>
    <x:row r="219" ht="64" customHeight="1">
      <x:c r="A219" s="28" t="str">
        <x:v>NCT-0354</x:v>
      </x:c>
      <x:c r="B219" s="28" t="str">
        <x:v>миндаль</x:v>
      </x:c>
      <x:c r="C219" s="28" t="str">
        <x:v>мёд</x:v>
      </x:c>
      <x:c r="D219" s="28" t="str">
        <x:v>Выпечка, сахара и десерты</x:v>
      </x:c>
      <x:c r="E219" s="28" t="str">
        <x:v>жареная химия и реакции Майяра</x:v>
      </x:c>
      <x:c r="F219" s="28" t="str">
        <x:v>Миндаль имеет профиль «ореховый, сладкий, марципановый, слегка зелёный; после обжарки — карамельный и жареный». Партнёр «мёд» относится к группе «Выпечка, сахара и десерты» и даёт медовый, цветочный.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1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19" s="28" t="str">
        <x:v>аллерген; быстро прогоркает после помола; горький миндаль и ядра косточковых не взаимозаменяемы</x:v>
      </x:c>
      <x:c r="I219" s="28" t="str">
        <x:v>пралине, паста, выпечка, гарнир, соус, молочный или коктейльный компонент с мёд</x:v>
      </x:c>
      <x:c r="J219" s="28" t="str">
        <x:v>Гипотеза / практическая</x:v>
      </x:c>
      <x:c r="K219" s="28" t="str">
        <x:v>Таблица сочетания(1).pdf</x:v>
      </x:c>
      <x:c r="L219" s="28" t="str">
        <x:v>Таблица сочетания(1).pdf: 1</x:v>
      </x:c>
    </x:row>
    <x:row r="220" ht="64" customHeight="1">
      <x:c r="A220" s="28" t="str">
        <x:v>NCT-0355</x:v>
      </x:c>
      <x:c r="B220" s="28" t="str">
        <x:v>миндаль</x:v>
      </x:c>
      <x:c r="C220" s="28" t="str">
        <x:v>нектарин</x:v>
      </x:c>
      <x:c r="D220" s="28" t="str">
        <x:v>Прочее</x:v>
      </x:c>
      <x:c r="E220" s="28" t="str">
        <x:v>сенсорная комплементарность</x:v>
      </x:c>
      <x:c r="F220" s="28" t="str">
        <x:v>Миндаль имеет профиль «ореховый, сладкий, марципановый, слегка зелёный; после обжарки — карамельный и жареный». Партнёр «нектарин»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2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20" s="28" t="str">
        <x:v>аллерген; быстро прогоркает после помола; горький миндаль и ядра косточковых не взаимозаменяемы</x:v>
      </x:c>
      <x:c r="I220" s="28" t="str">
        <x:v>пралине, паста, выпечка, гарнир, соус, молочный или коктейльный компонент с нектарин</x:v>
      </x:c>
      <x:c r="J220" s="28" t="str">
        <x:v>Гипотеза / практическая</x:v>
      </x:c>
      <x:c r="K220" s="28" t="str">
        <x:v>Таблица сочетания(1).pdf</x:v>
      </x:c>
      <x:c r="L220" s="28" t="str">
        <x:v>Таблица сочетания(1).pdf: 14</x:v>
      </x:c>
    </x:row>
    <x:row r="221" ht="64" customHeight="1">
      <x:c r="A221" s="28" t="str">
        <x:v>NCT-0356</x:v>
      </x:c>
      <x:c r="B221" s="28" t="str">
        <x:v>миндаль</x:v>
      </x:c>
      <x:c r="C221" s="28" t="str">
        <x:v>оливки</x:v>
      </x:c>
      <x:c r="D221" s="28" t="str">
        <x:v>Прочее</x:v>
      </x:c>
      <x:c r="E221" s="28" t="str">
        <x:v>сенсорная комплементарность</x:v>
      </x:c>
      <x:c r="F221" s="28" t="str">
        <x:v>Миндаль имеет профиль «ореховый, сладкий, марципановый, слегка зелёный; после обжарки — карамельный и жареный». Партнёр «оливки»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2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21" s="28" t="str">
        <x:v>аллерген; быстро прогоркает после помола; горький миндаль и ядра косточковых не взаимозаменяемы</x:v>
      </x:c>
      <x:c r="I221" s="28" t="str">
        <x:v>пралине, паста, выпечка, гарнир, соус, молочный или коктейльный компонент с оливки</x:v>
      </x:c>
      <x:c r="J221" s="28" t="str">
        <x:v>Средняя</x:v>
      </x:c>
      <x:c r="K221" s="28" t="str">
        <x:v>Тезариус вкусов (Ники Сегнит)(1).pdf</x:v>
      </x:c>
      <x:c r="L221" s="28" t="str">
        <x:v>Тезариус вкусов (Ники Сегнит)(1).pdf: 468, 646</x:v>
      </x:c>
    </x:row>
    <x:row r="222" ht="64" customHeight="1">
      <x:c r="A222" s="28" t="str">
        <x:v>NCT-0357</x:v>
      </x:c>
      <x:c r="B222" s="28" t="str">
        <x:v>миндаль</x:v>
      </x:c>
      <x:c r="C222" s="28" t="str">
        <x:v>оливковое масло</x:v>
      </x:c>
      <x:c r="D222" s="28" t="str">
        <x:v>Масла и жиры</x:v>
      </x:c>
      <x:c r="E222" s="28" t="str">
        <x:v>сенсорная комплементарность</x:v>
      </x:c>
      <x:c r="F222" s="28" t="str">
        <x:v>Миндаль имеет профиль «ореховый, сладкий, марципановый, слегка зелёный; после обжарки — карамельный и жареный». Партнёр «оливковое масло» относится к группе «Масла и жиры» и даёт жирный и мягкий.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2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22" s="28" t="str">
        <x:v>аллерген; быстро прогоркает после помола; горький миндаль и ядра косточковых не взаимозаменяемы</x:v>
      </x:c>
      <x:c r="I222" s="28" t="str">
        <x:v>пралине, паста, выпечка, гарнир, соус, молочный или коктейльный компонент с оливковое масло</x:v>
      </x:c>
      <x:c r="J222" s="28" t="str">
        <x:v>Средняя</x:v>
      </x:c>
      <x:c r="K222" s="28" t="str">
        <x:v>The Art &amp; Science of Foodpairing.pdf</x:v>
      </x:c>
      <x:c r="L222" s="28" t="str">
        <x:v>The Art &amp; Science of Foodpairing.pdf: 172</x:v>
      </x:c>
    </x:row>
    <x:row r="223" ht="64" customHeight="1">
      <x:c r="A223" s="28" t="str">
        <x:v>NCT-0358</x:v>
      </x:c>
      <x:c r="B223" s="28" t="str">
        <x:v>миндаль</x:v>
      </x:c>
      <x:c r="C223" s="28" t="str">
        <x:v>пармезан</x:v>
      </x:c>
      <x:c r="D223" s="28" t="str">
        <x:v>Прочее</x:v>
      </x:c>
      <x:c r="E223" s="28" t="str">
        <x:v>сенсорная комплементарность</x:v>
      </x:c>
      <x:c r="F223" s="28" t="str">
        <x:v>Миндаль имеет профиль «ореховый, сладкий, марципановый, слегка зелёный; после обжарки — карамельный и жареный». Партнёр «пармезан»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2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23" s="28" t="str">
        <x:v>аллерген; быстро прогоркает после помола; горький миндаль и ядра косточковых не взаимозаменяемы</x:v>
      </x:c>
      <x:c r="I223" s="28" t="str">
        <x:v>пралине, паста, выпечка, гарнир, соус, молочный или коктейльный компонент с пармезан</x:v>
      </x:c>
      <x:c r="J223" s="28" t="str">
        <x:v>Средняя</x:v>
      </x:c>
      <x:c r="K223" s="28" t="str">
        <x:v>The Art &amp; Science of Foodpairing.pdf</x:v>
      </x:c>
      <x:c r="L223" s="28" t="str">
        <x:v>The Art &amp; Science of Foodpairing.pdf: 282</x:v>
      </x:c>
    </x:row>
    <x:row r="224" ht="64" customHeight="1">
      <x:c r="A224" s="28" t="str">
        <x:v>NCT-0359</x:v>
      </x:c>
      <x:c r="B224" s="28" t="str">
        <x:v>миндаль</x:v>
      </x:c>
      <x:c r="C224" s="28" t="str">
        <x:v>перец</x:v>
      </x:c>
      <x:c r="D224" s="28" t="str">
        <x:v>Специи</x:v>
      </x:c>
      <x:c r="E224" s="28" t="str">
        <x:v>сенсорная комплементарность</x:v>
      </x:c>
      <x:c r="F224" s="28" t="str">
        <x:v>Миндаль имеет профиль «ореховый, сладкий, марципановый, слегка зелёный; после обжарки — карамельный и жареный». Партнёр «перец»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2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24" s="28" t="str">
        <x:v>аллерген; быстро прогоркает после помола; горький миндаль и ядра косточковых не взаимозаменяемы</x:v>
      </x:c>
      <x:c r="I224" s="28" t="str">
        <x:v>пралине, паста, выпечка, гарнир, соус, молочный или коктейльный компонент с перец</x:v>
      </x:c>
      <x:c r="J224" s="28" t="str">
        <x:v>Гипотеза / практическая</x:v>
      </x:c>
      <x:c r="K224" s="28" t="str">
        <x:v>Таблица сочетания(1).pdf</x:v>
      </x:c>
      <x:c r="L224" s="28" t="str">
        <x:v>Таблица сочетания(1).pdf: 1</x:v>
      </x:c>
    </x:row>
    <x:row r="225" ht="64" customHeight="1">
      <x:c r="A225" s="28" t="str">
        <x:v>NCT-0360</x:v>
      </x:c>
      <x:c r="B225" s="28" t="str">
        <x:v>миндаль</x:v>
      </x:c>
      <x:c r="C225" s="28" t="str">
        <x:v>персик</x:v>
      </x:c>
      <x:c r="D225" s="28" t="str">
        <x:v>Фрукты и ягоды</x:v>
      </x:c>
      <x:c r="E225" s="28" t="str">
        <x:v>контраст кислоты и жирной/горькой матрицы</x:v>
      </x:c>
      <x:c r="F225" s="28" t="str">
        <x:v>Миндаль имеет профиль «ореховый, сладкий, марципановый, слегка зелёный; после обжарки — карамельный и жареный». Партнёр «персик» относится к группе «Фрукты и ягоды» и даёт лактонный, фруктовый, цветочный.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2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25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25" s="28" t="str">
        <x:v>пралине, паста, выпечка, гарнир, соус, молочный или коктейльный компонент с персик</x:v>
      </x:c>
      <x:c r="J225" s="28" t="str">
        <x:v>Высокая</x:v>
      </x:c>
      <x:c r="K225" s="28" t="str">
        <x:v>Таблица сочетания(1).pdf | Тезариус вкусов (Ники Сегнит)(1).pdf</x:v>
      </x:c>
      <x:c r="L225" s="28" t="str">
        <x:v>Таблица сочетания(1).pdf: 1, 15; Тезариус вкусов (Ники Сегнит)(1).pdf: 646, 751</x:v>
      </x:c>
    </x:row>
    <x:row r="226" ht="64" customHeight="1">
      <x:c r="A226" s="28" t="str">
        <x:v>NCT-0361</x:v>
      </x:c>
      <x:c r="B226" s="28" t="str">
        <x:v>миндаль</x:v>
      </x:c>
      <x:c r="C226" s="28" t="str">
        <x:v>петрушка</x:v>
      </x:c>
      <x:c r="D226" s="28" t="str">
        <x:v>Травы, цветы и листья</x:v>
      </x:c>
      <x:c r="E226" s="28" t="str">
        <x:v>сенсорная комплементарность</x:v>
      </x:c>
      <x:c r="F226" s="28" t="str">
        <x:v>Миндаль имеет профиль «ореховый, сладкий, марципановый, слегка зелёный; после обжарки — карамельный и жареный». Партнёр «петрушка»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2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26" s="28" t="str">
        <x:v>аллерген; быстро прогоркает после помола; горький миндаль и ядра косточковых не взаимозаменяемы</x:v>
      </x:c>
      <x:c r="I226" s="28" t="str">
        <x:v>пралине, паста, выпечка, гарнир, соус, молочный или коктейльный компонент с петрушка</x:v>
      </x:c>
      <x:c r="J226" s="28" t="str">
        <x:v>Гипотеза / практическая</x:v>
      </x:c>
      <x:c r="K226" s="28" t="str">
        <x:v>Таблица сочетания(1).pdf</x:v>
      </x:c>
      <x:c r="L226" s="28" t="str">
        <x:v>Таблица сочетания(1).pdf: 1</x:v>
      </x:c>
    </x:row>
    <x:row r="227" ht="64" customHeight="1">
      <x:c r="A227" s="28" t="str">
        <x:v>NCT-0362</x:v>
      </x:c>
      <x:c r="B227" s="28" t="str">
        <x:v>миндаль</x:v>
      </x:c>
      <x:c r="C227" s="28" t="str">
        <x:v>питахайя (dragon fruit)</x:v>
      </x:c>
      <x:c r="D227" s="28" t="str">
        <x:v>Прочее</x:v>
      </x:c>
      <x:c r="E227" s="28" t="str">
        <x:v>сенсорная комплементарность</x:v>
      </x:c>
      <x:c r="F227" s="28" t="str">
        <x:v>Миндаль имеет профиль «ореховый, сладкий, марципановый, слегка зелёный; после обжарки — карамельный и жареный». Партнёр «питахайя (dragon fruit)»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2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27" s="28" t="str">
        <x:v>аллерген; быстро прогоркает после помола; горький миндаль и ядра косточковых не взаимозаменяемы</x:v>
      </x:c>
      <x:c r="I227" s="28" t="str">
        <x:v>пралине, паста, выпечка, гарнир, соус, молочный или коктейльный компонент с питахайя (dragon fruit)</x:v>
      </x:c>
      <x:c r="J227" s="28" t="str">
        <x:v>Гипотеза / практическая</x:v>
      </x:c>
      <x:c r="K227" s="28" t="str">
        <x:v>Таблица сочетания(1).pdf</x:v>
      </x:c>
      <x:c r="L227" s="28" t="str">
        <x:v>Таблица сочетания(1).pdf: 7</x:v>
      </x:c>
    </x:row>
    <x:row r="228" ht="64" customHeight="1">
      <x:c r="A228" s="28" t="str">
        <x:v>NCT-0363</x:v>
      </x:c>
      <x:c r="B228" s="28" t="str">
        <x:v>миндаль</x:v>
      </x:c>
      <x:c r="C228" s="28" t="str">
        <x:v>ревень</x:v>
      </x:c>
      <x:c r="D228" s="28" t="str">
        <x:v>Фрукты и ягоды</x:v>
      </x:c>
      <x:c r="E228" s="28" t="str">
        <x:v>контраст кислоты и жирной/горькой матрицы</x:v>
      </x:c>
      <x:c r="F228" s="28" t="str">
        <x:v>Миндаль имеет профиль «ореховый, сладкий, марципановый, слегка зелёный; после обжарки — карамельный и жареный». Партнёр «ревень»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2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28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28" s="28" t="str">
        <x:v>пралине, паста, выпечка, гарнир, соус, молочный или коктейльный компонент с ревень</x:v>
      </x:c>
      <x:c r="J228" s="28" t="str">
        <x:v>Средняя</x:v>
      </x:c>
      <x:c r="K228" s="28" t="str">
        <x:v>Тезариус вкусов (Ники Сегнит)(1).pdf</x:v>
      </x:c>
      <x:c r="L228" s="28" t="str">
        <x:v>Тезариус вкусов (Ники Сегнит)(1).pdf: 646, 674</x:v>
      </x:c>
    </x:row>
    <x:row r="229" ht="64" customHeight="1">
      <x:c r="A229" s="28" t="str">
        <x:v>NCT-0364</x:v>
      </x:c>
      <x:c r="B229" s="28" t="str">
        <x:v>миндаль</x:v>
      </x:c>
      <x:c r="C229" s="28" t="str">
        <x:v>роза</x:v>
      </x:c>
      <x:c r="D229" s="28" t="str">
        <x:v>Травы, цветы и листья</x:v>
      </x:c>
      <x:c r="E229" s="28" t="str">
        <x:v>сенсорная комплементарность</x:v>
      </x:c>
      <x:c r="F229" s="28" t="str">
        <x:v>Миндаль имеет профиль «ореховый, сладкий, марципановый, слегка зелёный; после обжарки — карамельный и жареный». Партнёр «роза» относится к группе «Травы, цветы и листья» и даёт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2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29" s="28" t="str">
        <x:v>аллерген; быстро прогоркает после помола; горький миндаль и ядра косточковых не взаимозаменяемы</x:v>
      </x:c>
      <x:c r="I229" s="28" t="str">
        <x:v>пралине, паста, выпечка, гарнир, соус, молочный или коктейльный компонент с роза</x:v>
      </x:c>
      <x:c r="J229" s="28" t="str">
        <x:v>Средняя</x:v>
      </x:c>
      <x:c r="K229" s="28" t="str">
        <x:v>Тезариус вкусов (Ники Сегнит)(1).pdf</x:v>
      </x:c>
      <x:c r="L229" s="28" t="str">
        <x:v>Тезариус вкусов (Ники Сегнит)(1).pdf: 647, 900</x:v>
      </x:c>
    </x:row>
    <x:row r="230" ht="64" customHeight="1">
      <x:c r="A230" s="28" t="str">
        <x:v>NCT-0365</x:v>
      </x:c>
      <x:c r="B230" s="28" t="str">
        <x:v>миндаль</x:v>
      </x:c>
      <x:c r="C230" s="28" t="str">
        <x:v>розмарин</x:v>
      </x:c>
      <x:c r="D230" s="28" t="str">
        <x:v>Травы, цветы и листья</x:v>
      </x:c>
      <x:c r="E230" s="28" t="str">
        <x:v>сенсорная комплементарность</x:v>
      </x:c>
      <x:c r="F230" s="28" t="str">
        <x:v>Миндаль имеет профиль «ореховый, сладкий, марципановый, слегка зелёный; после обжарки — карамельный и жареный». Партнёр «розмарин»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3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30" s="28" t="str">
        <x:v>аллерген; быстро прогоркает после помола; горький миндаль и ядра косточковых не взаимозаменяемы</x:v>
      </x:c>
      <x:c r="I230" s="28" t="str">
        <x:v>пралине, паста, выпечка, гарнир, соус, молочный или коктейльный компонент с розмарин</x:v>
      </x:c>
      <x:c r="J230" s="28" t="str">
        <x:v>Средняя</x:v>
      </x:c>
      <x:c r="K230" s="28" t="str">
        <x:v>Тезариус вкусов (Ники Сегнит)(1).pdf</x:v>
      </x:c>
      <x:c r="L230" s="28" t="str">
        <x:v>Тезариус вкусов (Ники Сегнит)(1).pdf: 647, 838</x:v>
      </x:c>
    </x:row>
    <x:row r="231" ht="64" customHeight="1">
      <x:c r="A231" s="28" t="str">
        <x:v>NCT-0366</x:v>
      </x:c>
      <x:c r="B231" s="28" t="str">
        <x:v>миндаль</x:v>
      </x:c>
      <x:c r="C231" s="28" t="str">
        <x:v>ромашка</x:v>
      </x:c>
      <x:c r="D231" s="28" t="str">
        <x:v>Алкогольные напитки</x:v>
      </x:c>
      <x:c r="E231" s="28" t="str">
        <x:v>сенсорная комплементарность</x:v>
      </x:c>
      <x:c r="F231" s="28" t="str">
        <x:v>Миндаль имеет профиль «ореховый, сладкий, марципановый, слегка зелёный; после обжарки — карамельный и жареный». Партнёр «ромашка» относится к группе «Алкогольные напитки» и даёт спиртовой, фруктовый или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3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31" s="28" t="str">
        <x:v>аллерген; быстро прогоркает после помола; горький миндаль и ядра косточковых не взаимозаменяемы</x:v>
      </x:c>
      <x:c r="I231" s="28" t="str">
        <x:v>пралине, паста, выпечка, гарнир, соус, молочный или коктейльный компонент с ромашка</x:v>
      </x:c>
      <x:c r="J231" s="28" t="str">
        <x:v>Гипотеза / практическая</x:v>
      </x:c>
      <x:c r="K231" s="28" t="str">
        <x:v>Таблица сочетания(1).pdf</x:v>
      </x:c>
      <x:c r="L231" s="28" t="str">
        <x:v>Таблица сочетания(1).pdf: 4</x:v>
      </x:c>
    </x:row>
    <x:row r="232" ht="64" customHeight="1">
      <x:c r="A232" s="28" t="str">
        <x:v>NCT-0367</x:v>
      </x:c>
      <x:c r="B232" s="28" t="str">
        <x:v>миндаль</x:v>
      </x:c>
      <x:c r="C232" s="28" t="str">
        <x:v>семена нигеллы</x:v>
      </x:c>
      <x:c r="D232" s="28" t="str">
        <x:v>Прочее</x:v>
      </x:c>
      <x:c r="E232" s="28" t="str">
        <x:v>сенсорная комплементарность</x:v>
      </x:c>
      <x:c r="F232" s="28" t="str">
        <x:v>Миндаль имеет профиль «ореховый, сладкий, марципановый, слегка зелёный; после обжарки — карамельный и жареный». Партнёр «семена нигеллы»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3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32" s="28" t="str">
        <x:v>аллерген; быстро прогоркает после помола; горький миндаль и ядра косточковых не взаимозаменяемы</x:v>
      </x:c>
      <x:c r="I232" s="28" t="str">
        <x:v>пралине, паста, выпечка, гарнир, соус, молочный или коктейльный компонент с семена нигеллы</x:v>
      </x:c>
      <x:c r="J232" s="28" t="str">
        <x:v>Высокая</x:v>
      </x:c>
      <x:c r="K232" s="28" t="str">
        <x:v>The Art &amp; Science of Foodpairing.pdf</x:v>
      </x:c>
      <x:c r="L232" s="28" t="str">
        <x:v>The Art &amp; Science of Foodpairing.pdf: 346</x:v>
      </x:c>
    </x:row>
    <x:row r="233" ht="64" customHeight="1">
      <x:c r="A233" s="28" t="str">
        <x:v>NCT-0368</x:v>
      </x:c>
      <x:c r="B233" s="28" t="str">
        <x:v>миндаль</x:v>
      </x:c>
      <x:c r="C233" s="28" t="str">
        <x:v>слива</x:v>
      </x:c>
      <x:c r="D233" s="28" t="str">
        <x:v>Фрукты и ягоды</x:v>
      </x:c>
      <x:c r="E233" s="28" t="str">
        <x:v>контраст кислоты и жирной/горькой матрицы</x:v>
      </x:c>
      <x:c r="F233" s="28" t="str">
        <x:v>Миндаль имеет профиль «ореховый, сладкий, марципановый, слегка зелёный; после обжарки — карамельный и жареный». Партнёр «слива»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3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33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33" s="28" t="str">
        <x:v>пралине, паста, выпечка, гарнир, соус, молочный или коктейльный компонент с слива</x:v>
      </x:c>
      <x:c r="J233" s="28" t="str">
        <x:v>Гипотеза / практическая</x:v>
      </x:c>
      <x:c r="K233" s="28" t="str">
        <x:v>Таблица сочетания(1).pdf</x:v>
      </x:c>
      <x:c r="L233" s="28" t="str">
        <x:v>Таблица сочетания(1).pdf: 1, 17</x:v>
      </x:c>
    </x:row>
    <x:row r="234" ht="64" customHeight="1">
      <x:c r="A234" s="28" t="str">
        <x:v>NCT-0369</x:v>
      </x:c>
      <x:c r="B234" s="28" t="str">
        <x:v>миндаль</x:v>
      </x:c>
      <x:c r="C234" s="28" t="str">
        <x:v>см. также чеснок</x:v>
      </x:c>
      <x:c r="D234" s="28" t="str">
        <x:v>Овощи, бобовые и грибы</x:v>
      </x:c>
      <x:c r="E234" s="28" t="str">
        <x:v>сенсорная комплементарность</x:v>
      </x:c>
      <x:c r="F234" s="28" t="str">
        <x:v>Миндаль имеет профиль «ореховый, сладкий, марципановый, слегка зелёный; после обжарки — карамельный и жареный». Партнёр «см. также чеснок»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3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34" s="28" t="str">
        <x:v>аллерген; быстро прогоркает после помола; горький миндаль и ядра косточковых не взаимозаменяемы</x:v>
      </x:c>
      <x:c r="I234" s="28" t="str">
        <x:v>пралине, паста, выпечка, гарнир, соус, молочный или коктейльный компонент с см. также чеснок</x:v>
      </x:c>
      <x:c r="J234" s="28" t="str">
        <x:v>Средняя</x:v>
      </x:c>
      <x:c r="K234" s="28" t="str">
        <x:v>Тезариус вкусов (Ники Сегнит)(1).pdf</x:v>
      </x:c>
      <x:c r="L234" s="28" t="str">
        <x:v>Тезариус вкусов (Ники Сегнит)(1).pdf: 668</x:v>
      </x:c>
    </x:row>
    <x:row r="235" ht="64" customHeight="1">
      <x:c r="A235" s="28" t="str">
        <x:v>NCT-0370</x:v>
      </x:c>
      <x:c r="B235" s="28" t="str">
        <x:v>миндаль</x:v>
      </x:c>
      <x:c r="C235" s="28" t="str">
        <x:v>спаржа</x:v>
      </x:c>
      <x:c r="D235" s="28" t="str">
        <x:v>Овощи, бобовые и грибы</x:v>
      </x:c>
      <x:c r="E235" s="28" t="str">
        <x:v>сенсорная комплементарность</x:v>
      </x:c>
      <x:c r="F235" s="28" t="str">
        <x:v>Миндаль имеет профиль «ореховый, сладкий, марципановый, слегка зелёный; после обжарки — карамельный и жареный». Партнёр «спаржа»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3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35" s="28" t="str">
        <x:v>аллерген; быстро прогоркает после помола; горький миндаль и ядра косточковых не взаимозаменяемы</x:v>
      </x:c>
      <x:c r="I235" s="28" t="str">
        <x:v>пралине, паста, выпечка, гарнир, соус, молочный или коктейльный компонент с спаржа</x:v>
      </x:c>
      <x:c r="J235" s="28" t="str">
        <x:v>Средняя</x:v>
      </x:c>
      <x:c r="K235" s="28" t="str">
        <x:v>Тезариус вкусов (Ники Сегнит)(1).pdf</x:v>
      </x:c>
      <x:c r="L235" s="28" t="str">
        <x:v>Тезариус вкусов (Ники Сегнит)(1).pdf: 347, 648</x:v>
      </x:c>
    </x:row>
    <x:row r="236" ht="64" customHeight="1">
      <x:c r="A236" s="28" t="str">
        <x:v>NCT-0371</x:v>
      </x:c>
      <x:c r="B236" s="28" t="str">
        <x:v>миндаль</x:v>
      </x:c>
      <x:c r="C236" s="28" t="str">
        <x:v>твердый сыр</x:v>
      </x:c>
      <x:c r="D236" s="28" t="str">
        <x:v>Молочные продукты и сыры</x:v>
      </x:c>
      <x:c r="E236" s="28" t="str">
        <x:v>жировая экстракция и связывание полифенолов белком</x:v>
      </x:c>
      <x:c r="F236" s="28" t="str">
        <x:v>Миндаль имеет профиль «ореховый, сладкий, марципановый, слегка зелёный; после обжарки — карамельный и жареный». Партнёр «твердый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3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36" s="28" t="str">
        <x:v>аллерген; быстро прогоркает после помола; горький миндаль и ядра косточковых не взаимозаменяемы; жир способен приглушить тонкую ароматику; белок связывает полифенолы</x:v>
      </x:c>
      <x:c r="I236" s="28" t="str">
        <x:v>пралине, паста, выпечка, гарнир, соус, молочный или коктейльный компонент с твердый сыр</x:v>
      </x:c>
      <x:c r="J236" s="28" t="str">
        <x:v>Средняя</x:v>
      </x:c>
      <x:c r="K236" s="28" t="str">
        <x:v>Тезариус вкусов (Ники Сегнит)(1).pdf</x:v>
      </x:c>
      <x:c r="L236" s="28" t="str">
        <x:v>Тезариус вкусов (Ники Сегнит)(1).pdf: 174, 648</x:v>
      </x:c>
    </x:row>
    <x:row r="237" ht="64" customHeight="1">
      <x:c r="A237" s="28" t="str">
        <x:v>NCT-0372</x:v>
      </x:c>
      <x:c r="B237" s="28" t="str">
        <x:v>миндаль</x:v>
      </x:c>
      <x:c r="C237" s="28" t="str">
        <x:v>текила</x:v>
      </x:c>
      <x:c r="D237" s="28" t="str">
        <x:v>Прочее</x:v>
      </x:c>
      <x:c r="E237" s="28" t="str">
        <x:v>сенсорная комплементарность</x:v>
      </x:c>
      <x:c r="F237" s="28" t="str">
        <x:v>Миндаль имеет профиль «ореховый, сладкий, марципановый, слегка зелёный; после обжарки — карамельный и жареный». Партнёр «текила»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3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37" s="28" t="str">
        <x:v>аллерген; быстро прогоркает после помола; горький миндаль и ядра косточковых не взаимозаменяемы</x:v>
      </x:c>
      <x:c r="I237" s="28" t="str">
        <x:v>пралине, паста, выпечка, гарнир, соус, молочный или коктейльный компонент с текила</x:v>
      </x:c>
      <x:c r="J237" s="28" t="str">
        <x:v>Средняя</x:v>
      </x:c>
      <x:c r="K237" s="28" t="str">
        <x:v>The Art &amp; Science of Foodpairing.pdf</x:v>
      </x:c>
      <x:c r="L237" s="28" t="str">
        <x:v>The Art &amp; Science of Foodpairing.pdf: 82</x:v>
      </x:c>
    </x:row>
    <x:row r="238" ht="64" customHeight="1">
      <x:c r="A238" s="28" t="str">
        <x:v>NCT-0373</x:v>
      </x:c>
      <x:c r="B238" s="28" t="str">
        <x:v>миндаль</x:v>
      </x:c>
      <x:c r="C238" s="28" t="str">
        <x:v>тыква баттернат</x:v>
      </x:c>
      <x:c r="D238" s="28" t="str">
        <x:v>Овощи, бобовые и грибы</x:v>
      </x:c>
      <x:c r="E238" s="28" t="str">
        <x:v>сенсорная комплементарность</x:v>
      </x:c>
      <x:c r="F238" s="28" t="str">
        <x:v>Миндаль имеет профиль «ореховый, сладкий, марципановый, слегка зелёный; после обжарки — карамельный и жареный». Партнёр «тыква баттернат»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3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38" s="28" t="str">
        <x:v>аллерген; быстро прогоркает после помола; горький миндаль и ядра косточковых не взаимозаменяемы</x:v>
      </x:c>
      <x:c r="I238" s="28" t="str">
        <x:v>пралине, паста, выпечка, гарнир, соус, молочный или коктейльный компонент с тыква баттернат</x:v>
      </x:c>
      <x:c r="J238" s="28" t="str">
        <x:v>Средняя</x:v>
      </x:c>
      <x:c r="K238" s="28" t="str">
        <x:v>Тезариус вкусов (Ники Сегнит)(1).pdf</x:v>
      </x:c>
      <x:c r="L238" s="28" t="str">
        <x:v>Тезариус вкусов (Ники Сегнит)(1).pdf: 611, 648</x:v>
      </x:c>
    </x:row>
    <x:row r="239" ht="64" customHeight="1">
      <x:c r="A239" s="28" t="str">
        <x:v>NCT-0374</x:v>
      </x:c>
      <x:c r="B239" s="28" t="str">
        <x:v>миндаль</x:v>
      </x:c>
      <x:c r="C239" s="28" t="str">
        <x:v>фиалка</x:v>
      </x:c>
      <x:c r="D239" s="28" t="str">
        <x:v>Прочее</x:v>
      </x:c>
      <x:c r="E239" s="28" t="str">
        <x:v>сенсорная комплементарность</x:v>
      </x:c>
      <x:c r="F239" s="28" t="str">
        <x:v>Миндаль имеет профиль «ореховый, сладкий, марципановый, слегка зелёный; после обжарки — карамельный и жареный». Партнёр «фиалка»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3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39" s="28" t="str">
        <x:v>аллерген; быстро прогоркает после помола; горький миндаль и ядра косточковых не взаимозаменяемы</x:v>
      </x:c>
      <x:c r="I239" s="28" t="str">
        <x:v>пралине, паста, выпечка, гарнир, соус, молочный или коктейльный компонент с фиалка</x:v>
      </x:c>
      <x:c r="J239" s="28" t="str">
        <x:v>Гипотеза / практическая</x:v>
      </x:c>
      <x:c r="K239" s="28" t="str">
        <x:v>Таблица сочетания(1).pdf</x:v>
      </x:c>
      <x:c r="L239" s="28" t="str">
        <x:v>Таблица сочетания(1).pdf: 21</x:v>
      </x:c>
    </x:row>
    <x:row r="240" ht="64" customHeight="1">
      <x:c r="A240" s="28" t="str">
        <x:v>NCT-0375</x:v>
      </x:c>
      <x:c r="B240" s="28" t="str">
        <x:v>миндаль</x:v>
      </x:c>
      <x:c r="C240" s="28" t="str">
        <x:v>финик</x:v>
      </x:c>
      <x:c r="D240" s="28" t="str">
        <x:v>Прочее</x:v>
      </x:c>
      <x:c r="E240" s="28" t="str">
        <x:v>сенсорная комплементарность</x:v>
      </x:c>
      <x:c r="F240" s="28" t="str">
        <x:v>Миндаль имеет профиль «ореховый, сладкий, марципановый, слегка зелёный; после обжарки — карамельный и жареный». Партнёр «финик»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0" s="28" t="str">
        <x:v>аллерген; быстро прогоркает после помола; горький миндаль и ядра косточковых не взаимозаменяемы</x:v>
      </x:c>
      <x:c r="I240" s="28" t="str">
        <x:v>пралине, паста, выпечка, гарнир, соус, молочный или коктейльный компонент с финик</x:v>
      </x:c>
      <x:c r="J240" s="28" t="str">
        <x:v>Гипотеза / практическая</x:v>
      </x:c>
      <x:c r="K240" s="28" t="str">
        <x:v>Таблица сочетания(1).pdf</x:v>
      </x:c>
      <x:c r="L240" s="28" t="str">
        <x:v>Таблица сочетания(1).pdf: 7</x:v>
      </x:c>
    </x:row>
    <x:row r="241" ht="64" customHeight="1">
      <x:c r="A241" s="28" t="str">
        <x:v>NCT-0376</x:v>
      </x:c>
      <x:c r="B241" s="28" t="str">
        <x:v>миндаль</x:v>
      </x:c>
      <x:c r="C241" s="28" t="str">
        <x:v>фундук</x:v>
      </x:c>
      <x:c r="D241" s="28" t="str">
        <x:v>Орехи и семена</x:v>
      </x:c>
      <x:c r="E241" s="28" t="str">
        <x:v>общие ароматические соединения, пересечение ароматических семейств, жареная химия и реакции Майяра</x:v>
      </x:c>
      <x:c r="F241" s="28" t="str">
        <x:v>Миндаль имеет профиль «ореховый, сладкий, марципановый, слегка зелёный; после обжарки — карамельный и жареный». Партнёр «фундук» относится к группе «Орехи и семена» и даёт ореховый, жареный, сладкий, землистый и какаоподобный.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ореховый; пиразины, фураны.</x:v>
      </x:c>
      <x:c r="G24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1" s="28" t="str">
        <x:v>аллерген; быстро прогоркает после помола; горький миндаль и ядра косточковых не взаимозаменяемы</x:v>
      </x:c>
      <x:c r="I241" s="28" t="str">
        <x:v>пралине, паста, выпечка, гарнир, соус, молочный или коктейльный компонент с фундук</x:v>
      </x:c>
      <x:c r="J241" s="28" t="str">
        <x:v>Средняя</x:v>
      </x:c>
      <x:c r="K241" s="28" t="str">
        <x:v>Тезариус вкусов (Ники Сегнит)(1).pdf</x:v>
      </x:c>
      <x:c r="L241" s="28" t="str">
        <x:v>Тезариус вкусов (Ники Сегнит)(1).pdf: 635, 648</x:v>
      </x:c>
    </x:row>
    <x:row r="242" ht="64" customHeight="1">
      <x:c r="A242" s="28" t="str">
        <x:v>NCT-0377</x:v>
      </x:c>
      <x:c r="B242" s="28" t="str">
        <x:v>миндаль</x:v>
      </x:c>
      <x:c r="C242" s="28" t="str">
        <x:v>хурма</x:v>
      </x:c>
      <x:c r="D242" s="28" t="str">
        <x:v>Прочее</x:v>
      </x:c>
      <x:c r="E242" s="28" t="str">
        <x:v>сенсорная комплементарность</x:v>
      </x:c>
      <x:c r="F242" s="28" t="str">
        <x:v>Миндаль имеет профиль «ореховый, сладкий, марципановый, слегка зелёный; после обжарки — карамельный и жареный». Партнёр «хурма»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2" s="28" t="str">
        <x:v>аллерген; быстро прогоркает после помола; горький миндаль и ядра косточковых не взаимозаменяемы</x:v>
      </x:c>
      <x:c r="I242" s="28" t="str">
        <x:v>пралине, паста, выпечка, гарнир, соус, молочный или коктейльный компонент с хурма</x:v>
      </x:c>
      <x:c r="J242" s="28" t="str">
        <x:v>Гипотеза / практическая</x:v>
      </x:c>
      <x:c r="K242" s="28" t="str">
        <x:v>Таблица сочетания(1).pdf</x:v>
      </x:c>
      <x:c r="L242" s="28" t="str">
        <x:v>Таблица сочетания(1).pdf: 16</x:v>
      </x:c>
    </x:row>
    <x:row r="243" ht="64" customHeight="1">
      <x:c r="A243" s="28" t="str">
        <x:v>NCT-0378</x:v>
      </x:c>
      <x:c r="B243" s="28" t="str">
        <x:v>миндаль</x:v>
      </x:c>
      <x:c r="C243" s="28" t="str">
        <x:v>цветная капуста</x:v>
      </x:c>
      <x:c r="D243" s="28" t="str">
        <x:v>Овощи, бобовые и грибы</x:v>
      </x:c>
      <x:c r="E243" s="28" t="str">
        <x:v>сенсорная комплементарность</x:v>
      </x:c>
      <x:c r="F243" s="28" t="str">
        <x:v>Миндаль имеет профиль «ореховый, сладкий, марципановый, слегка зелёный; после обжарки — карамельный и жареный». Партнёр «цветная капуста»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3" s="28" t="str">
        <x:v>аллерген; быстро прогоркает после помола; горький миндаль и ядра косточковых не взаимозаменяемы</x:v>
      </x:c>
      <x:c r="I243" s="28" t="str">
        <x:v>пралине, паста, выпечка, гарнир, соус, молочный или коктейльный компонент с цветная капуста</x:v>
      </x:c>
      <x:c r="J243" s="28" t="str">
        <x:v>Средняя</x:v>
      </x:c>
      <x:c r="K243" s="28" t="str">
        <x:v>Тезариус вкусов (Ники Сегнит)(1).pdf</x:v>
      </x:c>
      <x:c r="L243" s="28" t="str">
        <x:v>Тезариус вкусов (Ники Сегнит)(1).pdf: 324, 648</x:v>
      </x:c>
    </x:row>
    <x:row r="244" ht="64" customHeight="1">
      <x:c r="A244" s="28" t="str">
        <x:v>NCT-0379</x:v>
      </x:c>
      <x:c r="B244" s="28" t="str">
        <x:v>миндаль</x:v>
      </x:c>
      <x:c r="C244" s="28" t="str">
        <x:v>цыпленок</x:v>
      </x:c>
      <x:c r="D244" s="28" t="str">
        <x:v>Прочее</x:v>
      </x:c>
      <x:c r="E244" s="28" t="str">
        <x:v>сенсорная комплементарность</x:v>
      </x:c>
      <x:c r="F244" s="28" t="str">
        <x:v>Миндаль имеет профиль «ореховый, сладкий, марципановый, слегка зелёный; после обжарки — карамельный и жареный». Партнёр «цыпленок»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4" s="28" t="str">
        <x:v>аллерген; быстро прогоркает после помола; горький миндаль и ядра косточковых не взаимозаменяемы</x:v>
      </x:c>
      <x:c r="I244" s="28" t="str">
        <x:v>пралине, паста, выпечка, гарнир, соус, молочный или коктейльный компонент с цыпленок</x:v>
      </x:c>
      <x:c r="J244" s="28" t="str">
        <x:v>Средняя</x:v>
      </x:c>
      <x:c r="K244" s="28" t="str">
        <x:v>Тезариус вкусов (Ники Сегнит)(1).pdf</x:v>
      </x:c>
      <x:c r="L244" s="28" t="str">
        <x:v>Тезариус вкусов (Ники Сегнит)(1).pdf: 69, 648</x:v>
      </x:c>
    </x:row>
    <x:row r="245" ht="64" customHeight="1">
      <x:c r="A245" s="28" t="str">
        <x:v>NCT-0380</x:v>
      </x:c>
      <x:c r="B245" s="28" t="str">
        <x:v>миндаль</x:v>
      </x:c>
      <x:c r="C245" s="28" t="str">
        <x:v>черная смородина</x:v>
      </x:c>
      <x:c r="D245" s="28" t="str">
        <x:v>Прочее</x:v>
      </x:c>
      <x:c r="E245" s="28" t="str">
        <x:v>сенсорная комплементарность</x:v>
      </x:c>
      <x:c r="F245" s="28" t="str">
        <x:v>Миндаль имеет профиль «ореховый, сладкий, марципановый, слегка зелёный; после обжарки — карамельный и жареный». Партнёр «черная смородина»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5" s="28" t="str">
        <x:v>аллерген; быстро прогоркает после помола; горький миндаль и ядра косточковых не взаимозаменяемы</x:v>
      </x:c>
      <x:c r="I245" s="28" t="str">
        <x:v>пралине, паста, выпечка, гарнир, соус, молочный или коктейльный компонент с черная смородина</x:v>
      </x:c>
      <x:c r="J245" s="28" t="str">
        <x:v>Средняя</x:v>
      </x:c>
      <x:c r="K245" s="28" t="str">
        <x:v>Тезариус вкусов (Ники Сегнит)(1).pdf</x:v>
      </x:c>
      <x:c r="L245" s="28" t="str">
        <x:v>Тезариус вкусов (Ники Сегнит)(1).pdf: 649, 877</x:v>
      </x:c>
    </x:row>
    <x:row r="246" ht="64" customHeight="1">
      <x:c r="A246" s="28" t="str">
        <x:v>NCT-0381</x:v>
      </x:c>
      <x:c r="B246" s="28" t="str">
        <x:v>миндаль</x:v>
      </x:c>
      <x:c r="C246" s="28" t="str">
        <x:v>черника</x:v>
      </x:c>
      <x:c r="D246" s="28" t="str">
        <x:v>Прочее</x:v>
      </x:c>
      <x:c r="E246" s="28" t="str">
        <x:v>сенсорная комплементарность</x:v>
      </x:c>
      <x:c r="F246" s="28" t="str">
        <x:v>Миндаль имеет профиль «ореховый, сладкий, марципановый, слегка зелёный; после обжарки — карамельный и жареный». Партнёр «черника»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6" s="28" t="str">
        <x:v>аллерген; быстро прогоркает после помола; горький миндаль и ядра косточковых не взаимозаменяемы</x:v>
      </x:c>
      <x:c r="I246" s="28" t="str">
        <x:v>пралине, паста, выпечка, гарнир, соус, молочный или коктейльный компонент с черника</x:v>
      </x:c>
      <x:c r="J246" s="28" t="str">
        <x:v>Средняя</x:v>
      </x:c>
      <x:c r="K246" s="28" t="str">
        <x:v>Тезариус вкусов (Ники Сегнит)(1).pdf</x:v>
      </x:c>
      <x:c r="L246" s="28" t="str">
        <x:v>Тезариус вкусов (Ники Сегнит)(1).pdf: 649, 905</x:v>
      </x:c>
    </x:row>
    <x:row r="247" ht="64" customHeight="1">
      <x:c r="A247" s="28" t="str">
        <x:v>NCT-0382</x:v>
      </x:c>
      <x:c r="B247" s="28" t="str">
        <x:v>миндаль</x:v>
      </x:c>
      <x:c r="C247" s="28" t="str">
        <x:v>чернослив</x:v>
      </x:c>
      <x:c r="D247" s="28" t="str">
        <x:v>Фрукты и ягоды</x:v>
      </x:c>
      <x:c r="E247" s="28" t="str">
        <x:v>контраст кислоты и жирной/горькой матрицы</x:v>
      </x:c>
      <x:c r="F247" s="28" t="str">
        <x:v>Миндаль имеет профиль «ореховый, сладкий, марципановый, слегка зелёный; после обжарки — карамельный и жареный». Партнёр «чернослив»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7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47" s="28" t="str">
        <x:v>пралине, паста, выпечка, гарнир, соус, молочный или коктейльный компонент с чернослив</x:v>
      </x:c>
      <x:c r="J247" s="28" t="str">
        <x:v>Гипотеза / практическая</x:v>
      </x:c>
      <x:c r="K247" s="28" t="str">
        <x:v>Таблица сочетания(1).pdf</x:v>
      </x:c>
      <x:c r="L247" s="28" t="str">
        <x:v>Таблица сочетания(1).pdf: 18</x:v>
      </x:c>
    </x:row>
    <x:row r="248" ht="64" customHeight="1">
      <x:c r="A248" s="28" t="str">
        <x:v>NCT-0383</x:v>
      </x:c>
      <x:c r="B248" s="28" t="str">
        <x:v>миндаль</x:v>
      </x:c>
      <x:c r="C248" s="28" t="str">
        <x:v>чеснок</x:v>
      </x:c>
      <x:c r="D248" s="28" t="str">
        <x:v>Овощи, бобовые и грибы</x:v>
      </x:c>
      <x:c r="E248" s="28" t="str">
        <x:v>сенсорная комплементарность</x:v>
      </x:c>
      <x:c r="F248" s="28" t="str">
        <x:v>Миндаль имеет профиль «ореховый, сладкий, марципановый, слегка зелёный; после обжарки — карамельный и жареный». Партнёр «чеснок»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8" s="28" t="str">
        <x:v>аллерген; быстро прогоркает после помола; горький миндаль и ядра косточковых не взаимозаменяемы</x:v>
      </x:c>
      <x:c r="I248" s="28" t="str">
        <x:v>пралине, паста, выпечка, гарнир, соус, молочный или коктейльный компонент с чеснок</x:v>
      </x:c>
      <x:c r="J248" s="28" t="str">
        <x:v>Средняя</x:v>
      </x:c>
      <x:c r="K248" s="28" t="str">
        <x:v>Тезариус вкусов (Ники Сегнит)(1).pdf</x:v>
      </x:c>
      <x:c r="L248" s="28" t="str">
        <x:v>Тезариус вкусов (Ники Сегнит)(1).pdf: 295, 650</x:v>
      </x:c>
    </x:row>
    <x:row r="249" ht="64" customHeight="1">
      <x:c r="A249" s="28" t="str">
        <x:v>NCT-0384</x:v>
      </x:c>
      <x:c r="B249" s="28" t="str">
        <x:v>миндаль</x:v>
      </x:c>
      <x:c r="C249" s="28" t="str">
        <x:v>чили</x:v>
      </x:c>
      <x:c r="D249" s="28" t="str">
        <x:v>Специи</x:v>
      </x:c>
      <x:c r="E249" s="28" t="str">
        <x:v>сенсорная комплементарность</x:v>
      </x:c>
      <x:c r="F249" s="28" t="str">
        <x:v>Миндаль имеет профиль «ореховый, сладкий, марципановый, слегка зелёный; после обжарки — карамельный и жареный». Партнёр «чили»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9" s="28" t="str">
        <x:v>аллерген; быстро прогоркает после помола; горький миндаль и ядра косточковых не взаимозаменяемы</x:v>
      </x:c>
      <x:c r="I249" s="28" t="str">
        <x:v>пралине, паста, выпечка, гарнир, соус, молочный или коктейльный компонент с чили</x:v>
      </x:c>
      <x:c r="J249" s="28" t="str">
        <x:v>Средняя</x:v>
      </x:c>
      <x:c r="K249" s="28" t="str">
        <x:v>Тезариус вкусов (Ники Сегнит)(1).pdf</x:v>
      </x:c>
      <x:c r="L249" s="28" t="str">
        <x:v>Тезариус вкусов (Ники Сегнит)(1).pdf: 556, 650</x:v>
      </x:c>
    </x:row>
    <x:row r="250" ht="64" customHeight="1">
      <x:c r="A250" s="28" t="str">
        <x:v>NCT-0385</x:v>
      </x:c>
      <x:c r="B250" s="28" t="str">
        <x:v>миндаль</x:v>
      </x:c>
      <x:c r="C250" s="28" t="str">
        <x:v>чёрная смородина</x:v>
      </x:c>
      <x:c r="D250" s="28" t="str">
        <x:v>Прочее</x:v>
      </x:c>
      <x:c r="E250" s="28" t="str">
        <x:v>сенсорная комплементарность</x:v>
      </x:c>
      <x:c r="F250" s="28" t="str">
        <x:v>Миндаль имеет профиль «ореховый, сладкий, марципановый, слегка зелёный; после обжарки — карамельный и жареный». Партнёр «чёрная смородина»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5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50" s="28" t="str">
        <x:v>аллерген; быстро прогоркает после помола; горький миндаль и ядра косточковых не взаимозаменяемы</x:v>
      </x:c>
      <x:c r="I250" s="28" t="str">
        <x:v>пралине, паста, выпечка, гарнир, соус, молочный или коктейльный компонент с чёрная смородина</x:v>
      </x:c>
      <x:c r="J250" s="28" t="str">
        <x:v>Гипотеза / практическая</x:v>
      </x:c>
      <x:c r="K250" s="28" t="str">
        <x:v>Таблица сочетания(1).pdf</x:v>
      </x:c>
      <x:c r="L250" s="28" t="str">
        <x:v>Таблица сочетания(1).pdf: 2</x:v>
      </x:c>
    </x:row>
    <x:row r="251" ht="64" customHeight="1">
      <x:c r="A251" s="28" t="str">
        <x:v>NCT-0386</x:v>
      </x:c>
      <x:c r="B251" s="28" t="str">
        <x:v>миндаль</x:v>
      </x:c>
      <x:c r="C251" s="28" t="str">
        <x:v>шафран</x:v>
      </x:c>
      <x:c r="D251" s="28" t="str">
        <x:v>Прочее</x:v>
      </x:c>
      <x:c r="E251" s="28" t="str">
        <x:v>сенсорная комплементарность</x:v>
      </x:c>
      <x:c r="F251" s="28" t="str">
        <x:v>Миндаль имеет профиль «ореховый, сладкий, марципановый, слегка зелёный; после обжарки — карамельный и жареный». Партнёр «шафран»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5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51" s="28" t="str">
        <x:v>аллерген; быстро прогоркает после помола; горький миндаль и ядра косточковых не взаимозаменяемы</x:v>
      </x:c>
      <x:c r="I251" s="28" t="str">
        <x:v>пралине, паста, выпечка, гарнир, соус, молочный или коктейльный компонент с шафран</x:v>
      </x:c>
      <x:c r="J251" s="28" t="str">
        <x:v>Средняя</x:v>
      </x:c>
      <x:c r="K251" s="28" t="str">
        <x:v>Тезариус вкусов (Ники Сегнит)(1).pdf</x:v>
      </x:c>
      <x:c r="L251" s="28" t="str">
        <x:v>Тезариус вкусов (Ники Сегнит)(1).pdf: 475, 650</x:v>
      </x:c>
    </x:row>
    <x:row r="252" ht="64" customHeight="1">
      <x:c r="A252" s="28" t="str">
        <x:v>NCT-0387</x:v>
      </x:c>
      <x:c r="B252" s="28" t="str">
        <x:v>миндаль</x:v>
      </x:c>
      <x:c r="C252" s="28" t="str">
        <x:v>шоколад</x:v>
      </x:c>
      <x:c r="D252" s="28" t="str">
        <x:v>Какао и шоколад</x:v>
      </x:c>
      <x:c r="E252" s="28" t="str">
        <x:v>общие ароматические соединения, пересечение ароматических семейств, жареная химия и реакции Майяра</x:v>
      </x:c>
      <x:c r="F252" s="28" t="str">
        <x:v>Миндаль имеет профиль «ореховый, сладкий, марципановый, слегка зелёный; после обжарки — карамельный и жареный».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25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52" s="28" t="str">
        <x:v>аллерген; быстро прогоркает после помола; горький миндаль и ядра косточковых не взаимозаменяемы</x:v>
      </x:c>
      <x:c r="I252" s="28" t="str">
        <x:v>пралине, паста, выпечка, гарнир, соус, молочный или коктейльный компонент с шоколад</x:v>
      </x:c>
      <x:c r="J252" s="28" t="str">
        <x:v>Высокая</x:v>
      </x:c>
      <x:c r="K252" s="28" t="str">
        <x:v>Таблица сочетания(1).pdf | Тезариус вкусов (Ники Сегнит)(1).pdf</x:v>
      </x:c>
      <x:c r="L252" s="28" t="str">
        <x:v>Таблица сочетания(1).pdf: 5; Тезариус вкусов (Ники Сегнит)(1).pdf: 33, 650</x:v>
      </x:c>
    </x:row>
    <x:row r="253" ht="64" customHeight="1">
      <x:c r="A253" s="28" t="str">
        <x:v>NCT-0388</x:v>
      </x:c>
      <x:c r="B253" s="28" t="str">
        <x:v>миндаль</x:v>
      </x:c>
      <x:c r="C253" s="28" t="str">
        <x:v>юдзу</x:v>
      </x:c>
      <x:c r="D253" s="28" t="str">
        <x:v>Прочее</x:v>
      </x:c>
      <x:c r="E253" s="28" t="str">
        <x:v>сенсорная комплементарность</x:v>
      </x:c>
      <x:c r="F253" s="28" t="str">
        <x:v>Миндаль имеет профиль «ореховый, сладкий, марципановый, слегка зелёный; после обжарки — карамельный и жареный». Партнёр «юдзу»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5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53" s="28" t="str">
        <x:v>аллерген; быстро прогоркает после помола; горький миндаль и ядра косточковых не взаимозаменяемы</x:v>
      </x:c>
      <x:c r="I253" s="28" t="str">
        <x:v>пралине, паста, выпечка, гарнир, соус, молочный или коктейльный компонент с юдзу</x:v>
      </x:c>
      <x:c r="J253" s="28" t="str">
        <x:v>Гипотеза / практическая</x:v>
      </x:c>
      <x:c r="K253" s="28" t="str">
        <x:v>Таблица сочетания(1).pdf</x:v>
      </x:c>
      <x:c r="L253" s="28" t="str">
        <x:v>Таблица сочетания(1).pdf: 22</x:v>
      </x:c>
    </x:row>
    <x:row r="254" ht="64" customHeight="1">
      <x:c r="A254" s="28" t="str">
        <x:v>NCT-0389</x:v>
      </x:c>
      <x:c r="B254" s="28" t="str">
        <x:v>миндаль</x:v>
      </x:c>
      <x:c r="C254" s="28" t="str">
        <x:v>яблоко</x:v>
      </x:c>
      <x:c r="D254" s="28" t="str">
        <x:v>Фрукты и ягоды</x:v>
      </x:c>
      <x:c r="E254" s="28" t="str">
        <x:v>контраст кислоты и жирной/горькой матрицы</x:v>
      </x:c>
      <x:c r="F254" s="28" t="str">
        <x:v>Миндаль имеет профиль «ореховый, сладкий, марципановый, слегка зелёный; после обжарки — карамельный и жареный». Партнёр «яблоко»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5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54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54" s="28" t="str">
        <x:v>пралине, паста, выпечка, гарнир, соус, молочный или коктейльный компонент с яблоко</x:v>
      </x:c>
      <x:c r="J254" s="28" t="str">
        <x:v>Средняя</x:v>
      </x:c>
      <x:c r="K254" s="28" t="str">
        <x:v>Тезариус вкусов (Ники Сегнит)(1).pdf</x:v>
      </x:c>
      <x:c r="L254" s="28" t="str">
        <x:v>Тезариус вкусов (Ники Сегнит)(1).pdf: 650, 714</x:v>
      </x:c>
    </x:row>
    <x:row r="255" ht="64" customHeight="1">
      <x:c r="A255" s="28" t="str">
        <x:v>NCT-0398</x:v>
      </x:c>
      <x:c r="B255" s="28" t="str">
        <x:v>пекан</x:v>
      </x:c>
      <x:c r="C255" s="28" t="str">
        <x:v>blue cheese</x:v>
      </x:c>
      <x:c r="D255" s="28" t="str">
        <x:v>Молочные продукты и сыры</x:v>
      </x:c>
      <x:c r="E255" s="28" t="str">
        <x:v>общие ароматические соединения, жировая экстракция и связывание полифенолов белком</x:v>
      </x:c>
      <x:c r="F255" s="28" t="str">
        <x:v>Пекан имеет профиль «маслянистый, сладкий, карамельный и древесно-ореховый». Партнёр «blue cheese» относится к группе «Молочные продукты и сыры» и даёт молочный, сливочный и ферментированный. Молекулярный мост создают лактоны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лактоны.</x:v>
      </x:c>
      <x:c r="G255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55" s="28" t="str">
        <x:v>аллерген и высокая склонность к окислению; жир способен приглушить тонкую ароматику; белок связывает полифенолы</x:v>
      </x:c>
      <x:c r="I255" s="28" t="str">
        <x:v>пралине, паста, выпечка, гарнир, соус, молочный или коктейльный компонент с blue cheese</x:v>
      </x:c>
      <x:c r="J255" s="28" t="str">
        <x:v>Средняя</x:v>
      </x:c>
      <x:c r="K255" s="28" t="str">
        <x:v>The Art &amp; Science of Foodpairing.pdf</x:v>
      </x:c>
      <x:c r="L255" s="28" t="str">
        <x:v>The Art &amp; Science of Foodpairing.pdf: 164</x:v>
      </x:c>
    </x:row>
    <x:row r="256" ht="64" customHeight="1">
      <x:c r="A256" s="28" t="str">
        <x:v>NCT-0399</x:v>
      </x:c>
      <x:c r="B256" s="28" t="str">
        <x:v>пекан</x:v>
      </x:c>
      <x:c r="C256" s="28" t="str">
        <x:v>tomato and tomato puree</x:v>
      </x:c>
      <x:c r="D256" s="28" t="str">
        <x:v>Овощи, бобовые и грибы</x:v>
      </x:c>
      <x:c r="E256" s="28" t="str">
        <x:v>сенсорная комплементарность</x:v>
      </x:c>
      <x:c r="F256" s="28" t="str">
        <x:v>Пекан имеет профиль «маслянистый, сладкий, карамельный и древесно-ореховый». Партнёр «tomato and tomato puree»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56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56" s="28" t="str">
        <x:v>аллерген и высокая склонность к окислению</x:v>
      </x:c>
      <x:c r="I256" s="28" t="str">
        <x:v>пралине, паста, выпечка, гарнир, соус, молочный или коктейльный компонент с tomato and tomato puree</x:v>
      </x:c>
      <x:c r="J256" s="28" t="str">
        <x:v>Средняя</x:v>
      </x:c>
      <x:c r="K256" s="28" t="str">
        <x:v>The Art &amp; Science of Foodpairing.pdf</x:v>
      </x:c>
      <x:c r="L256" s="28" t="str">
        <x:v>The Art &amp; Science of Foodpairing.pdf: 161</x:v>
      </x:c>
    </x:row>
    <x:row r="257" ht="64" customHeight="1">
      <x:c r="A257" s="28" t="str">
        <x:v>NCT-0400</x:v>
      </x:c>
      <x:c r="B257" s="28" t="str">
        <x:v>пекан</x:v>
      </x:c>
      <x:c r="C257" s="28" t="str">
        <x:v>айва</x:v>
      </x:c>
      <x:c r="D257" s="28" t="str">
        <x:v>Прочее</x:v>
      </x:c>
      <x:c r="E257" s="28" t="str">
        <x:v>сенсорная комплементарность</x:v>
      </x:c>
      <x:c r="F257" s="28" t="str">
        <x:v>Пекан имеет профиль «маслянистый, сладкий, карамельный и древесно-ореховый». Партнёр «айва»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57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57" s="28" t="str">
        <x:v>аллерген и высокая склонность к окислению</x:v>
      </x:c>
      <x:c r="I257" s="28" t="str">
        <x:v>пралине, паста, выпечка, гарнир, соус, молочный или коктейльный компонент с айва</x:v>
      </x:c>
      <x:c r="J257" s="28" t="str">
        <x:v>Гипотеза / практическая</x:v>
      </x:c>
      <x:c r="K257" s="28" t="str">
        <x:v>Таблица сочетания(1).pdf</x:v>
      </x:c>
      <x:c r="L257" s="28" t="str">
        <x:v>Таблица сочетания(1).pdf: 18</x:v>
      </x:c>
    </x:row>
    <x:row r="258" ht="64" customHeight="1">
      <x:c r="A258" s="28" t="str">
        <x:v>NCT-0401</x:v>
      </x:c>
      <x:c r="B258" s="28" t="str">
        <x:v>пекан</x:v>
      </x:c>
      <x:c r="C258" s="28" t="str">
        <x:v>базилик</x:v>
      </x:c>
      <x:c r="D258" s="28" t="str">
        <x:v>Травы, цветы и листья</x:v>
      </x:c>
      <x:c r="E258" s="28" t="str">
        <x:v>сенсорная комплементарность</x:v>
      </x:c>
      <x:c r="F258" s="28" t="str">
        <x:v>Пекан имеет профиль «маслянистый, сладкий, карамельный и древесно-ореховый». Партнёр «базилик»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58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58" s="28" t="str">
        <x:v>аллерген и высокая склонность к окислению</x:v>
      </x:c>
      <x:c r="I258" s="28" t="str">
        <x:v>пралине, паста, выпечка, гарнир, соус, молочный или коктейльный компонент с базилик</x:v>
      </x:c>
      <x:c r="J258" s="28" t="str">
        <x:v>Высокая</x:v>
      </x:c>
      <x:c r="K258" s="28" t="str">
        <x:v>The Art &amp; Science of Foodpairing.pdf | Таблица сочетания(1).pdf</x:v>
      </x:c>
      <x:c r="L258" s="28" t="str">
        <x:v>The Art &amp; Science of Foodpairing.pdf: 74; Таблица сочетания(1).pdf: 16</x:v>
      </x:c>
    </x:row>
    <x:row r="259" ht="64" customHeight="1">
      <x:c r="A259" s="28" t="str">
        <x:v>NCT-0402</x:v>
      </x:c>
      <x:c r="B259" s="28" t="str">
        <x:v>пекан</x:v>
      </x:c>
      <x:c r="C259" s="28" t="str">
        <x:v>банан</x:v>
      </x:c>
      <x:c r="D259" s="28" t="str">
        <x:v>Фрукты и ягоды</x:v>
      </x:c>
      <x:c r="E259" s="28" t="str">
        <x:v>контраст кислоты и жирной/горькой матрицы</x:v>
      </x:c>
      <x:c r="F259" s="28" t="str">
        <x:v>Пекан имеет профиль «маслянистый, сладкий, карамельный и древесно-ореховый».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59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59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I259" s="28" t="str">
        <x:v>пралине, паста, выпечка, гарнир, соус, молочный или коктейльный компонент с банан</x:v>
      </x:c>
      <x:c r="J259" s="28" t="str">
        <x:v>Гипотеза / практическая</x:v>
      </x:c>
      <x:c r="K259" s="28" t="str">
        <x:v>Таблица сочетания(1).pdf</x:v>
      </x:c>
      <x:c r="L259" s="28" t="str">
        <x:v>Таблица сочетания(1).pdf: 2, 16</x:v>
      </x:c>
    </x:row>
    <x:row r="260" ht="64" customHeight="1">
      <x:c r="A260" s="28" t="str">
        <x:v>NCT-0403</x:v>
      </x:c>
      <x:c r="B260" s="28" t="str">
        <x:v>пекан</x:v>
      </x:c>
      <x:c r="C260" s="28" t="str">
        <x:v>ваниль</x:v>
      </x:c>
      <x:c r="D260" s="28" t="str">
        <x:v>Специи</x:v>
      </x:c>
      <x:c r="E260" s="28" t="str">
        <x:v>сенсорная комплементарность</x:v>
      </x:c>
      <x:c r="F260" s="28" t="str">
        <x:v>Пекан имеет профиль «маслянистый, сладкий, карамельный и древесно-ореховый».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60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60" s="28" t="str">
        <x:v>аллерген и высокая склонность к окислению</x:v>
      </x:c>
      <x:c r="I260" s="28" t="str">
        <x:v>пралине, паста, выпечка, гарнир, соус, молочный или коктейльный компонент с ваниль</x:v>
      </x:c>
      <x:c r="J260" s="28" t="str">
        <x:v>Гипотеза / практическая</x:v>
      </x:c>
      <x:c r="K260" s="28" t="str">
        <x:v>Таблица сочетания(1).pdf</x:v>
      </x:c>
      <x:c r="L260" s="28" t="str">
        <x:v>Таблица сочетания(1).pdf: 16</x:v>
      </x:c>
    </x:row>
    <x:row r="261" ht="64" customHeight="1">
      <x:c r="A261" s="28" t="str">
        <x:v>NCT-0404</x:v>
      </x:c>
      <x:c r="B261" s="28" t="str">
        <x:v>пекан</x:v>
      </x:c>
      <x:c r="C261" s="28" t="str">
        <x:v>виноград</x:v>
      </x:c>
      <x:c r="D261" s="28" t="str">
        <x:v>Алкогольные напитки</x:v>
      </x:c>
      <x:c r="E261" s="28" t="str">
        <x:v>сенсорная комплементарность</x:v>
      </x:c>
      <x:c r="F261" s="28" t="str">
        <x:v>Пекан имеет профиль «маслянистый, сладкий, карамельный и древесно-ореховый». Партнёр «виноград» относится к группе «Алкогольные напитки» и даёт спиртовой, фруктовый или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61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61" s="28" t="str">
        <x:v>аллерген и высокая склонность к окислению</x:v>
      </x:c>
      <x:c r="I261" s="28" t="str">
        <x:v>пралине, паста, выпечка, гарнир, соус, молочный или коктейльный компонент с виноград</x:v>
      </x:c>
      <x:c r="J261" s="28" t="str">
        <x:v>Гипотеза / практическая</x:v>
      </x:c>
      <x:c r="K261" s="28" t="str">
        <x:v>Таблица сочетания(1).pdf</x:v>
      </x:c>
      <x:c r="L261" s="28" t="str">
        <x:v>Таблица сочетания(1).pdf: 16</x:v>
      </x:c>
    </x:row>
    <x:row r="262" ht="64" customHeight="1">
      <x:c r="A262" s="28" t="str">
        <x:v>NCT-0405</x:v>
      </x:c>
      <x:c r="B262" s="28" t="str">
        <x:v>пекан</x:v>
      </x:c>
      <x:c r="C262" s="28" t="str">
        <x:v>вишня</x:v>
      </x:c>
      <x:c r="D262" s="28" t="str">
        <x:v>Фрукты и ягоды</x:v>
      </x:c>
      <x:c r="E262" s="28" t="str">
        <x:v>контраст кислоты и жирной/горькой матрицы</x:v>
      </x:c>
      <x:c r="F262" s="28" t="str">
        <x:v>Пекан имеет профиль «маслянистый, сладкий, карамельный и древесно-ореховый». Партнёр «вишня» относится к группе «Фрукты и ягоды» и даёт миндальный,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62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62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I262" s="28" t="str">
        <x:v>пралине, паста, выпечка, гарнир, соус, молочный или коктейльный компонент с вишня</x:v>
      </x:c>
      <x:c r="J262" s="28" t="str">
        <x:v>Гипотеза / практическая</x:v>
      </x:c>
      <x:c r="K262" s="28" t="str">
        <x:v>Таблица сочетания(1).pdf</x:v>
      </x:c>
      <x:c r="L262" s="28" t="str">
        <x:v>Таблица сочетания(1).pdf: 4</x:v>
      </x:c>
    </x:row>
    <x:row r="263" ht="64" customHeight="1">
      <x:c r="A263" s="28" t="str">
        <x:v>NCT-0406</x:v>
      </x:c>
      <x:c r="B263" s="28" t="str">
        <x:v>пекан</x:v>
      </x:c>
      <x:c r="C263" s="28" t="str">
        <x:v>грейпфрут</x:v>
      </x:c>
      <x:c r="D263" s="28" t="str">
        <x:v>Фрукты и ягоды</x:v>
      </x:c>
      <x:c r="E263" s="28" t="str">
        <x:v>контраст кислоты и жирной/горькой матрицы</x:v>
      </x:c>
      <x:c r="F263" s="28" t="str">
        <x:v>Пекан имеет профиль «маслянистый, сладкий, карамельный и древесно-ореховый». Партнёр «грейпфрут»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63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63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I263" s="28" t="str">
        <x:v>пралине, паста, выпечка, гарнир, соус, молочный или коктейльный компонент с грейпфрут</x:v>
      </x:c>
      <x:c r="J263" s="28" t="str">
        <x:v>Гипотеза / практическая</x:v>
      </x:c>
      <x:c r="K263" s="28" t="str">
        <x:v>Таблица сочетания(1).pdf</x:v>
      </x:c>
      <x:c r="L263" s="28" t="str">
        <x:v>Таблица сочетания(1).pdf: 9</x:v>
      </x:c>
    </x:row>
    <x:row r="264" ht="64" customHeight="1">
      <x:c r="A264" s="28" t="str">
        <x:v>NCT-0407</x:v>
      </x:c>
      <x:c r="B264" s="28" t="str">
        <x:v>пекан</x:v>
      </x:c>
      <x:c r="C264" s="28" t="str">
        <x:v>груша</x:v>
      </x:c>
      <x:c r="D264" s="28" t="str">
        <x:v>Фрукты и ягоды</x:v>
      </x:c>
      <x:c r="E264" s="28" t="str">
        <x:v>контраст кислоты и жирной/горькой матрицы</x:v>
      </x:c>
      <x:c r="F264" s="28" t="str">
        <x:v>Пекан имеет профиль «маслянистый, сладкий, карамельный и древесно-ореховый». Партнёр «груша»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64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64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I264" s="28" t="str">
        <x:v>пралине, паста, выпечка, гарнир, соус, молочный или коктейльный компонент с груша</x:v>
      </x:c>
      <x:c r="J264" s="28" t="str">
        <x:v>Гипотеза / практическая</x:v>
      </x:c>
      <x:c r="K264" s="28" t="str">
        <x:v>Таблица сочетания(1).pdf</x:v>
      </x:c>
      <x:c r="L264" s="28" t="str">
        <x:v>Таблица сочетания(1).pdf: 16</x:v>
      </x:c>
    </x:row>
    <x:row r="265" ht="64" customHeight="1">
      <x:c r="A265" s="28" t="str">
        <x:v>NCT-0408</x:v>
      </x:c>
      <x:c r="B265" s="28" t="str">
        <x:v>пекан</x:v>
      </x:c>
      <x:c r="C265" s="28" t="str">
        <x:v>инжир</x:v>
      </x:c>
      <x:c r="D265" s="28" t="str">
        <x:v>Фрукты и ягоды</x:v>
      </x:c>
      <x:c r="E265" s="28" t="str">
        <x:v>контраст кислоты и жирной/горькой матрицы</x:v>
      </x:c>
      <x:c r="F265" s="28" t="str">
        <x:v>Пекан имеет профиль «маслянистый, сладкий, карамельный и древесно-ореховый». Партнёр «инжир»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65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65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I265" s="28" t="str">
        <x:v>пралине, паста, выпечка, гарнир, соус, молочный или коктейльный компонент с инжир</x:v>
      </x:c>
      <x:c r="J265" s="28" t="str">
        <x:v>Гипотеза / практическая</x:v>
      </x:c>
      <x:c r="K265" s="28" t="str">
        <x:v>Таблица сочетания(1).pdf</x:v>
      </x:c>
      <x:c r="L265" s="28" t="str">
        <x:v>Таблица сочетания(1).pdf: 16</x:v>
      </x:c>
    </x:row>
    <x:row r="266" ht="64" customHeight="1">
      <x:c r="A266" s="28" t="str">
        <x:v>NCT-0409</x:v>
      </x:c>
      <x:c r="B266" s="28" t="str">
        <x:v>пекан</x:v>
      </x:c>
      <x:c r="C266" s="28" t="str">
        <x:v>кардамон</x:v>
      </x:c>
      <x:c r="D266" s="28" t="str">
        <x:v>Специи</x:v>
      </x:c>
      <x:c r="E266" s="28" t="str">
        <x:v>сенсорная комплементарность</x:v>
      </x:c>
      <x:c r="F266" s="28" t="str">
        <x:v>Пекан имеет профиль «маслянистый, сладкий, карамельный и древесно-ореховый». Партнёр «кардамон» относится к группе «Специи» и даёт камфорный, цветочный,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66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66" s="28" t="str">
        <x:v>аллерген и высокая склонность к окислению</x:v>
      </x:c>
      <x:c r="I266" s="28" t="str">
        <x:v>пралине, паста, выпечка, гарнир, соус, молочный или коктейльный компонент с кардамон</x:v>
      </x:c>
      <x:c r="J266" s="28" t="str">
        <x:v>Гипотеза / практическая</x:v>
      </x:c>
      <x:c r="K266" s="28" t="str">
        <x:v>Таблица сочетания(1).pdf</x:v>
      </x:c>
      <x:c r="L266" s="28" t="str">
        <x:v>Таблица сочетания(1).pdf: 16</x:v>
      </x:c>
    </x:row>
    <x:row r="267" ht="64" customHeight="1">
      <x:c r="A267" s="28" t="str">
        <x:v>NCT-0410</x:v>
      </x:c>
      <x:c r="B267" s="28" t="str">
        <x:v>пекан</x:v>
      </x:c>
      <x:c r="C267" s="28" t="str">
        <x:v>кленовый сироп</x:v>
      </x:c>
      <x:c r="D267" s="28" t="str">
        <x:v>Выпечка, сахара и десерты</x:v>
      </x:c>
      <x:c r="E267" s="28" t="str">
        <x:v>общие ароматические соединения, пересечение ароматических семейств, жареная химия и реакции Майяра</x:v>
      </x:c>
      <x:c r="F267" s="28" t="str">
        <x:v>Пекан имеет профиль «маслянистый, сладкий, карамельный и древесно-ореховый».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карамельный; пиразины, фураны.</x:v>
      </x:c>
      <x:c r="G267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67" s="28" t="str">
        <x:v>аллерген и высокая склонность к окислению</x:v>
      </x:c>
      <x:c r="I267" s="28" t="str">
        <x:v>пралине, паста, выпечка, гарнир, соус, молочный или коктейльный компонент с кленовый сироп</x:v>
      </x:c>
      <x:c r="J267" s="28" t="str">
        <x:v>Гипотеза / практическая</x:v>
      </x:c>
      <x:c r="K267" s="28" t="str">
        <x:v>Таблица сочетания(1).pdf</x:v>
      </x:c>
      <x:c r="L267" s="28" t="str">
        <x:v>Таблица сочетания(1).pdf: 16</x:v>
      </x:c>
    </x:row>
    <x:row r="268" ht="64" customHeight="1">
      <x:c r="A268" s="28" t="str">
        <x:v>NCT-0411</x:v>
      </x:c>
      <x:c r="B268" s="28" t="str">
        <x:v>пекан</x:v>
      </x:c>
      <x:c r="C268" s="28" t="str">
        <x:v>лимон</x:v>
      </x:c>
      <x:c r="D268" s="28" t="str">
        <x:v>Фрукты и ягоды</x:v>
      </x:c>
      <x:c r="E268" s="28" t="str">
        <x:v>контраст кислоты и жирной/горькой матрицы</x:v>
      </x:c>
      <x:c r="F268" s="28" t="str">
        <x:v>Пекан имеет профиль «маслянистый, сладкий, карамельный и древесно-ореховый».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68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68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I268" s="28" t="str">
        <x:v>пралине, паста, выпечка, гарнир, соус, молочный или коктейльный компонент с лимон</x:v>
      </x:c>
      <x:c r="J268" s="28" t="str">
        <x:v>Гипотеза / практическая</x:v>
      </x:c>
      <x:c r="K268" s="28" t="str">
        <x:v>Таблица сочетания(1).pdf</x:v>
      </x:c>
      <x:c r="L268" s="28" t="str">
        <x:v>Таблица сочетания(1).pdf: 11</x:v>
      </x:c>
    </x:row>
    <x:row r="269" ht="64" customHeight="1">
      <x:c r="A269" s="28" t="str">
        <x:v>NCT-0412</x:v>
      </x:c>
      <x:c r="B269" s="28" t="str">
        <x:v>пекан</x:v>
      </x:c>
      <x:c r="C269" s="28" t="str">
        <x:v>нектарин</x:v>
      </x:c>
      <x:c r="D269" s="28" t="str">
        <x:v>Прочее</x:v>
      </x:c>
      <x:c r="E269" s="28" t="str">
        <x:v>сенсорная комплементарность</x:v>
      </x:c>
      <x:c r="F269" s="28" t="str">
        <x:v>Пекан имеет профиль «маслянистый, сладкий, карамельный и древесно-ореховый». Партнёр «нектарин»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69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69" s="28" t="str">
        <x:v>аллерген и высокая склонность к окислению</x:v>
      </x:c>
      <x:c r="I269" s="28" t="str">
        <x:v>пралине, паста, выпечка, гарнир, соус, молочный или коктейльный компонент с нектарин</x:v>
      </x:c>
      <x:c r="J269" s="28" t="str">
        <x:v>Гипотеза / практическая</x:v>
      </x:c>
      <x:c r="K269" s="28" t="str">
        <x:v>Таблица сочетания(1).pdf</x:v>
      </x:c>
      <x:c r="L269" s="28" t="str">
        <x:v>Таблица сочетания(1).pdf: 14</x:v>
      </x:c>
    </x:row>
    <x:row r="270" ht="64" customHeight="1">
      <x:c r="A270" s="28" t="str">
        <x:v>NCT-0413</x:v>
      </x:c>
      <x:c r="B270" s="28" t="str">
        <x:v>пекан</x:v>
      </x:c>
      <x:c r="C270" s="28" t="str">
        <x:v>персик</x:v>
      </x:c>
      <x:c r="D270" s="28" t="str">
        <x:v>Фрукты и ягоды</x:v>
      </x:c>
      <x:c r="E270" s="28" t="str">
        <x:v>общие ароматические соединения, контраст кислоты и жирной/горькой матрицы</x:v>
      </x:c>
      <x:c r="F270" s="28" t="str">
        <x:v>Пекан имеет профиль «маслянистый, сладкий, карамельный и древесно-ореховый». Партнёр «персик» относится к группе «Фрукты и ягоды» и даёт лактонный, фруктовый, цветочный. Молекулярный мост создают лактоны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лактоны.</x:v>
      </x:c>
      <x:c r="G270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70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I270" s="28" t="str">
        <x:v>пралине, паста, выпечка, гарнир, соус, молочный или коктейльный компонент с персик</x:v>
      </x:c>
      <x:c r="J270" s="28" t="str">
        <x:v>Гипотеза / практическая</x:v>
      </x:c>
      <x:c r="K270" s="28" t="str">
        <x:v>Таблица сочетания(1).pdf</x:v>
      </x:c>
      <x:c r="L270" s="28" t="str">
        <x:v>Таблица сочетания(1).pdf: 15</x:v>
      </x:c>
    </x:row>
    <x:row r="271" ht="64" customHeight="1">
      <x:c r="A271" s="28" t="str">
        <x:v>NCT-0414</x:v>
      </x:c>
      <x:c r="B271" s="28" t="str">
        <x:v>пекан</x:v>
      </x:c>
      <x:c r="C271" s="28" t="str">
        <x:v>петрушка</x:v>
      </x:c>
      <x:c r="D271" s="28" t="str">
        <x:v>Травы, цветы и листья</x:v>
      </x:c>
      <x:c r="E271" s="28" t="str">
        <x:v>сенсорная комплементарность</x:v>
      </x:c>
      <x:c r="F271" s="28" t="str">
        <x:v>Пекан имеет профиль «маслянистый, сладкий, карамельный и древесно-ореховый». Партнёр «петрушка»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71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71" s="28" t="str">
        <x:v>аллерген и высокая склонность к окислению</x:v>
      </x:c>
      <x:c r="I271" s="28" t="str">
        <x:v>пралине, паста, выпечка, гарнир, соус, молочный или коктейльный компонент с петрушка</x:v>
      </x:c>
      <x:c r="J271" s="28" t="str">
        <x:v>Гипотеза / практическая</x:v>
      </x:c>
      <x:c r="K271" s="28" t="str">
        <x:v>Таблица сочетания(1).pdf</x:v>
      </x:c>
      <x:c r="L271" s="28" t="str">
        <x:v>Таблица сочетания(1).pdf: 16</x:v>
      </x:c>
    </x:row>
    <x:row r="272" ht="64" customHeight="1">
      <x:c r="A272" s="28" t="str">
        <x:v>NCT-0415</x:v>
      </x:c>
      <x:c r="B272" s="28" t="str">
        <x:v>пекан</x:v>
      </x:c>
      <x:c r="C272" s="28" t="str">
        <x:v>свёкла</x:v>
      </x:c>
      <x:c r="D272" s="28" t="str">
        <x:v>Овощи, бобовые и грибы</x:v>
      </x:c>
      <x:c r="E272" s="28" t="str">
        <x:v>сенсорная комплементарность</x:v>
      </x:c>
      <x:c r="F272" s="28" t="str">
        <x:v>Пекан имеет профиль «маслянистый, сладкий, карамельный и древесно-ореховый». Партнёр «свёкла» относится к группе «Овощи, бобовые и грибы» и даёт землистый, сладкий.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72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72" s="28" t="str">
        <x:v>аллерген и высокая склонность к окислению</x:v>
      </x:c>
      <x:c r="I272" s="28" t="str">
        <x:v>пралине, паста, выпечка, гарнир, соус, молочный или коктейльный компонент с свёкла</x:v>
      </x:c>
      <x:c r="J272" s="28" t="str">
        <x:v>Средняя</x:v>
      </x:c>
      <x:c r="K272" s="28" t="str">
        <x:v>The Art &amp; Science of Foodpairing.pdf</x:v>
      </x:c>
      <x:c r="L272" s="28" t="str">
        <x:v>The Art &amp; Science of Foodpairing.pdf: 224</x:v>
      </x:c>
    </x:row>
    <x:row r="273" ht="64" customHeight="1">
      <x:c r="A273" s="28" t="str">
        <x:v>NCT-0416</x:v>
      </x:c>
      <x:c r="B273" s="28" t="str">
        <x:v>пекан</x:v>
      </x:c>
      <x:c r="C273" s="28" t="str">
        <x:v>финик</x:v>
      </x:c>
      <x:c r="D273" s="28" t="str">
        <x:v>Прочее</x:v>
      </x:c>
      <x:c r="E273" s="28" t="str">
        <x:v>сенсорная комплементарность</x:v>
      </x:c>
      <x:c r="F273" s="28" t="str">
        <x:v>Пекан имеет профиль «маслянистый, сладкий, карамельный и древесно-ореховый». Партнёр «финик»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73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73" s="28" t="str">
        <x:v>аллерген и высокая склонность к окислению</x:v>
      </x:c>
      <x:c r="I273" s="28" t="str">
        <x:v>пралине, паста, выпечка, гарнир, соус, молочный или коктейльный компонент с финик</x:v>
      </x:c>
      <x:c r="J273" s="28" t="str">
        <x:v>Гипотеза / практическая</x:v>
      </x:c>
      <x:c r="K273" s="28" t="str">
        <x:v>Таблица сочетания(1).pdf</x:v>
      </x:c>
      <x:c r="L273" s="28" t="str">
        <x:v>Таблица сочетания(1).pdf: 7</x:v>
      </x:c>
    </x:row>
    <x:row r="274" ht="64" customHeight="1">
      <x:c r="A274" s="28" t="str">
        <x:v>NCT-0417</x:v>
      </x:c>
      <x:c r="B274" s="28" t="str">
        <x:v>пекан</x:v>
      </x:c>
      <x:c r="C274" s="28" t="str">
        <x:v>чернослив</x:v>
      </x:c>
      <x:c r="D274" s="28" t="str">
        <x:v>Фрукты и ягоды</x:v>
      </x:c>
      <x:c r="E274" s="28" t="str">
        <x:v>контраст кислоты и жирной/горькой матрицы</x:v>
      </x:c>
      <x:c r="F274" s="28" t="str">
        <x:v>Пекан имеет профиль «маслянистый, сладкий, карамельный и древесно-ореховый». Партнёр «чернослив»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74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74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I274" s="28" t="str">
        <x:v>пралине, паста, выпечка, гарнир, соус, молочный или коктейльный компонент с чернослив</x:v>
      </x:c>
      <x:c r="J274" s="28" t="str">
        <x:v>Гипотеза / практическая</x:v>
      </x:c>
      <x:c r="K274" s="28" t="str">
        <x:v>Таблица сочетания(1).pdf</x:v>
      </x:c>
      <x:c r="L274" s="28" t="str">
        <x:v>Таблица сочетания(1).pdf: 18</x:v>
      </x:c>
    </x:row>
    <x:row r="275" ht="64" customHeight="1">
      <x:c r="A275" s="28" t="str">
        <x:v>NCT-0418</x:v>
      </x:c>
      <x:c r="B275" s="28" t="str">
        <x:v>пекан</x:v>
      </x:c>
      <x:c r="C275" s="28" t="str">
        <x:v>шоколад</x:v>
      </x:c>
      <x:c r="D275" s="28" t="str">
        <x:v>Какао и шоколад</x:v>
      </x:c>
      <x:c r="E275" s="28" t="str">
        <x:v>общие ароматические соединения, жареная химия и реакции Майяра</x:v>
      </x:c>
      <x:c r="F275" s="28" t="str">
        <x:v>Пекан имеет профиль «маслянистый, сладкий, карамельный и древесно-ореховый».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пиразины, фураны.</x:v>
      </x:c>
      <x:c r="G275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75" s="28" t="str">
        <x:v>аллерген и высокая склонность к окислению</x:v>
      </x:c>
      <x:c r="I275" s="28" t="str">
        <x:v>пралине, паста, выпечка, гарнир, соус, молочный или коктейльный компонент с шоколад</x:v>
      </x:c>
      <x:c r="J275" s="28" t="str">
        <x:v>Гипотеза / практическая</x:v>
      </x:c>
      <x:c r="K275" s="28" t="str">
        <x:v>Таблица сочетания(1).pdf</x:v>
      </x:c>
      <x:c r="L275" s="28" t="str">
        <x:v>Таблица сочетания(1).pdf: 16</x:v>
      </x:c>
    </x:row>
    <x:row r="276" ht="64" customHeight="1">
      <x:c r="A276" s="28" t="str">
        <x:v>NCT-0419</x:v>
      </x:c>
      <x:c r="B276" s="28" t="str">
        <x:v>пекан</x:v>
      </x:c>
      <x:c r="C276" s="28" t="str">
        <x:v>яблоко</x:v>
      </x:c>
      <x:c r="D276" s="28" t="str">
        <x:v>Фрукты и ягоды</x:v>
      </x:c>
      <x:c r="E276" s="28" t="str">
        <x:v>контраст кислоты и жирной/горькой матрицы</x:v>
      </x:c>
      <x:c r="F276" s="28" t="str">
        <x:v>Пекан имеет профиль «маслянистый, сладкий, карамельный и древесно-ореховый». Партнёр «яблоко»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76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276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I276" s="28" t="str">
        <x:v>пралине, паста, выпечка, гарнир, соус, молочный или коктейльный компонент с яблоко</x:v>
      </x:c>
      <x:c r="J276" s="28" t="str">
        <x:v>Гипотеза / практическая</x:v>
      </x:c>
      <x:c r="K276" s="28" t="str">
        <x:v>Таблица сочетания(1).pdf</x:v>
      </x:c>
      <x:c r="L276" s="28" t="str">
        <x:v>Таблица сочетания(1).pdf: 1</x:v>
      </x:c>
    </x:row>
    <x:row r="277" ht="64" customHeight="1">
      <x:c r="A277" s="28" t="str">
        <x:v>NCT-0423</x:v>
      </x:c>
      <x:c r="B277" s="28" t="str">
        <x:v>фисташка</x:v>
      </x:c>
      <x:c r="C277" s="28" t="str">
        <x:v>apple and apple sauce</x:v>
      </x:c>
      <x:c r="D277" s="28" t="str">
        <x:v>Фрукты и ягоды</x:v>
      </x:c>
      <x:c r="E277" s="28" t="str">
        <x:v>контраст кислоты и жирной/горькой матрицы</x:v>
      </x:c>
      <x:c r="F277" s="28" t="str">
        <x:v>Фисташка имеет профиль «зелёный, ореховый, смолистый, сладкий и слегка цветочный». Партнёр «apple and apple sauce»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77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77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I277" s="28" t="str">
        <x:v>пралине, паста, выпечка, гарнир, соус, молочный или коктейльный компонент с apple and apple sauce</x:v>
      </x:c>
      <x:c r="J277" s="28" t="str">
        <x:v>Средняя</x:v>
      </x:c>
      <x:c r="K277" s="28" t="str">
        <x:v>The Art &amp; Science of Foodpairing.pdf</x:v>
      </x:c>
      <x:c r="L277" s="28" t="str">
        <x:v>The Art &amp; Science of Foodpairing.pdf: 48</x:v>
      </x:c>
    </x:row>
    <x:row r="278" ht="64" customHeight="1">
      <x:c r="A278" s="28" t="str">
        <x:v>NCT-0424</x:v>
      </x:c>
      <x:c r="B278" s="28" t="str">
        <x:v>фисташка</x:v>
      </x:c>
      <x:c r="C278" s="28" t="str">
        <x:v>goats' cheese and milk</x:v>
      </x:c>
      <x:c r="D278" s="28" t="str">
        <x:v>Молочные продукты и сыры</x:v>
      </x:c>
      <x:c r="E278" s="28" t="str">
        <x:v>жировая экстракция и связывание полифенолов белком</x:v>
      </x:c>
      <x:c r="F278" s="28" t="str">
        <x:v>Фисташка имеет профиль «зелёный, ореховый, смолистый, сладкий и слегка цветочный». Партнёр «goats' cheese and milk»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78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78" s="28" t="str">
        <x:v>аллерген; солёные фисташки меняют баланс рецепта; прогоркание; жир способен приглушить тонкую ароматику; белок связывает полифенолы</x:v>
      </x:c>
      <x:c r="I278" s="28" t="str">
        <x:v>пралине, паста, выпечка, гарнир, соус, молочный или коктейльный компонент с goats' cheese and milk</x:v>
      </x:c>
      <x:c r="J278" s="28" t="str">
        <x:v>Средняя</x:v>
      </x:c>
      <x:c r="K278" s="28" t="str">
        <x:v>The Art &amp; Science of Foodpairing.pdf</x:v>
      </x:c>
      <x:c r="L278" s="28" t="str">
        <x:v>The Art &amp; Science of Foodpairing.pdf: 200</x:v>
      </x:c>
    </x:row>
    <x:row r="279" ht="64" customHeight="1">
      <x:c r="A279" s="28" t="str">
        <x:v>NCT-0425</x:v>
      </x:c>
      <x:c r="B279" s="28" t="str">
        <x:v>фисташка</x:v>
      </x:c>
      <x:c r="C279" s="28" t="str">
        <x:v>абрикос</x:v>
      </x:c>
      <x:c r="D279" s="28" t="str">
        <x:v>Фрукты и ягоды</x:v>
      </x:c>
      <x:c r="E279" s="28" t="str">
        <x:v>контраст кислоты и жирной/горькой матрицы</x:v>
      </x:c>
      <x:c r="F279" s="28" t="str">
        <x:v>Фисташка имеет профиль «зелёный, ореховый, смолистый, сладкий и слегка цветочный». Партнёр «абрикос» относится к группе «Фрукты и ягоды» и даёт лактонный, миндальный,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79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79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I279" s="28" t="str">
        <x:v>пралине, паста, выпечка, гарнир, соус, молочный или коктейльный компонент с абрикос</x:v>
      </x:c>
      <x:c r="J279" s="28" t="str">
        <x:v>Гипотеза / практическая</x:v>
      </x:c>
      <x:c r="K279" s="28" t="str">
        <x:v>Таблица сочетания(1).pdf</x:v>
      </x:c>
      <x:c r="L279" s="28" t="str">
        <x:v>Таблица сочетания(1).pdf: 2, 17</x:v>
      </x:c>
    </x:row>
    <x:row r="280" ht="64" customHeight="1">
      <x:c r="A280" s="28" t="str">
        <x:v>NCT-0426</x:v>
      </x:c>
      <x:c r="B280" s="28" t="str">
        <x:v>фисташка</x:v>
      </x:c>
      <x:c r="C280" s="28" t="str">
        <x:v>ананас</x:v>
      </x:c>
      <x:c r="D280" s="28" t="str">
        <x:v>Прочее</x:v>
      </x:c>
      <x:c r="E280" s="28" t="str">
        <x:v>сенсорная комплементарность</x:v>
      </x:c>
      <x:c r="F280" s="28" t="str">
        <x:v>Фисташка имеет профиль «зелёный, ореховый, смолистый, сладкий и слегка цветочный». Партнёр «ананас»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80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80" s="28" t="str">
        <x:v>аллерген; солёные фисташки меняют баланс рецепта; прогоркание</x:v>
      </x:c>
      <x:c r="I280" s="28" t="str">
        <x:v>пралине, паста, выпечка, гарнир, соус, молочный или коктейльный компонент с ананас</x:v>
      </x:c>
      <x:c r="J280" s="28" t="str">
        <x:v>Гипотеза / практическая</x:v>
      </x:c>
      <x:c r="K280" s="28" t="str">
        <x:v>Таблица сочетания(1).pdf</x:v>
      </x:c>
      <x:c r="L280" s="28" t="str">
        <x:v>Таблица сочетания(1).pdf: 17</x:v>
      </x:c>
    </x:row>
    <x:row r="281" ht="64" customHeight="1">
      <x:c r="A281" s="28" t="str">
        <x:v>NCT-0427</x:v>
      </x:c>
      <x:c r="B281" s="28" t="str">
        <x:v>фисташка</x:v>
      </x:c>
      <x:c r="C281" s="28" t="str">
        <x:v>базилик</x:v>
      </x:c>
      <x:c r="D281" s="28" t="str">
        <x:v>Травы, цветы и листья</x:v>
      </x:c>
      <x:c r="E281" s="28" t="str">
        <x:v>общие ароматические соединения, пересечение ароматических семейств</x:v>
      </x:c>
      <x:c r="F281" s="28" t="str">
        <x:v>Фисташка имеет профиль «зелёный, ореховый, смолистый, сладкий и слегка цветочный». Партнёр «базилик» относится к группе «Травы, цветы и листья» и даёт зелёный, цветочный и терпеновый. Молекулярный мост создают терпены Ореховый жир служит носителем ароматов и создаёт текстурный контраст, но окисление быстро превращает профиль в прогорклый. Итог: зелёный; терпены.</x:v>
      </x:c>
      <x:c r="G281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81" s="28" t="str">
        <x:v>аллерген; солёные фисташки меняют баланс рецепта; прогоркание</x:v>
      </x:c>
      <x:c r="I281" s="28" t="str">
        <x:v>пралине, паста, выпечка, гарнир, соус, молочный или коктейльный компонент с базилик</x:v>
      </x:c>
      <x:c r="J281" s="28" t="str">
        <x:v>Высокая</x:v>
      </x:c>
      <x:c r="K281" s="28" t="str">
        <x:v>The Art &amp; Science of Foodpairing.pdf | Таблица сочетания(1).pdf</x:v>
      </x:c>
      <x:c r="L281" s="28" t="str">
        <x:v>The Art &amp; Science of Foodpairing.pdf: 74; Таблица сочетания(1).pdf: 17</x:v>
      </x:c>
    </x:row>
    <x:row r="282" ht="64" customHeight="1">
      <x:c r="A282" s="28" t="str">
        <x:v>NCT-0428</x:v>
      </x:c>
      <x:c r="B282" s="28" t="str">
        <x:v>фисташка</x:v>
      </x:c>
      <x:c r="C282" s="28" t="str">
        <x:v>ваниль</x:v>
      </x:c>
      <x:c r="D282" s="28" t="str">
        <x:v>Специи</x:v>
      </x:c>
      <x:c r="E282" s="28" t="str">
        <x:v>сенсорная комплементарность</x:v>
      </x:c>
      <x:c r="F282" s="28" t="str">
        <x:v>Фисташка имеет профиль «зелёный, ореховый, смолистый, сладкий и слегка цветочный».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82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82" s="28" t="str">
        <x:v>аллерген; солёные фисташки меняют баланс рецепта; прогоркание</x:v>
      </x:c>
      <x:c r="I282" s="28" t="str">
        <x:v>пралине, паста, выпечка, гарнир, соус, молочный или коктейльный компонент с ваниль</x:v>
      </x:c>
      <x:c r="J282" s="28" t="str">
        <x:v>Гипотеза / практическая</x:v>
      </x:c>
      <x:c r="K282" s="28" t="str">
        <x:v>Таблица сочетания(1).pdf</x:v>
      </x:c>
      <x:c r="L282" s="28" t="str">
        <x:v>Таблица сочетания(1).pdf: 17</x:v>
      </x:c>
    </x:row>
    <x:row r="283" ht="64" customHeight="1">
      <x:c r="A283" s="28" t="str">
        <x:v>NCT-0429</x:v>
      </x:c>
      <x:c r="B283" s="28" t="str">
        <x:v>фисташка</x:v>
      </x:c>
      <x:c r="C283" s="28" t="str">
        <x:v>груша</x:v>
      </x:c>
      <x:c r="D283" s="28" t="str">
        <x:v>Фрукты и ягоды</x:v>
      </x:c>
      <x:c r="E283" s="28" t="str">
        <x:v>контраст кислоты и жирной/горькой матрицы</x:v>
      </x:c>
      <x:c r="F283" s="28" t="str">
        <x:v>Фисташка имеет профиль «зелёный, ореховый, смолистый, сладкий и слегка цветочный». Партнёр «груша»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83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83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I283" s="28" t="str">
        <x:v>пралине, паста, выпечка, гарнир, соус, молочный или коктейльный компонент с груша</x:v>
      </x:c>
      <x:c r="J283" s="28" t="str">
        <x:v>Гипотеза / практическая</x:v>
      </x:c>
      <x:c r="K283" s="28" t="str">
        <x:v>Таблица сочетания(1).pdf</x:v>
      </x:c>
      <x:c r="L283" s="28" t="str">
        <x:v>Таблица сочетания(1).pdf: 16</x:v>
      </x:c>
    </x:row>
    <x:row r="284" ht="64" customHeight="1">
      <x:c r="A284" s="28" t="str">
        <x:v>NCT-0430</x:v>
      </x:c>
      <x:c r="B284" s="28" t="str">
        <x:v>фисташка</x:v>
      </x:c>
      <x:c r="C284" s="28" t="str">
        <x:v>кардамон</x:v>
      </x:c>
      <x:c r="D284" s="28" t="str">
        <x:v>Специи</x:v>
      </x:c>
      <x:c r="E284" s="28" t="str">
        <x:v>сенсорная комплементарность</x:v>
      </x:c>
      <x:c r="F284" s="28" t="str">
        <x:v>Фисташка имеет профиль «зелёный, ореховый, смолистый, сладкий и слегка цветочный». Партнёр «кардамон» относится к группе «Специи» и даёт камфорный, цветочный,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84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84" s="28" t="str">
        <x:v>аллерген; солёные фисташки меняют баланс рецепта; прогоркание</x:v>
      </x:c>
      <x:c r="I284" s="28" t="str">
        <x:v>пралине, паста, выпечка, гарнир, соус, молочный или коктейльный компонент с кардамон</x:v>
      </x:c>
      <x:c r="J284" s="28" t="str">
        <x:v>Гипотеза / практическая</x:v>
      </x:c>
      <x:c r="K284" s="28" t="str">
        <x:v>Таблица сочетания(1).pdf</x:v>
      </x:c>
      <x:c r="L284" s="28" t="str">
        <x:v>Таблица сочетания(1).pdf: 17</x:v>
      </x:c>
    </x:row>
    <x:row r="285" ht="64" customHeight="1">
      <x:c r="A285" s="28" t="str">
        <x:v>NCT-0431</x:v>
      </x:c>
      <x:c r="B285" s="28" t="str">
        <x:v>фисташка</x:v>
      </x:c>
      <x:c r="C285" s="28" t="str">
        <x:v>клюква</x:v>
      </x:c>
      <x:c r="D285" s="28" t="str">
        <x:v>Прочее</x:v>
      </x:c>
      <x:c r="E285" s="28" t="str">
        <x:v>сенсорная комплементарность</x:v>
      </x:c>
      <x:c r="F285" s="28" t="str">
        <x:v>Фисташка имеет профиль «зелёный, ореховый, смолистый, сладкий и слегка цветочный». Партнёр «клюква»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85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85" s="28" t="str">
        <x:v>аллерген; солёные фисташки меняют баланс рецепта; прогоркание</x:v>
      </x:c>
      <x:c r="I285" s="28" t="str">
        <x:v>пралине, паста, выпечка, гарнир, соус, молочный или коктейльный компонент с клюква</x:v>
      </x:c>
      <x:c r="J285" s="28" t="str">
        <x:v>Гипотеза / практическая</x:v>
      </x:c>
      <x:c r="K285" s="28" t="str">
        <x:v>Таблица сочетания(1).pdf</x:v>
      </x:c>
      <x:c r="L285" s="28" t="str">
        <x:v>Таблица сочетания(1).pdf: 6, 17</x:v>
      </x:c>
    </x:row>
    <x:row r="286" ht="64" customHeight="1">
      <x:c r="A286" s="28" t="str">
        <x:v>NCT-0432</x:v>
      </x:c>
      <x:c r="B286" s="28" t="str">
        <x:v>фисташка</x:v>
      </x:c>
      <x:c r="C286" s="28" t="str">
        <x:v>кокос</x:v>
      </x:c>
      <x:c r="D286" s="28" t="str">
        <x:v>Прочее</x:v>
      </x:c>
      <x:c r="E286" s="28" t="str">
        <x:v>сенсорная комплементарность</x:v>
      </x:c>
      <x:c r="F286" s="28" t="str">
        <x:v>Фисташка имеет профиль «зелёный, ореховый, смолистый, сладкий и слегка цветочный». Партнёр «кокос» относится к группе «Прочее» и даёт лактонный, сливочный.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86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86" s="28" t="str">
        <x:v>аллерген; солёные фисташки меняют баланс рецепта; прогоркание</x:v>
      </x:c>
      <x:c r="I286" s="28" t="str">
        <x:v>пралине, паста, выпечка, гарнир, соус, молочный или коктейльный компонент с кокос</x:v>
      </x:c>
      <x:c r="J286" s="28" t="str">
        <x:v>Гипотеза / практическая</x:v>
      </x:c>
      <x:c r="K286" s="28" t="str">
        <x:v>Таблица сочетания(1).pdf</x:v>
      </x:c>
      <x:c r="L286" s="28" t="str">
        <x:v>Таблица сочетания(1).pdf: 17</x:v>
      </x:c>
    </x:row>
    <x:row r="287" ht="64" customHeight="1">
      <x:c r="A287" s="28" t="str">
        <x:v>NCT-0433</x:v>
      </x:c>
      <x:c r="B287" s="28" t="str">
        <x:v>фисташка</x:v>
      </x:c>
      <x:c r="C287" s="28" t="str">
        <x:v>лимон</x:v>
      </x:c>
      <x:c r="D287" s="28" t="str">
        <x:v>Фрукты и ягоды</x:v>
      </x:c>
      <x:c r="E287" s="28" t="str">
        <x:v>контраст кислоты и жирной/горькой матрицы</x:v>
      </x:c>
      <x:c r="F287" s="28" t="str">
        <x:v>Фисташка имеет профиль «зелёный, ореховый, смолистый, сладкий и слегка цветочный».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87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87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I287" s="28" t="str">
        <x:v>пралине, паста, выпечка, гарнир, соус, молочный или коктейльный компонент с лимон</x:v>
      </x:c>
      <x:c r="J287" s="28" t="str">
        <x:v>Гипотеза / практическая</x:v>
      </x:c>
      <x:c r="K287" s="28" t="str">
        <x:v>Таблица сочетания(1).pdf</x:v>
      </x:c>
      <x:c r="L287" s="28" t="str">
        <x:v>Таблица сочетания(1).pdf: 11</x:v>
      </x:c>
    </x:row>
    <x:row r="288" ht="64" customHeight="1">
      <x:c r="A288" s="28" t="str">
        <x:v>NCT-0434</x:v>
      </x:c>
      <x:c r="B288" s="28" t="str">
        <x:v>фисташка</x:v>
      </x:c>
      <x:c r="C288" s="28" t="str">
        <x:v>морошка</x:v>
      </x:c>
      <x:c r="D288" s="28" t="str">
        <x:v>Прочее</x:v>
      </x:c>
      <x:c r="E288" s="28" t="str">
        <x:v>сенсорная комплементарность</x:v>
      </x:c>
      <x:c r="F288" s="28" t="str">
        <x:v>Фисташка имеет профиль «зелёный, ореховый, смолистый, сладкий и слегка цветочный». Партнёр «морошка»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88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88" s="28" t="str">
        <x:v>аллерген; солёные фисташки меняют баланс рецепта; прогоркание</x:v>
      </x:c>
      <x:c r="I288" s="28" t="str">
        <x:v>пралине, паста, выпечка, гарнир, соус, молочный или коктейльный компонент с морошка</x:v>
      </x:c>
      <x:c r="J288" s="28" t="str">
        <x:v>Гипотеза / практическая</x:v>
      </x:c>
      <x:c r="K288" s="28" t="str">
        <x:v>Таблица сочетания(1).pdf</x:v>
      </x:c>
      <x:c r="L288" s="28" t="str">
        <x:v>Таблица сочетания(1).pdf: 5</x:v>
      </x:c>
    </x:row>
    <x:row r="289" ht="64" customHeight="1">
      <x:c r="A289" s="28" t="str">
        <x:v>NCT-0435</x:v>
      </x:c>
      <x:c r="B289" s="28" t="str">
        <x:v>фисташка</x:v>
      </x:c>
      <x:c r="C289" s="28" t="str">
        <x:v>мускатный орех</x:v>
      </x:c>
      <x:c r="D289" s="28" t="str">
        <x:v>Орехи и семена</x:v>
      </x:c>
      <x:c r="E289" s="28" t="str">
        <x:v>пересечение ароматических семейств, жареная химия и реакции Майяра</x:v>
      </x:c>
      <x:c r="F289" s="28" t="str">
        <x:v>Фисташка имеет профиль «зелёный, ореховый, смолистый, сладкий и слегка цветочный».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механизм не следует сводить к одной общей молекуле.</x:v>
      </x:c>
      <x:c r="G289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89" s="28" t="str">
        <x:v>аллерген; солёные фисташки меняют баланс рецепта; прогоркание</x:v>
      </x:c>
      <x:c r="I289" s="28" t="str">
        <x:v>пралине, паста, выпечка, гарнир, соус, молочный или коктейльный компонент с мускатный орех</x:v>
      </x:c>
      <x:c r="J289" s="28" t="str">
        <x:v>Гипотеза / практическая</x:v>
      </x:c>
      <x:c r="K289" s="28" t="str">
        <x:v>Таблица сочетания(1).pdf</x:v>
      </x:c>
      <x:c r="L289" s="28" t="str">
        <x:v>Таблица сочетания(1).pdf: 17</x:v>
      </x:c>
    </x:row>
    <x:row r="290" ht="64" customHeight="1">
      <x:c r="A290" s="28" t="str">
        <x:v>NCT-0436</x:v>
      </x:c>
      <x:c r="B290" s="28" t="str">
        <x:v>фисташка</x:v>
      </x:c>
      <x:c r="C290" s="28" t="str">
        <x:v>нектарин</x:v>
      </x:c>
      <x:c r="D290" s="28" t="str">
        <x:v>Прочее</x:v>
      </x:c>
      <x:c r="E290" s="28" t="str">
        <x:v>сенсорная комплементарность</x:v>
      </x:c>
      <x:c r="F290" s="28" t="str">
        <x:v>Фисташка имеет профиль «зелёный, ореховый, смолистый, сладкий и слегка цветочный». Партнёр «нектарин»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90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90" s="28" t="str">
        <x:v>аллерген; солёные фисташки меняют баланс рецепта; прогоркание</x:v>
      </x:c>
      <x:c r="I290" s="28" t="str">
        <x:v>пралине, паста, выпечка, гарнир, соус, молочный или коктейльный компонент с нектарин</x:v>
      </x:c>
      <x:c r="J290" s="28" t="str">
        <x:v>Гипотеза / практическая</x:v>
      </x:c>
      <x:c r="K290" s="28" t="str">
        <x:v>Таблица сочетания(1).pdf</x:v>
      </x:c>
      <x:c r="L290" s="28" t="str">
        <x:v>Таблица сочетания(1).pdf: 14</x:v>
      </x:c>
    </x:row>
    <x:row r="291" ht="64" customHeight="1">
      <x:c r="A291" s="28" t="str">
        <x:v>NCT-0437</x:v>
      </x:c>
      <x:c r="B291" s="28" t="str">
        <x:v>фисташка</x:v>
      </x:c>
      <x:c r="C291" s="28" t="str">
        <x:v>оливковое масло</x:v>
      </x:c>
      <x:c r="D291" s="28" t="str">
        <x:v>Масла и жиры</x:v>
      </x:c>
      <x:c r="E291" s="28" t="str">
        <x:v>сенсорная комплементарность</x:v>
      </x:c>
      <x:c r="F291" s="28" t="str">
        <x:v>Фисташка имеет профиль «зелёный, ореховый, смолистый, сладкий и слегка цветочный». Партнёр «оливковое масло» относится к группе «Масла и жиры» и даёт жирный и мягкий.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91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91" s="28" t="str">
        <x:v>аллерген; солёные фисташки меняют баланс рецепта; прогоркание</x:v>
      </x:c>
      <x:c r="I291" s="28" t="str">
        <x:v>пралине, паста, выпечка, гарнир, соус, молочный или коктейльный компонент с оливковое масло</x:v>
      </x:c>
      <x:c r="J291" s="28" t="str">
        <x:v>Средняя</x:v>
      </x:c>
      <x:c r="K291" s="28" t="str">
        <x:v>The Art &amp; Science of Foodpairing.pdf</x:v>
      </x:c>
      <x:c r="L291" s="28" t="str">
        <x:v>The Art &amp; Science of Foodpairing.pdf: 172</x:v>
      </x:c>
    </x:row>
    <x:row r="292" ht="64" customHeight="1">
      <x:c r="A292" s="28" t="str">
        <x:v>NCT-0438</x:v>
      </x:c>
      <x:c r="B292" s="28" t="str">
        <x:v>фисташка</x:v>
      </x:c>
      <x:c r="C292" s="28" t="str">
        <x:v>персик</x:v>
      </x:c>
      <x:c r="D292" s="28" t="str">
        <x:v>Фрукты и ягоды</x:v>
      </x:c>
      <x:c r="E292" s="28" t="str">
        <x:v>контраст кислоты и жирной/горькой матрицы</x:v>
      </x:c>
      <x:c r="F292" s="28" t="str">
        <x:v>Фисташка имеет профиль «зелёный, ореховый, смолистый, сладкий и слегка цветочный». Партнёр «персик» относится к группе «Фрукты и ягоды» и даёт лактонный, фруктовый, цветочный.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92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92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I292" s="28" t="str">
        <x:v>пралине, паста, выпечка, гарнир, соус, молочный или коктейльный компонент с персик</x:v>
      </x:c>
      <x:c r="J292" s="28" t="str">
        <x:v>Гипотеза / практическая</x:v>
      </x:c>
      <x:c r="K292" s="28" t="str">
        <x:v>Таблица сочетания(1).pdf</x:v>
      </x:c>
      <x:c r="L292" s="28" t="str">
        <x:v>Таблица сочетания(1).pdf: 15</x:v>
      </x:c>
    </x:row>
    <x:row r="293" ht="64" customHeight="1">
      <x:c r="A293" s="28" t="str">
        <x:v>NCT-0439</x:v>
      </x:c>
      <x:c r="B293" s="28" t="str">
        <x:v>фисташка</x:v>
      </x:c>
      <x:c r="C293" s="28" t="str">
        <x:v>персики</x:v>
      </x:c>
      <x:c r="D293" s="28" t="str">
        <x:v>Фрукты и ягоды</x:v>
      </x:c>
      <x:c r="E293" s="28" t="str">
        <x:v>контраст кислоты и жирной/горькой матрицы</x:v>
      </x:c>
      <x:c r="F293" s="28" t="str">
        <x:v>Фисташка имеет профиль «зелёный, ореховый, смолистый, сладкий и слегка цветочный». Партнёр «персики» относится к группе «Фрукты и ягоды» и даёт лактонный, фруктовый, цветочный.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93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93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I293" s="28" t="str">
        <x:v>пралине, паста, выпечка, гарнир, соус, молочный или коктейльный компонент с персики</x:v>
      </x:c>
      <x:c r="J293" s="28" t="str">
        <x:v>Гипотеза / практическая</x:v>
      </x:c>
      <x:c r="K293" s="28" t="str">
        <x:v>Таблица сочетания(1).pdf</x:v>
      </x:c>
      <x:c r="L293" s="28" t="str">
        <x:v>Таблица сочетания(1).pdf: 17</x:v>
      </x:c>
    </x:row>
    <x:row r="294" ht="64" customHeight="1">
      <x:c r="A294" s="28" t="str">
        <x:v>NCT-0440</x:v>
      </x:c>
      <x:c r="B294" s="28" t="str">
        <x:v>фисташка</x:v>
      </x:c>
      <x:c r="C294" s="28" t="str">
        <x:v>петрушка</x:v>
      </x:c>
      <x:c r="D294" s="28" t="str">
        <x:v>Травы, цветы и листья</x:v>
      </x:c>
      <x:c r="E294" s="28" t="str">
        <x:v>общие ароматические соединения, пересечение ароматических семейств</x:v>
      </x:c>
      <x:c r="F294" s="28" t="str">
        <x:v>Фисташка имеет профиль «зелёный, ореховый, смолистый, сладкий и слегка цветочный». Партнёр «петрушка» относится к группе «Травы, цветы и листья» и даёт зелёный, цветочный и терпеновый. Молекулярный мост создают терпены Ореховый жир служит носителем ароматов и создаёт текстурный контраст, но окисление быстро превращает профиль в прогорклый. Итог: зелёный; терпены.</x:v>
      </x:c>
      <x:c r="G294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94" s="28" t="str">
        <x:v>аллерген; солёные фисташки меняют баланс рецепта; прогоркание</x:v>
      </x:c>
      <x:c r="I294" s="28" t="str">
        <x:v>пралине, паста, выпечка, гарнир, соус, молочный или коктейльный компонент с петрушка</x:v>
      </x:c>
      <x:c r="J294" s="28" t="str">
        <x:v>Гипотеза / практическая</x:v>
      </x:c>
      <x:c r="K294" s="28" t="str">
        <x:v>Таблица сочетания(1).pdf</x:v>
      </x:c>
      <x:c r="L294" s="28" t="str">
        <x:v>Таблица сочетания(1).pdf: 17</x:v>
      </x:c>
    </x:row>
    <x:row r="295" ht="64" customHeight="1">
      <x:c r="A295" s="28" t="str">
        <x:v>NCT-0441</x:v>
      </x:c>
      <x:c r="B295" s="28" t="str">
        <x:v>фисташка</x:v>
      </x:c>
      <x:c r="C295" s="28" t="str">
        <x:v>розмарин</x:v>
      </x:c>
      <x:c r="D295" s="28" t="str">
        <x:v>Травы, цветы и листья</x:v>
      </x:c>
      <x:c r="E295" s="28" t="str">
        <x:v>общие ароматические соединения, пересечение ароматических семейств</x:v>
      </x:c>
      <x:c r="F295" s="28" t="str">
        <x:v>Фисташка имеет профиль «зелёный, ореховый, смолистый, сладкий и слегка цветочный». Партнёр «розмарин» относится к группе «Травы, цветы и листья» и даёт зелёный, цветочный и терпеновый. Молекулярный мост создают терпены Ореховый жир служит носителем ароматов и создаёт текстурный контраст, но окисление быстро превращает профиль в прогорклый. Итог: зелёный; терпены.</x:v>
      </x:c>
      <x:c r="G295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95" s="28" t="str">
        <x:v>аллерген; солёные фисташки меняют баланс рецепта; прогоркание</x:v>
      </x:c>
      <x:c r="I295" s="28" t="str">
        <x:v>пралине, паста, выпечка, гарнир, соус, молочный или коктейльный компонент с розмарин</x:v>
      </x:c>
      <x:c r="J295" s="28" t="str">
        <x:v>Гипотеза / практическая</x:v>
      </x:c>
      <x:c r="K295" s="28" t="str">
        <x:v>Таблица сочетания(1).pdf</x:v>
      </x:c>
      <x:c r="L295" s="28" t="str">
        <x:v>Таблица сочетания(1).pdf: 17</x:v>
      </x:c>
    </x:row>
    <x:row r="296" ht="64" customHeight="1">
      <x:c r="A296" s="28" t="str">
        <x:v>NCT-0442</x:v>
      </x:c>
      <x:c r="B296" s="28" t="str">
        <x:v>фисташка</x:v>
      </x:c>
      <x:c r="C296" s="28" t="str">
        <x:v>семена фенхеля</x:v>
      </x:c>
      <x:c r="D296" s="28" t="str">
        <x:v>Прочее</x:v>
      </x:c>
      <x:c r="E296" s="28" t="str">
        <x:v>сенсорная комплементарность</x:v>
      </x:c>
      <x:c r="F296" s="28" t="str">
        <x:v>Фисташка имеет профиль «зелёный, ореховый, смолистый, сладкий и слегка цветочный». Партнёр «семена фенхеля»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96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96" s="28" t="str">
        <x:v>аллерген; солёные фисташки меняют баланс рецепта; прогоркание</x:v>
      </x:c>
      <x:c r="I296" s="28" t="str">
        <x:v>пралине, паста, выпечка, гарнир, соус, молочный или коктейльный компонент с семена фенхеля</x:v>
      </x:c>
      <x:c r="J296" s="28" t="str">
        <x:v>Гипотеза / практическая</x:v>
      </x:c>
      <x:c r="K296" s="28" t="str">
        <x:v>Таблица сочетания(1).pdf</x:v>
      </x:c>
      <x:c r="L296" s="28" t="str">
        <x:v>Таблица сочетания(1).pdf: 17</x:v>
      </x:c>
    </x:row>
    <x:row r="297" ht="64" customHeight="1">
      <x:c r="A297" s="28" t="str">
        <x:v>NCT-0443</x:v>
      </x:c>
      <x:c r="B297" s="28" t="str">
        <x:v>фисташка</x:v>
      </x:c>
      <x:c r="C297" s="28" t="str">
        <x:v>слива</x:v>
      </x:c>
      <x:c r="D297" s="28" t="str">
        <x:v>Фрукты и ягоды</x:v>
      </x:c>
      <x:c r="E297" s="28" t="str">
        <x:v>контраст кислоты и жирной/горькой матрицы</x:v>
      </x:c>
      <x:c r="F297" s="28" t="str">
        <x:v>Фисташка имеет профиль «зелёный, ореховый, смолистый, сладкий и слегка цветочный». Партнёр «слива»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97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97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I297" s="28" t="str">
        <x:v>пралине, паста, выпечка, гарнир, соус, молочный или коктейльный компонент с слива</x:v>
      </x:c>
      <x:c r="J297" s="28" t="str">
        <x:v>Гипотеза / практическая</x:v>
      </x:c>
      <x:c r="K297" s="28" t="str">
        <x:v>Таблица сочетания(1).pdf</x:v>
      </x:c>
      <x:c r="L297" s="28" t="str">
        <x:v>Таблица сочетания(1).pdf: 17</x:v>
      </x:c>
    </x:row>
    <x:row r="298" ht="64" customHeight="1">
      <x:c r="A298" s="28" t="str">
        <x:v>NCT-0444</x:v>
      </x:c>
      <x:c r="B298" s="28" t="str">
        <x:v>фисташка</x:v>
      </x:c>
      <x:c r="C298" s="28" t="str">
        <x:v>финик</x:v>
      </x:c>
      <x:c r="D298" s="28" t="str">
        <x:v>Прочее</x:v>
      </x:c>
      <x:c r="E298" s="28" t="str">
        <x:v>сенсорная комплементарность</x:v>
      </x:c>
      <x:c r="F298" s="28" t="str">
        <x:v>Фисташка имеет профиль «зелёный, ореховый, смолистый, сладкий и слегка цветочный». Партнёр «финик»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98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98" s="28" t="str">
        <x:v>аллерген; солёные фисташки меняют баланс рецепта; прогоркание</x:v>
      </x:c>
      <x:c r="I298" s="28" t="str">
        <x:v>пралине, паста, выпечка, гарнир, соус, молочный или коктейльный компонент с финик</x:v>
      </x:c>
      <x:c r="J298" s="28" t="str">
        <x:v>Гипотеза / практическая</x:v>
      </x:c>
      <x:c r="K298" s="28" t="str">
        <x:v>Таблица сочетания(1).pdf</x:v>
      </x:c>
      <x:c r="L298" s="28" t="str">
        <x:v>Таблица сочетания(1).pdf: 7</x:v>
      </x:c>
    </x:row>
    <x:row r="299" ht="64" customHeight="1">
      <x:c r="A299" s="28" t="str">
        <x:v>NCT-0445</x:v>
      </x:c>
      <x:c r="B299" s="28" t="str">
        <x:v>фисташка</x:v>
      </x:c>
      <x:c r="C299" s="28" t="str">
        <x:v>чернослив</x:v>
      </x:c>
      <x:c r="D299" s="28" t="str">
        <x:v>Фрукты и ягоды</x:v>
      </x:c>
      <x:c r="E299" s="28" t="str">
        <x:v>контраст кислоты и жирной/горькой матрицы</x:v>
      </x:c>
      <x:c r="F299" s="28" t="str">
        <x:v>Фисташка имеет профиль «зелёный, ореховый, смолистый, сладкий и слегка цветочный». Партнёр «чернослив»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99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299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I299" s="28" t="str">
        <x:v>пралине, паста, выпечка, гарнир, соус, молочный или коктейльный компонент с чернослив</x:v>
      </x:c>
      <x:c r="J299" s="28" t="str">
        <x:v>Гипотеза / практическая</x:v>
      </x:c>
      <x:c r="K299" s="28" t="str">
        <x:v>Таблица сочетания(1).pdf</x:v>
      </x:c>
      <x:c r="L299" s="28" t="str">
        <x:v>Таблица сочетания(1).pdf: 18</x:v>
      </x:c>
    </x:row>
    <x:row r="300" ht="64" customHeight="1">
      <x:c r="A300" s="28" t="str">
        <x:v>NCT-0446</x:v>
      </x:c>
      <x:c r="B300" s="28" t="str">
        <x:v>фисташка</x:v>
      </x:c>
      <x:c r="C300" s="28" t="str">
        <x:v>шоколад</x:v>
      </x:c>
      <x:c r="D300" s="28" t="str">
        <x:v>Какао и шоколад</x:v>
      </x:c>
      <x:c r="E300" s="28" t="str">
        <x:v>общие ароматические соединения, жареная химия и реакции Майяра</x:v>
      </x:c>
      <x:c r="F300" s="28" t="str">
        <x:v>Фисташка имеет профиль «зелёный, ореховый, смолистый, сладкий и слегка цветочный».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пиразины, фураны.</x:v>
      </x:c>
      <x:c r="G300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00" s="28" t="str">
        <x:v>аллерген; солёные фисташки меняют баланс рецепта; прогоркание</x:v>
      </x:c>
      <x:c r="I300" s="28" t="str">
        <x:v>пралине, паста, выпечка, гарнир, соус, молочный или коктейльный компонент с шоколад</x:v>
      </x:c>
      <x:c r="J300" s="28" t="str">
        <x:v>Гипотеза / практическая</x:v>
      </x:c>
      <x:c r="K300" s="28" t="str">
        <x:v>Таблица сочетания(1).pdf</x:v>
      </x:c>
      <x:c r="L300" s="28" t="str">
        <x:v>Таблица сочетания(1).pdf: 17</x:v>
      </x:c>
    </x:row>
    <x:row r="301" ht="64" customHeight="1">
      <x:c r="A301" s="28" t="str">
        <x:v>NCT-0447</x:v>
      </x:c>
      <x:c r="B301" s="28" t="str">
        <x:v>фундук</x:v>
      </x:c>
      <x:c r="C301" s="28" t="str">
        <x:v>allspice</x:v>
      </x:c>
      <x:c r="D301" s="28" t="str">
        <x:v>Специи</x:v>
      </x:c>
      <x:c r="E301" s="28" t="str">
        <x:v>сенсорная комплементарность</x:v>
      </x:c>
      <x:c r="F301" s="28" t="str">
        <x:v>Фундук имеет профиль «ореховый, жареный, сладкий, землистый и какаоподобный». Партнёр «allspice»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0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01" s="28" t="str">
        <x:v>аллерген и чувствительность к прогорканию; пережаривание даёт дымную горечь</x:v>
      </x:c>
      <x:c r="I301" s="28" t="str">
        <x:v>пралине, паста, выпечка, гарнир, соус, молочный или коктейльный компонент с allspice</x:v>
      </x:c>
      <x:c r="J301" s="28" t="str">
        <x:v>Средняя</x:v>
      </x:c>
      <x:c r="K301" s="28" t="str">
        <x:v>The Art &amp; Science of Foodpairing.pdf</x:v>
      </x:c>
      <x:c r="L301" s="28" t="str">
        <x:v>The Art &amp; Science of Foodpairing.pdf: 332</x:v>
      </x:c>
    </x:row>
    <x:row r="302" ht="64" customHeight="1">
      <x:c r="A302" s="28" t="str">
        <x:v>NCT-0448</x:v>
      </x:c>
      <x:c r="B302" s="28" t="str">
        <x:v>фундук</x:v>
      </x:c>
      <x:c r="C302" s="28" t="str">
        <x:v>alphonso mango</x:v>
      </x:c>
      <x:c r="D302" s="28" t="str">
        <x:v>Фрукты и ягоды</x:v>
      </x:c>
      <x:c r="E302" s="28" t="str">
        <x:v>общие ароматические соединения, контраст кислоты и жирной/горькой матрицы</x:v>
      </x:c>
      <x:c r="F302" s="28" t="str">
        <x:v>Фундук имеет профиль «ореховый, жареный, сладкий, землистый и какаоподобный». Партнёр «alphonso mango»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0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02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02" s="28" t="str">
        <x:v>пралине, паста, выпечка, гарнир, соус, молочный или коктейльный компонент с alphonso mango</x:v>
      </x:c>
      <x:c r="J302" s="28" t="str">
        <x:v>Средняя</x:v>
      </x:c>
      <x:c r="K302" s="28" t="str">
        <x:v>The Art &amp; Science of Foodpairing.pdf</x:v>
      </x:c>
      <x:c r="L302" s="28" t="str">
        <x:v>The Art &amp; Science of Foodpairing.pdf: 332</x:v>
      </x:c>
    </x:row>
    <x:row r="303" ht="64" customHeight="1">
      <x:c r="A303" s="28" t="str">
        <x:v>NCT-0449</x:v>
      </x:c>
      <x:c r="B303" s="28" t="str">
        <x:v>фундук</x:v>
      </x:c>
      <x:c r="C303" s="28" t="str">
        <x:v>apple and apple sauce</x:v>
      </x:c>
      <x:c r="D303" s="28" t="str">
        <x:v>Фрукты и ягоды</x:v>
      </x:c>
      <x:c r="E303" s="28" t="str">
        <x:v>общие ароматические соединения, контраст кислоты и жирной/горькой матрицы</x:v>
      </x:c>
      <x:c r="F303" s="28" t="str">
        <x:v>Фундук имеет профиль «ореховый, жареный, сладкий, землистый и какаоподобный». Партнёр «apple and apple sauce»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0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03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03" s="28" t="str">
        <x:v>пралине, паста, выпечка, гарнир, соус, молочный или коктейльный компонент с apple and apple sauce</x:v>
      </x:c>
      <x:c r="J303" s="28" t="str">
        <x:v>Средняя</x:v>
      </x:c>
      <x:c r="K303" s="28" t="str">
        <x:v>The Art &amp; Science of Foodpairing.pdf</x:v>
      </x:c>
      <x:c r="L303" s="28" t="str">
        <x:v>The Art &amp; Science of Foodpairing.pdf: 47</x:v>
      </x:c>
    </x:row>
    <x:row r="304" ht="64" customHeight="1">
      <x:c r="A304" s="28" t="str">
        <x:v>NCT-0450</x:v>
      </x:c>
      <x:c r="B304" s="28" t="str">
        <x:v>фундук</x:v>
      </x:c>
      <x:c r="C304" s="28" t="str">
        <x:v>artichoke, ray wing</x:v>
      </x:c>
      <x:c r="D304" s="28" t="str">
        <x:v>Овощи, бобовые и грибы</x:v>
      </x:c>
      <x:c r="E304" s="28" t="str">
        <x:v>общие ароматические соединения</x:v>
      </x:c>
      <x:c r="F304" s="28" t="str">
        <x:v>Фундук имеет профиль «ореховый, жареный, сладкий, землистый и какаоподобный». Партнёр «artichoke, ray wing»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0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04" s="28" t="str">
        <x:v>аллерген и чувствительность к прогорканию; пережаривание даёт дымную горечь</x:v>
      </x:c>
      <x:c r="I304" s="28" t="str">
        <x:v>пралине, паста, выпечка, гарнир, соус, молочный или коктейльный компонент с artichoke, ray wing</x:v>
      </x:c>
      <x:c r="J304" s="28" t="str">
        <x:v>Высокая</x:v>
      </x:c>
      <x:c r="K304" s="28" t="str">
        <x:v>The Art &amp; Science of Foodpairing.pdf</x:v>
      </x:c>
      <x:c r="L304" s="28" t="str">
        <x:v>The Art &amp; Science of Foodpairing.pdf: 329</x:v>
      </x:c>
    </x:row>
    <x:row r="305" ht="64" customHeight="1">
      <x:c r="A305" s="28" t="str">
        <x:v>NCT-0451</x:v>
      </x:c>
      <x:c r="B305" s="28" t="str">
        <x:v>фундук</x:v>
      </x:c>
      <x:c r="C305" s="28" t="str">
        <x:v>atlantic salmon fillet</x:v>
      </x:c>
      <x:c r="D305" s="28" t="str">
        <x:v>Рыба и морепродукты</x:v>
      </x:c>
      <x:c r="E305" s="28" t="str">
        <x:v>общие ароматические соединения, солёно-умами контраст</x:v>
      </x:c>
      <x:c r="F305" s="28" t="str">
        <x:v>Фундук имеет профиль «ореховый, жареный, сладкий, землистый и какаоподобный». Партнёр «atlantic salmon fillet»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0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05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305" s="28" t="str">
        <x:v>пралине, паста, выпечка, гарнир, соус, молочный или коктейльный компонент с atlantic salmon fillet</x:v>
      </x:c>
      <x:c r="J305" s="28" t="str">
        <x:v>Средняя</x:v>
      </x:c>
      <x:c r="K305" s="28" t="str">
        <x:v>The Art &amp; Science of Foodpairing.pdf</x:v>
      </x:c>
      <x:c r="L305" s="28" t="str">
        <x:v>The Art &amp; Science of Foodpairing.pdf: 332</x:v>
      </x:c>
    </x:row>
    <x:row r="306" ht="64" customHeight="1">
      <x:c r="A306" s="28" t="str">
        <x:v>NCT-0452</x:v>
      </x:c>
      <x:c r="B306" s="28" t="str">
        <x:v>фундук</x:v>
      </x:c>
      <x:c r="C306" s="28" t="str">
        <x:v>bayonne ham</x:v>
      </x:c>
      <x:c r="D306" s="28" t="str">
        <x:v>Мясо и птица</x:v>
      </x:c>
      <x:c r="E306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06" s="28" t="str">
        <x:v>Фундук имеет профиль «ореховый, жареный, сладкий, землистый и какаоподобный». Партнёр «bayonne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30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06" s="28" t="str">
        <x:v>аллерген и чувствительность к прогорканию; пережаривание даёт дымную горечь</x:v>
      </x:c>
      <x:c r="I306" s="28" t="str">
        <x:v>пралине, паста, выпечка, гарнир, соус, молочный или коктейльный компонент с bayonne ham</x:v>
      </x:c>
      <x:c r="J306" s="28" t="str">
        <x:v>Средняя</x:v>
      </x:c>
      <x:c r="K306" s="28" t="str">
        <x:v>The Art &amp; Science of Foodpairing.pdf</x:v>
      </x:c>
      <x:c r="L306" s="28" t="str">
        <x:v>The Art &amp; Science of Foodpairing.pdf: 332</x:v>
      </x:c>
    </x:row>
    <x:row r="307" ht="64" customHeight="1">
      <x:c r="A307" s="28" t="str">
        <x:v>NCT-0453</x:v>
      </x:c>
      <x:c r="B307" s="28" t="str">
        <x:v>фундук</x:v>
      </x:c>
      <x:c r="C307" s="28" t="str">
        <x:v>blue cheese</x:v>
      </x:c>
      <x:c r="D307" s="28" t="str">
        <x:v>Молочные продукты и сыры</x:v>
      </x:c>
      <x:c r="E307" s="28" t="str">
        <x:v>жировая экстракция и связывание полифенолов белком</x:v>
      </x:c>
      <x:c r="F307" s="28" t="str">
        <x:v>Фундук имеет профиль «ореховый, жареный, сладкий, землистый и какаоподобный». Партнёр «blue cheese»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0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07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I307" s="28" t="str">
        <x:v>пралине, паста, выпечка, гарнир, соус, молочный или коктейльный компонент с blue cheese</x:v>
      </x:c>
      <x:c r="J307" s="28" t="str">
        <x:v>Средняя</x:v>
      </x:c>
      <x:c r="K307" s="28" t="str">
        <x:v>The Art &amp; Science of Foodpairing.pdf</x:v>
      </x:c>
      <x:c r="L307" s="28" t="str">
        <x:v>The Art &amp; Science of Foodpairing.pdf: 164</x:v>
      </x:c>
    </x:row>
    <x:row r="308" ht="64" customHeight="1">
      <x:c r="A308" s="28" t="str">
        <x:v>NCT-0454</x:v>
      </x:c>
      <x:c r="B308" s="28" t="str">
        <x:v>фундук</x:v>
      </x:c>
      <x:c r="C308" s="28" t="str">
        <x:v>boiled butternut squash</x:v>
      </x:c>
      <x:c r="D308" s="28" t="str">
        <x:v>Молочные продукты и сыры</x:v>
      </x:c>
      <x:c r="E308" s="28" t="str">
        <x:v>жировая экстракция и связывание полифенолов белком</x:v>
      </x:c>
      <x:c r="F308" s="28" t="str">
        <x:v>Фундук имеет профиль «ореховый, жареный, сладкий, землистый и какаоподобный». Партнёр «boiled butternut squash»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0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08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I308" s="28" t="str">
        <x:v>пралине, паста, выпечка, гарнир, соус, молочный или коктейльный компонент с boiled butternut squash</x:v>
      </x:c>
      <x:c r="J308" s="28" t="str">
        <x:v>Средняя</x:v>
      </x:c>
      <x:c r="K308" s="28" t="str">
        <x:v>The Art &amp; Science of Foodpairing.pdf</x:v>
      </x:c>
      <x:c r="L308" s="28" t="str">
        <x:v>The Art &amp; Science of Foodpairing.pdf: 332</x:v>
      </x:c>
    </x:row>
    <x:row r="309" ht="64" customHeight="1">
      <x:c r="A309" s="28" t="str">
        <x:v>NCT-0455</x:v>
      </x:c>
      <x:c r="B309" s="28" t="str">
        <x:v>фундук</x:v>
      </x:c>
      <x:c r="C309" s="28" t="str">
        <x:v>boiled purple sweet potato</x:v>
      </x:c>
      <x:c r="D309" s="28" t="str">
        <x:v>Овощи, бобовые и грибы</x:v>
      </x:c>
      <x:c r="E309" s="28" t="str">
        <x:v>общие ароматические соединения</x:v>
      </x:c>
      <x:c r="F309" s="28" t="str">
        <x:v>Фундук имеет профиль «ореховый, жареный, сладкий, землистый и какаоподобный». Партнёр «boiled purple sweet potato»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0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09" s="28" t="str">
        <x:v>аллерген и чувствительность к прогорканию; пережаривание даёт дымную горечь</x:v>
      </x:c>
      <x:c r="I309" s="28" t="str">
        <x:v>пралине, паста, выпечка, гарнир, соус, молочный или коктейльный компонент с boiled purple sweet potato</x:v>
      </x:c>
      <x:c r="J309" s="28" t="str">
        <x:v>Средняя</x:v>
      </x:c>
      <x:c r="K309" s="28" t="str">
        <x:v>The Art &amp; Science of Foodpairing.pdf</x:v>
      </x:c>
      <x:c r="L309" s="28" t="str">
        <x:v>The Art &amp; Science of Foodpairing.pdf: 332</x:v>
      </x:c>
    </x:row>
    <x:row r="310" ht="64" customHeight="1">
      <x:c r="A310" s="28" t="str">
        <x:v>NCT-0456</x:v>
      </x:c>
      <x:c r="B310" s="28" t="str">
        <x:v>фундук</x:v>
      </x:c>
      <x:c r="C310" s="28" t="str">
        <x:v>boiledcourgette</x:v>
      </x:c>
      <x:c r="D310" s="28" t="str">
        <x:v>Овощи, бобовые и грибы</x:v>
      </x:c>
      <x:c r="E310" s="28" t="str">
        <x:v>общие ароматические соединения</x:v>
      </x:c>
      <x:c r="F310" s="28" t="str">
        <x:v>Фундук имеет профиль «ореховый, жареный, сладкий, землистый и какаоподобный». Партнёр «boiledcourgette»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1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10" s="28" t="str">
        <x:v>аллерген и чувствительность к прогорканию; пережаривание даёт дымную горечь</x:v>
      </x:c>
      <x:c r="I310" s="28" t="str">
        <x:v>пралине, паста, выпечка, гарнир, соус, молочный или коктейльный компонент с boiledcourgette</x:v>
      </x:c>
      <x:c r="J310" s="28" t="str">
        <x:v>Средняя</x:v>
      </x:c>
      <x:c r="K310" s="28" t="str">
        <x:v>The Art &amp; Science of Foodpairing.pdf</x:v>
      </x:c>
      <x:c r="L310" s="28" t="str">
        <x:v>The Art &amp; Science of Foodpairing.pdf: 332</x:v>
      </x:c>
    </x:row>
    <x:row r="311" ht="64" customHeight="1">
      <x:c r="A311" s="28" t="str">
        <x:v>NCT-0457</x:v>
      </x:c>
      <x:c r="B311" s="28" t="str">
        <x:v>фундук</x:v>
      </x:c>
      <x:c r="C311" s="28" t="str">
        <x:v>brie and camembert</x:v>
      </x:c>
      <x:c r="D311" s="28" t="str">
        <x:v>Молочные продукты и сыры</x:v>
      </x:c>
      <x:c r="E311" s="28" t="str">
        <x:v>жировая экстракция и связывание полифенолов белком</x:v>
      </x:c>
      <x:c r="F311" s="28" t="str">
        <x:v>Фундук имеет профиль «ореховый, жареный, сладкий, землистый и какаоподобный». Партнёр «brie and camembert»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1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11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I311" s="28" t="str">
        <x:v>пралине, паста, выпечка, гарнир, соус, молочный или коктейльный компонент с brie and camembert</x:v>
      </x:c>
      <x:c r="J311" s="28" t="str">
        <x:v>Средняя</x:v>
      </x:c>
      <x:c r="K311" s="28" t="str">
        <x:v>The Art &amp; Science of Foodpairing.pdf</x:v>
      </x:c>
      <x:c r="L311" s="28" t="str">
        <x:v>The Art &amp; Science of Foodpairing.pdf: 336</x:v>
      </x:c>
    </x:row>
    <x:row r="312" ht="64" customHeight="1">
      <x:c r="A312" s="28" t="str">
        <x:v>NCT-0458</x:v>
      </x:c>
      <x:c r="B312" s="28" t="str">
        <x:v>фундук</x:v>
      </x:c>
      <x:c r="C312" s="28" t="str">
        <x:v>buffalo mozzarella</x:v>
      </x:c>
      <x:c r="D312" s="28" t="str">
        <x:v>Молочные продукты и сыры</x:v>
      </x:c>
      <x:c r="E312" s="28" t="str">
        <x:v>жировая экстракция и связывание полифенолов белком</x:v>
      </x:c>
      <x:c r="F312" s="28" t="str">
        <x:v>Фундук имеет профиль «ореховый, жареный, сладкий, землистый и какаоподобный». Партнёр «buffalo mozzarella»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1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12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I312" s="28" t="str">
        <x:v>пралине, паста, выпечка, гарнир, соус, молочный или коктейльный компонент с buffalo mozzarella</x:v>
      </x:c>
      <x:c r="J312" s="28" t="str">
        <x:v>Средняя</x:v>
      </x:c>
      <x:c r="K312" s="28" t="str">
        <x:v>The Art &amp; Science of Foodpairing.pdf</x:v>
      </x:c>
      <x:c r="L312" s="28" t="str">
        <x:v>The Art &amp; Science of Foodpairing.pdf: 332</x:v>
      </x:c>
    </x:row>
    <x:row r="313" ht="64" customHeight="1">
      <x:c r="A313" s="28" t="str">
        <x:v>NCT-0459</x:v>
      </x:c>
      <x:c r="B313" s="28" t="str">
        <x:v>фундук</x:v>
      </x:c>
      <x:c r="C313" s="28" t="str">
        <x:v>carrot</x:v>
      </x:c>
      <x:c r="D313" s="28" t="str">
        <x:v>Овощи, бобовые и грибы</x:v>
      </x:c>
      <x:c r="E313" s="28" t="str">
        <x:v>общие ароматические соединения</x:v>
      </x:c>
      <x:c r="F313" s="28" t="str">
        <x:v>Фундук имеет профиль «ореховый, жареный, сладкий, землистый и какаоподобный». Партнёр «carrot»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1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13" s="28" t="str">
        <x:v>аллерген и чувствительность к прогорканию; пережаривание даёт дымную горечь</x:v>
      </x:c>
      <x:c r="I313" s="28" t="str">
        <x:v>пралине, паста, выпечка, гарнир, соус, молочный или коктейльный компонент с carrot</x:v>
      </x:c>
      <x:c r="J313" s="28" t="str">
        <x:v>Средняя</x:v>
      </x:c>
      <x:c r="K313" s="28" t="str">
        <x:v>The Art &amp; Science of Foodpairing.pdf</x:v>
      </x:c>
      <x:c r="L313" s="28" t="str">
        <x:v>The Art &amp; Science of Foodpairing.pdf: 232</x:v>
      </x:c>
    </x:row>
    <x:row r="314" ht="64" customHeight="1">
      <x:c r="A314" s="28" t="str">
        <x:v>NCT-0460</x:v>
      </x:c>
      <x:c r="B314" s="28" t="str">
        <x:v>фундук</x:v>
      </x:c>
      <x:c r="C314" s="28" t="str">
        <x:v>chilli peppers</x:v>
      </x:c>
      <x:c r="D314" s="28" t="str">
        <x:v>Специи</x:v>
      </x:c>
      <x:c r="E314" s="28" t="str">
        <x:v>сенсорная комплементарность</x:v>
      </x:c>
      <x:c r="F314" s="28" t="str">
        <x:v>Фундук имеет профиль «ореховый, жареный, сладкий, землистый и какаоподобный». Партнёр «chilli peppers»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1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14" s="28" t="str">
        <x:v>аллерген и чувствительность к прогорканию; пережаривание даёт дымную горечь</x:v>
      </x:c>
      <x:c r="I314" s="28" t="str">
        <x:v>пралине, паста, выпечка, гарнир, соус, молочный или коктейльный компонент с chilli peppers</x:v>
      </x:c>
      <x:c r="J314" s="28" t="str">
        <x:v>Средняя</x:v>
      </x:c>
      <x:c r="K314" s="28" t="str">
        <x:v>The Art &amp; Science of Foodpairing.pdf</x:v>
      </x:c>
      <x:c r="L314" s="28" t="str">
        <x:v>The Art &amp; Science of Foodpairing.pdf: 94</x:v>
      </x:c>
    </x:row>
    <x:row r="315" ht="64" customHeight="1">
      <x:c r="A315" s="28" t="str">
        <x:v>NCT-0461</x:v>
      </x:c>
      <x:c r="B315" s="28" t="str">
        <x:v>фундук</x:v>
      </x:c>
      <x:c r="C315" s="28" t="str">
        <x:v>cooked mussels</x:v>
      </x:c>
      <x:c r="D315" s="28" t="str">
        <x:v>Рыба и морепродукты</x:v>
      </x:c>
      <x:c r="E315" s="28" t="str">
        <x:v>общие ароматические соединения, солёно-умами контраст</x:v>
      </x:c>
      <x:c r="F315" s="28" t="str">
        <x:v>Фундук имеет профиль «ореховый, жареный, сладкий, землистый и какаоподобный». Партнёр «cooked mussels»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1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15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315" s="28" t="str">
        <x:v>пралине, паста, выпечка, гарнир, соус, молочный или коктейльный компонент с cooked mussels</x:v>
      </x:c>
      <x:c r="J315" s="28" t="str">
        <x:v>Средняя</x:v>
      </x:c>
      <x:c r="K315" s="28" t="str">
        <x:v>The Art &amp; Science of Foodpairing.pdf</x:v>
      </x:c>
      <x:c r="L315" s="28" t="str">
        <x:v>The Art &amp; Science of Foodpairing.pdf: 332</x:v>
      </x:c>
    </x:row>
    <x:row r="316" ht="64" customHeight="1">
      <x:c r="A316" s="28" t="str">
        <x:v>NCT-0462</x:v>
      </x:c>
      <x:c r="B316" s="28" t="str">
        <x:v>фундук</x:v>
      </x:c>
      <x:c r="C316" s="28" t="str">
        <x:v>cow's milk mozzarella</x:v>
      </x:c>
      <x:c r="D316" s="28" t="str">
        <x:v>Молочные продукты и сыры</x:v>
      </x:c>
      <x:c r="E316" s="28" t="str">
        <x:v>жировая экстракция и связывание полифенолов белком</x:v>
      </x:c>
      <x:c r="F316" s="28" t="str">
        <x:v>Фундук имеет профиль «ореховый, жареный, сладкий, землистый и какаоподобный». Партнёр «cow's milk mozzarella»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1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16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I316" s="28" t="str">
        <x:v>пралине, паста, выпечка, гарнир, соус, молочный или коктейльный компонент с cow's milk mozzarella</x:v>
      </x:c>
      <x:c r="J316" s="28" t="str">
        <x:v>Средняя</x:v>
      </x:c>
      <x:c r="K316" s="28" t="str">
        <x:v>The Art &amp; Science of Foodpairing.pdf</x:v>
      </x:c>
      <x:c r="L316" s="28" t="str">
        <x:v>The Art &amp; Science of Foodpairing.pdf: 332</x:v>
      </x:c>
    </x:row>
    <x:row r="317" ht="64" customHeight="1">
      <x:c r="A317" s="28" t="str">
        <x:v>NCT-0463</x:v>
      </x:c>
      <x:c r="B317" s="28" t="str">
        <x:v>фундук</x:v>
      </x:c>
      <x:c r="C317" s="28" t="str">
        <x:v>crayfish</x:v>
      </x:c>
      <x:c r="D317" s="28" t="str">
        <x:v>Рыба и морепродукты</x:v>
      </x:c>
      <x:c r="E317" s="28" t="str">
        <x:v>общие ароматические соединения, солёно-умами контраст</x:v>
      </x:c>
      <x:c r="F317" s="28" t="str">
        <x:v>Фундук имеет профиль «ореховый, жареный, сладкий, землистый и какаоподобный». Партнёр «crayfish»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1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17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317" s="28" t="str">
        <x:v>пралине, паста, выпечка, гарнир, соус, молочный или коктейльный компонент с crayfish</x:v>
      </x:c>
      <x:c r="J317" s="28" t="str">
        <x:v>Средняя</x:v>
      </x:c>
      <x:c r="K317" s="28" t="str">
        <x:v>The Art &amp; Science of Foodpairing.pdf</x:v>
      </x:c>
      <x:c r="L317" s="28" t="str">
        <x:v>The Art &amp; Science of Foodpairing.pdf: 332</x:v>
      </x:c>
    </x:row>
    <x:row r="318" ht="64" customHeight="1">
      <x:c r="A318" s="28" t="str">
        <x:v>NCT-0464</x:v>
      </x:c>
      <x:c r="B318" s="28" t="str">
        <x:v>фундук</x:v>
      </x:c>
      <x:c r="C318" s="28" t="str">
        <x:v>dry-aged beef</x:v>
      </x:c>
      <x:c r="D318" s="28" t="str">
        <x:v>Мясо и птица</x:v>
      </x:c>
      <x:c r="E31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18" s="28" t="str">
        <x:v>Фундук имеет профиль «ореховый, жареный, сладкий, землистый и какаоподобный». Партнёр «dry-aged 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31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18" s="28" t="str">
        <x:v>аллерген и чувствительность к прогорканию; пережаривание даёт дымную горечь</x:v>
      </x:c>
      <x:c r="I318" s="28" t="str">
        <x:v>пралине, паста, выпечка, гарнир, соус, молочный или коктейльный компонент с dry-aged beef</x:v>
      </x:c>
      <x:c r="J318" s="28" t="str">
        <x:v>Средняя</x:v>
      </x:c>
      <x:c r="K318" s="28" t="str">
        <x:v>The Art &amp; Science of Foodpairing.pdf</x:v>
      </x:c>
      <x:c r="L318" s="28" t="str">
        <x:v>The Art &amp; Science of Foodpairing.pdf: 332</x:v>
      </x:c>
    </x:row>
    <x:row r="319" ht="64" customHeight="1">
      <x:c r="A319" s="28" t="str">
        <x:v>NCT-0465</x:v>
      </x:c>
      <x:c r="B319" s="28" t="str">
        <x:v>фундук</x:v>
      </x:c>
      <x:c r="C319" s="28" t="str">
        <x:v>dry-agedbeef</x:v>
      </x:c>
      <x:c r="D319" s="28" t="str">
        <x:v>Мясо и птица</x:v>
      </x:c>
      <x:c r="E319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19" s="28" t="str">
        <x:v>Фундук имеет профиль «ореховый, жареный, сладкий, землистый и какаоподобный». Партнёр «dry-agedbeef»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31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19" s="28" t="str">
        <x:v>аллерген и чувствительность к прогорканию; пережаривание даёт дымную горечь</x:v>
      </x:c>
      <x:c r="I319" s="28" t="str">
        <x:v>пралине, паста, выпечка, гарнир, соус, молочный или коктейльный компонент с dry-agedbeef</x:v>
      </x:c>
      <x:c r="J319" s="28" t="str">
        <x:v>Средняя</x:v>
      </x:c>
      <x:c r="K319" s="28" t="str">
        <x:v>The Art &amp; Science of Foodpairing.pdf</x:v>
      </x:c>
      <x:c r="L319" s="28" t="str">
        <x:v>The Art &amp; Science of Foodpairing.pdf: 332</x:v>
      </x:c>
    </x:row>
    <x:row r="320" ht="64" customHeight="1">
      <x:c r="A320" s="28" t="str">
        <x:v>NCT-0466</x:v>
      </x:c>
      <x:c r="B320" s="28" t="str">
        <x:v>фундук</x:v>
      </x:c>
      <x:c r="C320" s="28" t="str">
        <x:v>elderberryjuice</x:v>
      </x:c>
      <x:c r="D320" s="28" t="str">
        <x:v>Фрукты и ягоды</x:v>
      </x:c>
      <x:c r="E320" s="28" t="str">
        <x:v>общие ароматические соединения, контраст кислоты и жирной/горькой матрицы</x:v>
      </x:c>
      <x:c r="F320" s="28" t="str">
        <x:v>Фундук имеет профиль «ореховый, жареный, сладкий, землистый и какаоподобный». Партнёр «elderberryjuice»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2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20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20" s="28" t="str">
        <x:v>пралине, паста, выпечка, гарнир, соус, молочный или коктейльный компонент с elderberryjuice</x:v>
      </x:c>
      <x:c r="J320" s="28" t="str">
        <x:v>Средняя</x:v>
      </x:c>
      <x:c r="K320" s="28" t="str">
        <x:v>The Art &amp; Science of Foodpairing.pdf</x:v>
      </x:c>
      <x:c r="L320" s="28" t="str">
        <x:v>The Art &amp; Science of Foodpairing.pdf: 332</x:v>
      </x:c>
    </x:row>
    <x:row r="321" ht="64" customHeight="1">
      <x:c r="A321" s="28" t="str">
        <x:v>NCT-0467</x:v>
      </x:c>
      <x:c r="B321" s="28" t="str">
        <x:v>фундук</x:v>
      </x:c>
      <x:c r="C321" s="28" t="str">
        <x:v>finger lime</x:v>
      </x:c>
      <x:c r="D321" s="28" t="str">
        <x:v>Фрукты и ягоды</x:v>
      </x:c>
      <x:c r="E321" s="28" t="str">
        <x:v>общие ароматические соединения, контраст кислоты и жирной/горькой матрицы</x:v>
      </x:c>
      <x:c r="F321" s="28" t="str">
        <x:v>Фундук имеет профиль «ореховый, жареный, сладкий, землистый и какаоподобный». Партнёр «finger lime»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2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21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21" s="28" t="str">
        <x:v>пралине, паста, выпечка, гарнир, соус, молочный или коктейльный компонент с finger lime</x:v>
      </x:c>
      <x:c r="J321" s="28" t="str">
        <x:v>Средняя</x:v>
      </x:c>
      <x:c r="K321" s="28" t="str">
        <x:v>The Art &amp; Science of Foodpairing.pdf</x:v>
      </x:c>
      <x:c r="L321" s="28" t="str">
        <x:v>The Art &amp; Science of Foodpairing.pdf: 332</x:v>
      </x:c>
    </x:row>
    <x:row r="322" ht="64" customHeight="1">
      <x:c r="A322" s="28" t="str">
        <x:v>NCT-0468</x:v>
      </x:c>
      <x:c r="B322" s="28" t="str">
        <x:v>фундук</x:v>
      </x:c>
      <x:c r="C322" s="28" t="str">
        <x:v>fresh cream cheese</x:v>
      </x:c>
      <x:c r="D322" s="28" t="str">
        <x:v>Молочные продукты и сыры</x:v>
      </x:c>
      <x:c r="E322" s="28" t="str">
        <x:v>жировая экстракция и связывание полифенолов белком</x:v>
      </x:c>
      <x:c r="F322" s="28" t="str">
        <x:v>Фундук имеет профиль «ореховый, жареный, сладкий, землистый и какаоподобный». Партнёр «fresh cream cheese»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2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22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I322" s="28" t="str">
        <x:v>пралине, паста, выпечка, гарнир, соус, молочный или коктейльный компонент с fresh cream cheese</x:v>
      </x:c>
      <x:c r="J322" s="28" t="str">
        <x:v>Средняя</x:v>
      </x:c>
      <x:c r="K322" s="28" t="str">
        <x:v>The Art &amp; Science of Foodpairing.pdf</x:v>
      </x:c>
      <x:c r="L322" s="28" t="str">
        <x:v>The Art &amp; Science of Foodpairing.pdf: 332</x:v>
      </x:c>
    </x:row>
    <x:row r="323" ht="64" customHeight="1">
      <x:c r="A323" s="28" t="str">
        <x:v>NCT-0469</x:v>
      </x:c>
      <x:c r="B323" s="28" t="str">
        <x:v>фундук</x:v>
      </x:c>
      <x:c r="C323" s="28" t="str">
        <x:v>gandaham</x:v>
      </x:c>
      <x:c r="D323" s="28" t="str">
        <x:v>Мясо и птица</x:v>
      </x:c>
      <x:c r="E323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23" s="28" t="str">
        <x:v>Фундук имеет профиль «ореховый, жареный, сладкий, землистый и какаоподобный». Партнёр «gandaham»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32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23" s="28" t="str">
        <x:v>аллерген и чувствительность к прогорканию; пережаривание даёт дымную горечь</x:v>
      </x:c>
      <x:c r="I323" s="28" t="str">
        <x:v>пралине, паста, выпечка, гарнир, соус, молочный или коктейльный компонент с gandaham</x:v>
      </x:c>
      <x:c r="J323" s="28" t="str">
        <x:v>Средняя</x:v>
      </x:c>
      <x:c r="K323" s="28" t="str">
        <x:v>The Art &amp; Science of Foodpairing.pdf</x:v>
      </x:c>
      <x:c r="L323" s="28" t="str">
        <x:v>The Art &amp; Science of Foodpairing.pdf: 332</x:v>
      </x:c>
    </x:row>
    <x:row r="324" ht="64" customHeight="1">
      <x:c r="A324" s="28" t="str">
        <x:v>NCT-0470</x:v>
      </x:c>
      <x:c r="B324" s="28" t="str">
        <x:v>фундук</x:v>
      </x:c>
      <x:c r="C324" s="28" t="str">
        <x:v>grapes</x:v>
      </x:c>
      <x:c r="D324" s="28" t="str">
        <x:v>Фрукты и ягоды</x:v>
      </x:c>
      <x:c r="E324" s="28" t="str">
        <x:v>общие ароматические соединения, контраст кислоты и жирной/горькой матрицы</x:v>
      </x:c>
      <x:c r="F324" s="28" t="str">
        <x:v>Фундук имеет профиль «ореховый, жареный, сладкий, землистый и какаоподобный». Партнёр «grapes»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2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24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24" s="28" t="str">
        <x:v>пралине, паста, выпечка, гарнир, соус, молочный или коктейльный компонент с grapes</x:v>
      </x:c>
      <x:c r="J324" s="28" t="str">
        <x:v>Средняя</x:v>
      </x:c>
      <x:c r="K324" s="28" t="str">
        <x:v>The Art &amp; Science of Foodpairing.pdf</x:v>
      </x:c>
      <x:c r="L324" s="28" t="str">
        <x:v>The Art &amp; Science of Foodpairing.pdf: 332</x:v>
      </x:c>
    </x:row>
    <x:row r="325" ht="64" customHeight="1">
      <x:c r="A325" s="28" t="str">
        <x:v>NCT-0471</x:v>
      </x:c>
      <x:c r="B325" s="28" t="str">
        <x:v>фундук</x:v>
      </x:c>
      <x:c r="C325" s="28" t="str">
        <x:v>horse mackerel</x:v>
      </x:c>
      <x:c r="D325" s="28" t="str">
        <x:v>Рыба и морепродукты</x:v>
      </x:c>
      <x:c r="E325" s="28" t="str">
        <x:v>общие ароматические соединения, солёно-умами контраст</x:v>
      </x:c>
      <x:c r="F325" s="28" t="str">
        <x:v>Фундук имеет профиль «ореховый, жареный, сладкий, землистый и какаоподобный». Партнёр «horse mackerel»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2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25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325" s="28" t="str">
        <x:v>пралине, паста, выпечка, гарнир, соус, молочный или коктейльный компонент с horse mackerel</x:v>
      </x:c>
      <x:c r="J325" s="28" t="str">
        <x:v>Средняя</x:v>
      </x:c>
      <x:c r="K325" s="28" t="str">
        <x:v>The Art &amp; Science of Foodpairing.pdf</x:v>
      </x:c>
      <x:c r="L325" s="28" t="str">
        <x:v>The Art &amp; Science of Foodpairing.pdf: 332</x:v>
      </x:c>
    </x:row>
    <x:row r="326" ht="64" customHeight="1">
      <x:c r="A326" s="28" t="str">
        <x:v>NCT-0472</x:v>
      </x:c>
      <x:c r="B326" s="28" t="str">
        <x:v>фундук</x:v>
      </x:c>
      <x:c r="C326" s="28" t="str">
        <x:v>iambic beer</x:v>
      </x:c>
      <x:c r="D326" s="28" t="str">
        <x:v>Алкогольные напитки</x:v>
      </x:c>
      <x:c r="E326" s="28" t="str">
        <x:v>общие ароматические соединения</x:v>
      </x:c>
      <x:c r="F326" s="28" t="str">
        <x:v>Фундук имеет профиль «ореховый, жареный, сладкий, землистый и какаоподобный». Партнёр «iambic beer» относится к группе «Алкогольные напитки» и даёт спиртовой, фруктовый или древесный.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2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26" s="28" t="str">
        <x:v>аллерген и чувствительность к прогорканию; пережаривание даёт дымную горечь</x:v>
      </x:c>
      <x:c r="I326" s="28" t="str">
        <x:v>пралине, паста, выпечка, гарнир, соус, молочный или коктейльный компонент с iambic beer</x:v>
      </x:c>
      <x:c r="J326" s="28" t="str">
        <x:v>Средняя</x:v>
      </x:c>
      <x:c r="K326" s="28" t="str">
        <x:v>The Art &amp; Science of Foodpairing.pdf</x:v>
      </x:c>
      <x:c r="L326" s="28" t="str">
        <x:v>The Art &amp; Science of Foodpairing.pdf: 178</x:v>
      </x:c>
    </x:row>
    <x:row r="327" ht="64" customHeight="1">
      <x:c r="A327" s="28" t="str">
        <x:v>NCT-0473</x:v>
      </x:c>
      <x:c r="B327" s="28" t="str">
        <x:v>фундук</x:v>
      </x:c>
      <x:c r="C327" s="28" t="str">
        <x:v>korean fish sauce</x:v>
      </x:c>
      <x:c r="D327" s="28" t="str">
        <x:v>Рыба и морепродукты</x:v>
      </x:c>
      <x:c r="E327" s="28" t="str">
        <x:v>общие ароматические соединения, солёно-умами контраст</x:v>
      </x:c>
      <x:c r="F327" s="28" t="str">
        <x:v>Фундук имеет профиль «ореховый, жареный, сладкий, землистый и какаоподобный». Партнёр «korean fish sauce»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2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27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327" s="28" t="str">
        <x:v>пралине, паста, выпечка, гарнир, соус, молочный или коктейльный компонент с korean fish sauce</x:v>
      </x:c>
      <x:c r="J327" s="28" t="str">
        <x:v>Средняя</x:v>
      </x:c>
      <x:c r="K327" s="28" t="str">
        <x:v>The Art &amp; Science of Foodpairing.pdf</x:v>
      </x:c>
      <x:c r="L327" s="28" t="str">
        <x:v>The Art &amp; Science of Foodpairing.pdf: 332</x:v>
      </x:c>
    </x:row>
    <x:row r="328" ht="64" customHeight="1">
      <x:c r="A328" s="28" t="str">
        <x:v>NCT-0474</x:v>
      </x:c>
      <x:c r="B328" s="28" t="str">
        <x:v>фундук</x:v>
      </x:c>
      <x:c r="C328" s="28" t="str">
        <x:v>lemon balm</x:v>
      </x:c>
      <x:c r="D328" s="28" t="str">
        <x:v>Фрукты и ягоды</x:v>
      </x:c>
      <x:c r="E328" s="28" t="str">
        <x:v>общие ароматические соединения, контраст кислоты и жирной/горькой матрицы</x:v>
      </x:c>
      <x:c r="F328" s="28" t="str">
        <x:v>Фундук имеет профиль «ореховый, жареный, сладкий, землистый и какаоподобный». Партнёр «lemon balm»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2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28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28" s="28" t="str">
        <x:v>пралине, паста, выпечка, гарнир, соус, молочный или коктейльный компонент с lemon balm</x:v>
      </x:c>
      <x:c r="J328" s="28" t="str">
        <x:v>Средняя</x:v>
      </x:c>
      <x:c r="K328" s="28" t="str">
        <x:v>The Art &amp; Science of Foodpairing.pdf</x:v>
      </x:c>
      <x:c r="L328" s="28" t="str">
        <x:v>The Art &amp; Science of Foodpairing.pdf: 332</x:v>
      </x:c>
    </x:row>
    <x:row r="329" ht="64" customHeight="1">
      <x:c r="A329" s="28" t="str">
        <x:v>NCT-0475</x:v>
      </x:c>
      <x:c r="B329" s="28" t="str">
        <x:v>фундук</x:v>
      </x:c>
      <x:c r="C329" s="28" t="str">
        <x:v>lemon vodka</x:v>
      </x:c>
      <x:c r="D329" s="28" t="str">
        <x:v>Алкогольные напитки</x:v>
      </x:c>
      <x:c r="E329" s="28" t="str">
        <x:v>общие ароматические соединения</x:v>
      </x:c>
      <x:c r="F329" s="28" t="str">
        <x:v>Фундук имеет профиль «ореховый, жареный, сладкий, землистый и какаоподобный». Партнёр «lemon vodka» относится к группе «Алкогольные напитки» и даёт спиртовой, фруктовый или древесный.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2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29" s="28" t="str">
        <x:v>аллерген и чувствительность к прогорканию; пережаривание даёт дымную горечь</x:v>
      </x:c>
      <x:c r="I329" s="28" t="str">
        <x:v>пралине, паста, выпечка, гарнир, соус, молочный или коктейльный компонент с lemon vodka</x:v>
      </x:c>
      <x:c r="J329" s="28" t="str">
        <x:v>Средняя</x:v>
      </x:c>
      <x:c r="K329" s="28" t="str">
        <x:v>The Art &amp; Science of Foodpairing.pdf</x:v>
      </x:c>
      <x:c r="L329" s="28" t="str">
        <x:v>The Art &amp; Science of Foodpairing.pdf: 332</x:v>
      </x:c>
    </x:row>
    <x:row r="330" ht="64" customHeight="1">
      <x:c r="A330" s="28" t="str">
        <x:v>NCT-0476</x:v>
      </x:c>
      <x:c r="B330" s="28" t="str">
        <x:v>фундук</x:v>
      </x:c>
      <x:c r="C330" s="28" t="str">
        <x:v>meat</x:v>
      </x:c>
      <x:c r="D330" s="28" t="str">
        <x:v>Мясо и птица</x:v>
      </x:c>
      <x:c r="E33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30" s="28" t="str">
        <x:v>Фундук имеет профиль «ореховый, жареный, сладкий, землистый и какаоподобный». Партнёр «meat»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33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30" s="28" t="str">
        <x:v>аллерген и чувствительность к прогорканию; пережаривание даёт дымную горечь</x:v>
      </x:c>
      <x:c r="I330" s="28" t="str">
        <x:v>пралине, паста, выпечка, гарнир, соус, молочный или коктейльный компонент с meat</x:v>
      </x:c>
      <x:c r="J330" s="28" t="str">
        <x:v>Средняя</x:v>
      </x:c>
      <x:c r="K330" s="28" t="str">
        <x:v>The Art &amp; Science of Foodpairing.pdf</x:v>
      </x:c>
      <x:c r="L330" s="28" t="str">
        <x:v>The Art &amp; Science of Foodpairing.pdf: 186</x:v>
      </x:c>
    </x:row>
    <x:row r="331" ht="64" customHeight="1">
      <x:c r="A331" s="28" t="str">
        <x:v>NCT-0477</x:v>
      </x:c>
      <x:c r="B331" s="28" t="str">
        <x:v>фундук</x:v>
      </x:c>
      <x:c r="C331" s="28" t="str">
        <x:v>orange tomato</x:v>
      </x:c>
      <x:c r="D331" s="28" t="str">
        <x:v>Фрукты и ягоды</x:v>
      </x:c>
      <x:c r="E331" s="28" t="str">
        <x:v>общие ароматические соединения, контраст кислоты и жирной/горькой матрицы</x:v>
      </x:c>
      <x:c r="F331" s="28" t="str">
        <x:v>Фундук имеет профиль «ореховый, жареный, сладкий, землистый и какаоподобный». Партнёр «orange tomato»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3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31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31" s="28" t="str">
        <x:v>пралине, паста, выпечка, гарнир, соус, молочный или коктейльный компонент с orange tomato</x:v>
      </x:c>
      <x:c r="J331" s="28" t="str">
        <x:v>Средняя</x:v>
      </x:c>
      <x:c r="K331" s="28" t="str">
        <x:v>The Art &amp; Science of Foodpairing.pdf</x:v>
      </x:c>
      <x:c r="L331" s="28" t="str">
        <x:v>The Art &amp; Science of Foodpairing.pdf: 332</x:v>
      </x:c>
    </x:row>
    <x:row r="332" ht="64" customHeight="1">
      <x:c r="A332" s="28" t="str">
        <x:v>NCT-0478</x:v>
      </x:c>
      <x:c r="B332" s="28" t="str">
        <x:v>фундук</x:v>
      </x:c>
      <x:c r="C332" s="28" t="str">
        <x:v>pan-fried duck breast</x:v>
      </x:c>
      <x:c r="D332" s="28" t="str">
        <x:v>Мясо и птица</x:v>
      </x:c>
      <x:c r="E332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32" s="28" t="str">
        <x:v>Фундук имеет профиль «ореховый, жареный, сладкий, землистый и какаоподобный». Партнёр «pan-fried duck breast»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33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32" s="28" t="str">
        <x:v>аллерген и чувствительность к прогорканию; пережаривание даёт дымную горечь</x:v>
      </x:c>
      <x:c r="I332" s="28" t="str">
        <x:v>пралине, паста, выпечка, гарнир, соус, молочный или коктейльный компонент с pan-fried duck breast</x:v>
      </x:c>
      <x:c r="J332" s="28" t="str">
        <x:v>Средняя</x:v>
      </x:c>
      <x:c r="K332" s="28" t="str">
        <x:v>The Art &amp; Science of Foodpairing.pdf</x:v>
      </x:c>
      <x:c r="L332" s="28" t="str">
        <x:v>The Art &amp; Science of Foodpairing.pdf: 332</x:v>
      </x:c>
    </x:row>
    <x:row r="333" ht="64" customHeight="1">
      <x:c r="A333" s="28" t="str">
        <x:v>NCT-0479</x:v>
      </x:c>
      <x:c r="B333" s="28" t="str">
        <x:v>фундук</x:v>
      </x:c>
      <x:c r="C333" s="28" t="str">
        <x:v>pan-fried duck foie gras</x:v>
      </x:c>
      <x:c r="D333" s="28" t="str">
        <x:v>Мясо и птица</x:v>
      </x:c>
      <x:c r="E333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33" s="28" t="str">
        <x:v>Фундук имеет профиль «ореховый, жареный, сладкий, землистый и какаоподобный». Партнёр «pan-fried duck foie gras»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33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33" s="28" t="str">
        <x:v>аллерген и чувствительность к прогорканию; пережаривание даёт дымную горечь</x:v>
      </x:c>
      <x:c r="I333" s="28" t="str">
        <x:v>пралине, паста, выпечка, гарнир, соус, молочный или коктейльный компонент с pan-fried duck foie gras</x:v>
      </x:c>
      <x:c r="J333" s="28" t="str">
        <x:v>Средняя</x:v>
      </x:c>
      <x:c r="K333" s="28" t="str">
        <x:v>The Art &amp; Science of Foodpairing.pdf</x:v>
      </x:c>
      <x:c r="L333" s="28" t="str">
        <x:v>The Art &amp; Science of Foodpairing.pdf: 332</x:v>
      </x:c>
    </x:row>
    <x:row r="334" ht="64" customHeight="1">
      <x:c r="A334" s="28" t="str">
        <x:v>NCT-0480</x:v>
      </x:c>
      <x:c r="B334" s="28" t="str">
        <x:v>фундук</x:v>
      </x:c>
      <x:c r="C334" s="28" t="str">
        <x:v>pan-fried wild duck</x:v>
      </x:c>
      <x:c r="D334" s="28" t="str">
        <x:v>Мясо и птица</x:v>
      </x:c>
      <x:c r="E33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34" s="28" t="str">
        <x:v>Фундук имеет профиль «ореховый, жареный, сладкий, землистый и какаоподобный». Партнёр «pan-fried wild duck»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33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34" s="28" t="str">
        <x:v>аллерген и чувствительность к прогорканию; пережаривание даёт дымную горечь</x:v>
      </x:c>
      <x:c r="I334" s="28" t="str">
        <x:v>пралине, паста, выпечка, гарнир, соус, молочный или коктейльный компонент с pan-fried wild duck</x:v>
      </x:c>
      <x:c r="J334" s="28" t="str">
        <x:v>Средняя</x:v>
      </x:c>
      <x:c r="K334" s="28" t="str">
        <x:v>The Art &amp; Science of Foodpairing.pdf</x:v>
      </x:c>
      <x:c r="L334" s="28" t="str">
        <x:v>The Art &amp; Science of Foodpairing.pdf: 332</x:v>
      </x:c>
    </x:row>
    <x:row r="335" ht="64" customHeight="1">
      <x:c r="A335" s="28" t="str">
        <x:v>NCT-0481</x:v>
      </x:c>
      <x:c r="B335" s="28" t="str">
        <x:v>фундук</x:v>
      </x:c>
      <x:c r="C335" s="28" t="str">
        <x:v>pandanleaf</x:v>
      </x:c>
      <x:c r="D335" s="28" t="str">
        <x:v>Травы, цветы и листья</x:v>
      </x:c>
      <x:c r="E335" s="28" t="str">
        <x:v>сенсорная комплементарность</x:v>
      </x:c>
      <x:c r="F335" s="28" t="str">
        <x:v>Фундук имеет профиль «ореховый, жареный, сладкий, землистый и какаоподобный». Партнёр «pandanleaf»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3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35" s="28" t="str">
        <x:v>аллерген и чувствительность к прогорканию; пережаривание даёт дымную горечь</x:v>
      </x:c>
      <x:c r="I335" s="28" t="str">
        <x:v>пралине, паста, выпечка, гарнир, соус, молочный или коктейльный компонент с pandanleaf</x:v>
      </x:c>
      <x:c r="J335" s="28" t="str">
        <x:v>Средняя</x:v>
      </x:c>
      <x:c r="K335" s="28" t="str">
        <x:v>The Art &amp; Science of Foodpairing.pdf</x:v>
      </x:c>
      <x:c r="L335" s="28" t="str">
        <x:v>The Art &amp; Science of Foodpairing.pdf: 332</x:v>
      </x:c>
    </x:row>
    <x:row r="336" ht="64" customHeight="1">
      <x:c r="A336" s="28" t="str">
        <x:v>NCT-0482</x:v>
      </x:c>
      <x:c r="B336" s="28" t="str">
        <x:v>фундук</x:v>
      </x:c>
      <x:c r="C336" s="28" t="str">
        <x:v>poached cod fillet</x:v>
      </x:c>
      <x:c r="D336" s="28" t="str">
        <x:v>Рыба и морепродукты</x:v>
      </x:c>
      <x:c r="E336" s="28" t="str">
        <x:v>общие ароматические соединения, солёно-умами контраст</x:v>
      </x:c>
      <x:c r="F336" s="28" t="str">
        <x:v>Фундук имеет профиль «ореховый, жареный, сладкий, землистый и какаоподобный». Партнёр «poached cod fillet»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3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36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336" s="28" t="str">
        <x:v>пралине, паста, выпечка, гарнир, соус, молочный или коктейльный компонент с poached cod fillet</x:v>
      </x:c>
      <x:c r="J336" s="28" t="str">
        <x:v>Средняя</x:v>
      </x:c>
      <x:c r="K336" s="28" t="str">
        <x:v>The Art &amp; Science of Foodpairing.pdf</x:v>
      </x:c>
      <x:c r="L336" s="28" t="str">
        <x:v>The Art &amp; Science of Foodpairing.pdf: 332</x:v>
      </x:c>
    </x:row>
    <x:row r="337" ht="64" customHeight="1">
      <x:c r="A337" s="28" t="str">
        <x:v>NCT-0483</x:v>
      </x:c>
      <x:c r="B337" s="28" t="str">
        <x:v>фундук</x:v>
      </x:c>
      <x:c r="C337" s="28" t="str">
        <x:v>poached salmon</x:v>
      </x:c>
      <x:c r="D337" s="28" t="str">
        <x:v>Рыба и морепродукты</x:v>
      </x:c>
      <x:c r="E337" s="28" t="str">
        <x:v>общие ароматические соединения, солёно-умами контраст</x:v>
      </x:c>
      <x:c r="F337" s="28" t="str">
        <x:v>Фундук имеет профиль «ореховый, жареный, сладкий, землистый и какаоподобный». Партнёр «poached salmon»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3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37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337" s="28" t="str">
        <x:v>пралине, паста, выпечка, гарнир, соус, молочный или коктейльный компонент с poached salmon</x:v>
      </x:c>
      <x:c r="J337" s="28" t="str">
        <x:v>Средняя</x:v>
      </x:c>
      <x:c r="K337" s="28" t="str">
        <x:v>The Art &amp; Science of Foodpairing.pdf</x:v>
      </x:c>
      <x:c r="L337" s="28" t="str">
        <x:v>The Art &amp; Science of Foodpairing.pdf: 332</x:v>
      </x:c>
    </x:row>
    <x:row r="338" ht="64" customHeight="1">
      <x:c r="A338" s="28" t="str">
        <x:v>NCT-0484</x:v>
      </x:c>
      <x:c r="B338" s="28" t="str">
        <x:v>фундук</x:v>
      </x:c>
      <x:c r="C338" s="28" t="str">
        <x:v>poached turbot</x:v>
      </x:c>
      <x:c r="D338" s="28" t="str">
        <x:v>Рыба и морепродукты</x:v>
      </x:c>
      <x:c r="E338" s="28" t="str">
        <x:v>общие ароматические соединения, солёно-умами контраст</x:v>
      </x:c>
      <x:c r="F338" s="28" t="str">
        <x:v>Фундук имеет профиль «ореховый, жареный, сладкий, землистый и какаоподобный». Партнёр «poached turbot»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3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38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338" s="28" t="str">
        <x:v>пралине, паста, выпечка, гарнир, соус, молочный или коктейльный компонент с poached turbot</x:v>
      </x:c>
      <x:c r="J338" s="28" t="str">
        <x:v>Средняя</x:v>
      </x:c>
      <x:c r="K338" s="28" t="str">
        <x:v>The Art &amp; Science of Foodpairing.pdf</x:v>
      </x:c>
      <x:c r="L338" s="28" t="str">
        <x:v>The Art &amp; Science of Foodpairing.pdf: 332</x:v>
      </x:c>
    </x:row>
    <x:row r="339" ht="64" customHeight="1">
      <x:c r="A339" s="28" t="str">
        <x:v>NCT-0485</x:v>
      </x:c>
      <x:c r="B339" s="28" t="str">
        <x:v>фундук</x:v>
      </x:c>
      <x:c r="C339" s="28" t="str">
        <x:v>pumpkin seed oil</x:v>
      </x:c>
      <x:c r="D339" s="28" t="str">
        <x:v>Овощи, бобовые и грибы</x:v>
      </x:c>
      <x:c r="E339" s="28" t="str">
        <x:v>общие ароматические соединения</x:v>
      </x:c>
      <x:c r="F339" s="28" t="str">
        <x:v>Фундук имеет профиль «ореховый, жареный, сладкий, землистый и какаоподобный». Партнёр «pumpkin seed oil»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3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39" s="28" t="str">
        <x:v>аллерген и чувствительность к прогорканию; пережаривание даёт дымную горечь</x:v>
      </x:c>
      <x:c r="I339" s="28" t="str">
        <x:v>пралине, паста, выпечка, гарнир, соус, молочный или коктейльный компонент с pumpkin seed oil</x:v>
      </x:c>
      <x:c r="J339" s="28" t="str">
        <x:v>Средняя</x:v>
      </x:c>
      <x:c r="K339" s="28" t="str">
        <x:v>The Art &amp; Science of Foodpairing.pdf</x:v>
      </x:c>
      <x:c r="L339" s="28" t="str">
        <x:v>The Art &amp; Science of Foodpairing.pdf: 332</x:v>
      </x:c>
    </x:row>
    <x:row r="340" ht="64" customHeight="1">
      <x:c r="A340" s="28" t="str">
        <x:v>NCT-0486</x:v>
      </x:c>
      <x:c r="B340" s="28" t="str">
        <x:v>фундук</x:v>
      </x:c>
      <x:c r="C340" s="28" t="str">
        <x:v>red bell pepper and paprika</x:v>
      </x:c>
      <x:c r="D340" s="28" t="str">
        <x:v>Специи</x:v>
      </x:c>
      <x:c r="E340" s="28" t="str">
        <x:v>сенсорная комплементарность</x:v>
      </x:c>
      <x:c r="F340" s="28" t="str">
        <x:v>Фундук имеет профиль «ореховый, жареный, сладкий, землистый и какаоподобный». Партнёр «red bell pepper and paprika»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4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40" s="28" t="str">
        <x:v>аллерген и чувствительность к прогорканию; пережаривание даёт дымную горечь</x:v>
      </x:c>
      <x:c r="I340" s="28" t="str">
        <x:v>пралине, паста, выпечка, гарнир, соус, молочный или коктейльный компонент с red bell pepper and paprika</x:v>
      </x:c>
      <x:c r="J340" s="28" t="str">
        <x:v>Средняя</x:v>
      </x:c>
      <x:c r="K340" s="28" t="str">
        <x:v>The Art &amp; Science of Foodpairing.pdf</x:v>
      </x:c>
      <x:c r="L340" s="28" t="str">
        <x:v>The Art &amp; Science of Foodpairing.pdf: 108</x:v>
      </x:c>
    </x:row>
    <x:row r="341" ht="64" customHeight="1">
      <x:c r="A341" s="28" t="str">
        <x:v>NCT-0487</x:v>
      </x:c>
      <x:c r="B341" s="28" t="str">
        <x:v>фундук</x:v>
      </x:c>
      <x:c r="C341" s="28" t="str">
        <x:v>salted sardine</x:v>
      </x:c>
      <x:c r="D341" s="28" t="str">
        <x:v>Рыба и морепродукты</x:v>
      </x:c>
      <x:c r="E341" s="28" t="str">
        <x:v>общие ароматические соединения, солёно-умами контраст</x:v>
      </x:c>
      <x:c r="F341" s="28" t="str">
        <x:v>Фундук имеет профиль «ореховый, жареный, сладкий, землистый и какаоподобный». Партнёр «salted sardine»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4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41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341" s="28" t="str">
        <x:v>пралине, паста, выпечка, гарнир, соус, молочный или коктейльный компонент с salted sardine</x:v>
      </x:c>
      <x:c r="J341" s="28" t="str">
        <x:v>Средняя</x:v>
      </x:c>
      <x:c r="K341" s="28" t="str">
        <x:v>The Art &amp; Science of Foodpairing.pdf</x:v>
      </x:c>
      <x:c r="L341" s="28" t="str">
        <x:v>The Art &amp; Science of Foodpairing.pdf: 332</x:v>
      </x:c>
    </x:row>
    <x:row r="342" ht="64" customHeight="1">
      <x:c r="A342" s="28" t="str">
        <x:v>NCT-0488</x:v>
      </x:c>
      <x:c r="B342" s="28" t="str">
        <x:v>фундук</x:v>
      </x:c>
      <x:c r="C342" s="28" t="str">
        <x:v>senchatea</x:v>
      </x:c>
      <x:c r="D342" s="28" t="str">
        <x:v>Чай</x:v>
      </x:c>
      <x:c r="E342" s="28" t="str">
        <x:v>сенсорная комплементарность</x:v>
      </x:c>
      <x:c r="F342" s="28" t="str">
        <x:v>Фундук имеет профиль «ореховый, жареный, сладкий, землистый и какаоподобный». Партнёр «senchatea» относится к группе «Чай» и даёт цветочный, древесный или зелёный.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4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42" s="28" t="str">
        <x:v>аллерген и чувствительность к прогорканию; пережаривание даёт дымную горечь</x:v>
      </x:c>
      <x:c r="I342" s="28" t="str">
        <x:v>пралине, паста, выпечка, гарнир, соус, молочный или коктейльный компонент с senchatea</x:v>
      </x:c>
      <x:c r="J342" s="28" t="str">
        <x:v>Средняя</x:v>
      </x:c>
      <x:c r="K342" s="28" t="str">
        <x:v>The Art &amp; Science of Foodpairing.pdf</x:v>
      </x:c>
      <x:c r="L342" s="28" t="str">
        <x:v>The Art &amp; Science of Foodpairing.pdf: 332</x:v>
      </x:c>
    </x:row>
    <x:row r="343" ht="64" customHeight="1">
      <x:c r="A343" s="28" t="str">
        <x:v>NCT-0489</x:v>
      </x:c>
      <x:c r="B343" s="28" t="str">
        <x:v>фундук</x:v>
      </x:c>
      <x:c r="C343" s="28" t="str">
        <x:v>sweet potato</x:v>
      </x:c>
      <x:c r="D343" s="28" t="str">
        <x:v>Овощи, бобовые и грибы</x:v>
      </x:c>
      <x:c r="E343" s="28" t="str">
        <x:v>общие ароматические соединения</x:v>
      </x:c>
      <x:c r="F343" s="28" t="str">
        <x:v>Фундук имеет профиль «ореховый, жареный, сладкий, землистый и какаоподобный». Партнёр «sweet potato»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4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43" s="28" t="str">
        <x:v>аллерген и чувствительность к прогорканию; пережаривание даёт дымную горечь</x:v>
      </x:c>
      <x:c r="I343" s="28" t="str">
        <x:v>пралине, паста, выпечка, гарнир, соус, молочный или коктейльный компонент с sweet potato</x:v>
      </x:c>
      <x:c r="J343" s="28" t="str">
        <x:v>Средняя</x:v>
      </x:c>
      <x:c r="K343" s="28" t="str">
        <x:v>The Art &amp; Science of Foodpairing.pdf</x:v>
      </x:c>
      <x:c r="L343" s="28" t="str">
        <x:v>The Art &amp; Science of Foodpairing.pdf: 119</x:v>
      </x:c>
    </x:row>
    <x:row r="344" ht="64" customHeight="1">
      <x:c r="A344" s="28" t="str">
        <x:v>NCT-0490</x:v>
      </x:c>
      <x:c r="B344" s="28" t="str">
        <x:v>фундук</x:v>
      </x:c>
      <x:c r="C344" s="28" t="str">
        <x:v>watermelon</x:v>
      </x:c>
      <x:c r="D344" s="28" t="str">
        <x:v>Фрукты и ягоды</x:v>
      </x:c>
      <x:c r="E344" s="28" t="str">
        <x:v>общие ароматические соединения, контраст кислоты и жирной/горькой матрицы</x:v>
      </x:c>
      <x:c r="F344" s="28" t="str">
        <x:v>Фундук имеет профиль «ореховый, жареный, сладкий, землистый и какаоподобный». Партнёр «watermelon»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4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44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44" s="28" t="str">
        <x:v>пралине, паста, выпечка, гарнир, соус, молочный или коктейльный компонент с watermelon</x:v>
      </x:c>
      <x:c r="J344" s="28" t="str">
        <x:v>Средняя</x:v>
      </x:c>
      <x:c r="K344" s="28" t="str">
        <x:v>The Art &amp; Science of Foodpairing.pdf</x:v>
      </x:c>
      <x:c r="L344" s="28" t="str">
        <x:v>The Art &amp; Science of Foodpairing.pdf: 78</x:v>
      </x:c>
    </x:row>
    <x:row r="345" ht="64" customHeight="1">
      <x:c r="A345" s="28" t="str">
        <x:v>NCT-0491</x:v>
      </x:c>
      <x:c r="B345" s="28" t="str">
        <x:v>фундук</x:v>
      </x:c>
      <x:c r="C345" s="28" t="str">
        <x:v>абрикос</x:v>
      </x:c>
      <x:c r="D345" s="28" t="str">
        <x:v>Фрукты и ягоды</x:v>
      </x:c>
      <x:c r="E345" s="28" t="str">
        <x:v>контраст кислоты и жирной/горькой матрицы</x:v>
      </x:c>
      <x:c r="F345" s="28" t="str">
        <x:v>Фундук имеет профиль «ореховый, жареный, сладкий, землистый и какаоподобный». Партнёр «абрикос» относится к группе «Фрукты и ягоды» и даёт лактонный, миндальный,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4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45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45" s="28" t="str">
        <x:v>пралине, паста, выпечка, гарнир, соус, молочный или коктейльный компонент с абрикос</x:v>
      </x:c>
      <x:c r="J345" s="28" t="str">
        <x:v>Средняя</x:v>
      </x:c>
      <x:c r="K345" s="28" t="str">
        <x:v>The Art &amp; Science of Foodpairing.pdf</x:v>
      </x:c>
      <x:c r="L345" s="28" t="str">
        <x:v>The Art &amp; Science of Foodpairing.pdf: 206</x:v>
      </x:c>
    </x:row>
    <x:row r="346" ht="64" customHeight="1">
      <x:c r="A346" s="28" t="str">
        <x:v>NCT-0492</x:v>
      </x:c>
      <x:c r="B346" s="28" t="str">
        <x:v>фундук</x:v>
      </x:c>
      <x:c r="C346" s="28" t="str">
        <x:v>авокадо</x:v>
      </x:c>
      <x:c r="D346" s="28" t="str">
        <x:v>Прочее</x:v>
      </x:c>
      <x:c r="E346" s="28" t="str">
        <x:v>сенсорная комплементарность</x:v>
      </x:c>
      <x:c r="F346" s="28" t="str">
        <x:v>Фундук имеет профиль «ореховый, жареный, сладкий, землистый и какаоподобный». Партнёр «авокадо»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4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46" s="28" t="str">
        <x:v>аллерген и чувствительность к прогорканию; пережаривание даёт дымную горечь</x:v>
      </x:c>
      <x:c r="I346" s="28" t="str">
        <x:v>пралине, паста, выпечка, гарнир, соус, молочный или коктейльный компонент с авокадо</x:v>
      </x:c>
      <x:c r="J346" s="28" t="str">
        <x:v>Средняя</x:v>
      </x:c>
      <x:c r="K346" s="28" t="str">
        <x:v>Тезариус вкусов (Ники Сегнит)(1).pdf</x:v>
      </x:c>
      <x:c r="L346" s="28" t="str">
        <x:v>Тезариус вкусов (Ники Сегнит)(1).pdf: 531, 632</x:v>
      </x:c>
    </x:row>
    <x:row r="347" ht="64" customHeight="1">
      <x:c r="A347" s="28" t="str">
        <x:v>NCT-0493</x:v>
      </x:c>
      <x:c r="B347" s="28" t="str">
        <x:v>фундук</x:v>
      </x:c>
      <x:c r="C347" s="28" t="str">
        <x:v>айва</x:v>
      </x:c>
      <x:c r="D347" s="28" t="str">
        <x:v>Прочее</x:v>
      </x:c>
      <x:c r="E347" s="28" t="str">
        <x:v>сенсорная комплементарность</x:v>
      </x:c>
      <x:c r="F347" s="28" t="str">
        <x:v>Фундук имеет профиль «ореховый, жареный, сладкий, землистый и какаоподобный». Партнёр «айва»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4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47" s="28" t="str">
        <x:v>аллерген и чувствительность к прогорканию; пережаривание даёт дымную горечь</x:v>
      </x:c>
      <x:c r="I347" s="28" t="str">
        <x:v>пралине, паста, выпечка, гарнир, соус, молочный или коктейльный компонент с айва</x:v>
      </x:c>
      <x:c r="J347" s="28" t="str">
        <x:v>Гипотеза / практическая</x:v>
      </x:c>
      <x:c r="K347" s="28" t="str">
        <x:v>Таблица сочетания(1).pdf</x:v>
      </x:c>
      <x:c r="L347" s="28" t="str">
        <x:v>Таблица сочетания(1).pdf: 18</x:v>
      </x:c>
    </x:row>
    <x:row r="348" ht="64" customHeight="1">
      <x:c r="A348" s="28" t="str">
        <x:v>NCT-0494</x:v>
      </x:c>
      <x:c r="B348" s="28" t="str">
        <x:v>фундук</x:v>
      </x:c>
      <x:c r="C348" s="28" t="str">
        <x:v>ананас</x:v>
      </x:c>
      <x:c r="D348" s="28" t="str">
        <x:v>Прочее</x:v>
      </x:c>
      <x:c r="E348" s="28" t="str">
        <x:v>сенсорная комплементарность</x:v>
      </x:c>
      <x:c r="F348" s="28" t="str">
        <x:v>Фундук имеет профиль «ореховый, жареный, сладкий, землистый и какаоподобный». Партнёр «ананас»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4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48" s="28" t="str">
        <x:v>аллерген и чувствительность к прогорканию; пережаривание даёт дымную горечь</x:v>
      </x:c>
      <x:c r="I348" s="28" t="str">
        <x:v>пралине, паста, выпечка, гарнир, соус, молочный или коктейльный компонент с ананас</x:v>
      </x:c>
      <x:c r="J348" s="28" t="str">
        <x:v>Гипотеза / практическая</x:v>
      </x:c>
      <x:c r="K348" s="28" t="str">
        <x:v>Таблица сочетания(1).pdf</x:v>
      </x:c>
      <x:c r="L348" s="28" t="str">
        <x:v>Таблица сочетания(1).pdf: 17</x:v>
      </x:c>
    </x:row>
    <x:row r="349" ht="64" customHeight="1">
      <x:c r="A349" s="28" t="str">
        <x:v>NCT-0495</x:v>
      </x:c>
      <x:c r="B349" s="28" t="str">
        <x:v>фундук</x:v>
      </x:c>
      <x:c r="C349" s="28" t="str">
        <x:v>апельсин</x:v>
      </x:c>
      <x:c r="D349" s="28" t="str">
        <x:v>Фрукты и ягоды</x:v>
      </x:c>
      <x:c r="E349" s="28" t="str">
        <x:v>контраст кислоты и жирной/горькой матрицы</x:v>
      </x:c>
      <x:c r="F349" s="28" t="str">
        <x:v>Фундук имеет профиль «ореховый, жареный, сладкий, землистый и какаоподобный». Партнёр «апельсин»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4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49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49" s="28" t="str">
        <x:v>пралине, паста, выпечка, гарнир, соус, молочный или коктейльный компонент с апельсин</x:v>
      </x:c>
      <x:c r="J349" s="28" t="str">
        <x:v>Средняя</x:v>
      </x:c>
      <x:c r="K349" s="28" t="str">
        <x:v>The Art &amp; Science of Foodpairing.pdf</x:v>
      </x:c>
      <x:c r="L349" s="28" t="str">
        <x:v>The Art &amp; Science of Foodpairing.pdf: 332</x:v>
      </x:c>
    </x:row>
    <x:row r="350" ht="64" customHeight="1">
      <x:c r="A350" s="28" t="str">
        <x:v>NCT-0496</x:v>
      </x:c>
      <x:c r="B350" s="28" t="str">
        <x:v>фундук</x:v>
      </x:c>
      <x:c r="C350" s="28" t="str">
        <x:v>багет</x:v>
      </x:c>
      <x:c r="D350" s="28" t="str">
        <x:v>Прочее</x:v>
      </x:c>
      <x:c r="E350" s="28" t="str">
        <x:v>сенсорная комплементарность</x:v>
      </x:c>
      <x:c r="F350" s="28" t="str">
        <x:v>Фундук имеет профиль «ореховый, жареный, сладкий, землистый и какаоподобный». Партнёр «багет»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5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50" s="28" t="str">
        <x:v>аллерген и чувствительность к прогорканию; пережаривание даёт дымную горечь</x:v>
      </x:c>
      <x:c r="I350" s="28" t="str">
        <x:v>пралине, паста, выпечка, гарнир, соус, молочный или коктейльный компонент с багет</x:v>
      </x:c>
      <x:c r="J350" s="28" t="str">
        <x:v>Средняя</x:v>
      </x:c>
      <x:c r="K350" s="28" t="str">
        <x:v>The Art &amp; Science of Foodpairing.pdf</x:v>
      </x:c>
      <x:c r="L350" s="28" t="str">
        <x:v>The Art &amp; Science of Foodpairing.pdf: 332</x:v>
      </x:c>
    </x:row>
    <x:row r="351" ht="64" customHeight="1">
      <x:c r="A351" s="28" t="str">
        <x:v>NCT-0497</x:v>
      </x:c>
      <x:c r="B351" s="28" t="str">
        <x:v>фундук</x:v>
      </x:c>
      <x:c r="C351" s="28" t="str">
        <x:v>банан</x:v>
      </x:c>
      <x:c r="D351" s="28" t="str">
        <x:v>Фрукты и ягоды</x:v>
      </x:c>
      <x:c r="E351" s="28" t="str">
        <x:v>контраст кислоты и жирной/горькой матрицы</x:v>
      </x:c>
      <x:c r="F351" s="28" t="str">
        <x:v>Фундук имеет профиль «ореховый, жареный, сладкий, землистый и какаоподобный».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5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51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51" s="28" t="str">
        <x:v>пралине, паста, выпечка, гарнир, соус, молочный или коктейльный компонент с банан</x:v>
      </x:c>
      <x:c r="J351" s="28" t="str">
        <x:v>Высокая</x:v>
      </x:c>
      <x:c r="K351" s="28" t="str">
        <x:v>Таблица сочетания(1).pdf | Тезариус вкусов (Ники Сегнит)(1).pdf</x:v>
      </x:c>
      <x:c r="L351" s="28" t="str">
        <x:v>Таблица сочетания(1).pdf: 2; Тезариус вкусов (Ники Сегнит)(1).pdf: 632, 734</x:v>
      </x:c>
    </x:row>
    <x:row r="352" ht="64" customHeight="1">
      <x:c r="A352" s="28" t="str">
        <x:v>NCT-0498</x:v>
      </x:c>
      <x:c r="B352" s="28" t="str">
        <x:v>фундук</x:v>
      </x:c>
      <x:c r="C352" s="28" t="str">
        <x:v>белая рыба</x:v>
      </x:c>
      <x:c r="D352" s="28" t="str">
        <x:v>Рыба и морепродукты</x:v>
      </x:c>
      <x:c r="E352" s="28" t="str">
        <x:v>общие ароматические соединения, солёно-умами контраст</x:v>
      </x:c>
      <x:c r="F352" s="28" t="str">
        <x:v>Фундук имеет профиль «ореховый, жареный, сладкий, землистый и какаоподобный». Партнёр «белая рыба»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5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52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352" s="28" t="str">
        <x:v>пралине, паста, выпечка, гарнир, соус, молочный или коктейльный компонент с белая рыба</x:v>
      </x:c>
      <x:c r="J352" s="28" t="str">
        <x:v>Средняя</x:v>
      </x:c>
      <x:c r="K352" s="28" t="str">
        <x:v>Тезариус вкусов (Ники Сегнит)(1).pdf</x:v>
      </x:c>
      <x:c r="L352" s="28" t="str">
        <x:v>Тезариус вкусов (Ники Сегнит)(1).pdf: 393, 633</x:v>
      </x:c>
    </x:row>
    <x:row r="353" ht="64" customHeight="1">
      <x:c r="A353" s="28" t="str">
        <x:v>NCT-0499</x:v>
      </x:c>
      <x:c r="B353" s="28" t="str">
        <x:v>фундук</x:v>
      </x:c>
      <x:c r="C353" s="28" t="str">
        <x:v>бергамот</x:v>
      </x:c>
      <x:c r="D353" s="28" t="str">
        <x:v>Прочее</x:v>
      </x:c>
      <x:c r="E353" s="28" t="str">
        <x:v>сенсорная комплементарность</x:v>
      </x:c>
      <x:c r="F353" s="28" t="str">
        <x:v>Фундук имеет профиль «ореховый, жареный, сладкий, землистый и какаоподобный». Партнёр «бергамот» относится к группе «Прочее» и даёт цветочный,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5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53" s="28" t="str">
        <x:v>аллерген и чувствительность к прогорканию; пережаривание даёт дымную горечь</x:v>
      </x:c>
      <x:c r="I353" s="28" t="str">
        <x:v>пралине, паста, выпечка, гарнир, соус, молочный или коктейльный компонент с бергамот</x:v>
      </x:c>
      <x:c r="J353" s="28" t="str">
        <x:v>Средняя</x:v>
      </x:c>
      <x:c r="K353" s="28" t="str">
        <x:v>The Art &amp; Science of Foodpairing.pdf</x:v>
      </x:c>
      <x:c r="L353" s="28" t="str">
        <x:v>The Art &amp; Science of Foodpairing.pdf: 332</x:v>
      </x:c>
    </x:row>
    <x:row r="354" ht="64" customHeight="1">
      <x:c r="A354" s="28" t="str">
        <x:v>NCT-0500</x:v>
      </x:c>
      <x:c r="B354" s="28" t="str">
        <x:v>фундук</x:v>
      </x:c>
      <x:c r="C354" s="28" t="str">
        <x:v>ваниль</x:v>
      </x:c>
      <x:c r="D354" s="28" t="str">
        <x:v>Специи</x:v>
      </x:c>
      <x:c r="E354" s="28" t="str">
        <x:v>сенсорная комплементарность</x:v>
      </x:c>
      <x:c r="F354" s="28" t="str">
        <x:v>Фундук имеет профиль «ореховый, жареный, сладкий, землистый и какаоподобный».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5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54" s="28" t="str">
        <x:v>аллерген и чувствительность к прогорканию; пережаривание даёт дымную горечь</x:v>
      </x:c>
      <x:c r="I354" s="28" t="str">
        <x:v>пралине, паста, выпечка, гарнир, соус, молочный или коктейльный компонент с ваниль</x:v>
      </x:c>
      <x:c r="J354" s="28" t="str">
        <x:v>Средняя</x:v>
      </x:c>
      <x:c r="K354" s="28" t="str">
        <x:v>Тезариус вкусов (Ники Сегнит)(1).pdf</x:v>
      </x:c>
      <x:c r="L354" s="28" t="str">
        <x:v>Тезариус вкусов (Ники Сегнит)(1).pdf: 633, 920</x:v>
      </x:c>
    </x:row>
    <x:row r="355" ht="64" customHeight="1">
      <x:c r="A355" s="28" t="str">
        <x:v>NCT-0501</x:v>
      </x:c>
      <x:c r="B355" s="28" t="str">
        <x:v>фундук</x:v>
      </x:c>
      <x:c r="C355" s="28" t="str">
        <x:v>вишня</x:v>
      </x:c>
      <x:c r="D355" s="28" t="str">
        <x:v>Фрукты и ягоды</x:v>
      </x:c>
      <x:c r="E355" s="28" t="str">
        <x:v>контраст кислоты и жирной/горькой матрицы</x:v>
      </x:c>
      <x:c r="F355" s="28" t="str">
        <x:v>Фундук имеет профиль «ореховый, жареный, сладкий, землистый и какаоподобный». Партнёр «вишня» относится к группе «Фрукты и ягоды» и даёт миндальный,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5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55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55" s="28" t="str">
        <x:v>пралине, паста, выпечка, гарнир, соус, молочный или коктейльный компонент с вишня</x:v>
      </x:c>
      <x:c r="J355" s="28" t="str">
        <x:v>Средняя</x:v>
      </x:c>
      <x:c r="K355" s="28" t="str">
        <x:v>Тезариус вкусов (Ники Сегнит)(1).pdf</x:v>
      </x:c>
      <x:c r="L355" s="28" t="str">
        <x:v>Тезариус вкусов (Ники Сегнит)(1).pdf: 634, 656</x:v>
      </x:c>
    </x:row>
    <x:row r="356" ht="64" customHeight="1">
      <x:c r="A356" s="28" t="str">
        <x:v>NCT-0502</x:v>
      </x:c>
      <x:c r="B356" s="28" t="str">
        <x:v>фундук</x:v>
      </x:c>
      <x:c r="C356" s="28" t="str">
        <x:v>голубика</x:v>
      </x:c>
      <x:c r="D356" s="28" t="str">
        <x:v>Прочее</x:v>
      </x:c>
      <x:c r="E356" s="28" t="str">
        <x:v>сенсорная комплементарность</x:v>
      </x:c>
      <x:c r="F356" s="28" t="str">
        <x:v>Фундук имеет профиль «ореховый, жареный, сладкий, землистый и какаоподобный». Партнёр «голубика»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5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56" s="28" t="str">
        <x:v>аллерген и чувствительность к прогорканию; пережаривание даёт дымную горечь</x:v>
      </x:c>
      <x:c r="I356" s="28" t="str">
        <x:v>пралине, паста, выпечка, гарнир, соус, молочный или коктейльный компонент с голубика</x:v>
      </x:c>
      <x:c r="J356" s="28" t="str">
        <x:v>Гипотеза / практическая</x:v>
      </x:c>
      <x:c r="K356" s="28" t="str">
        <x:v>Таблица сочетания(1).pdf</x:v>
      </x:c>
      <x:c r="L356" s="28" t="str">
        <x:v>Таблица сочетания(1).pdf: 3</x:v>
      </x:c>
    </x:row>
    <x:row r="357" ht="64" customHeight="1">
      <x:c r="A357" s="28" t="str">
        <x:v>NCT-0503</x:v>
      </x:c>
      <x:c r="B357" s="28" t="str">
        <x:v>фундук</x:v>
      </x:c>
      <x:c r="C357" s="28" t="str">
        <x:v>груша</x:v>
      </x:c>
      <x:c r="D357" s="28" t="str">
        <x:v>Фрукты и ягоды</x:v>
      </x:c>
      <x:c r="E357" s="28" t="str">
        <x:v>общие ароматические соединения, контраст кислоты и жирной/горькой матрицы</x:v>
      </x:c>
      <x:c r="F357" s="28" t="str">
        <x:v>Фундук имеет профиль «ореховый, жареный, сладкий, землистый и какаоподобный». Партнёр «груша»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5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57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57" s="28" t="str">
        <x:v>пралине, паста, выпечка, гарнир, соус, молочный или коктейльный компонент с груша</x:v>
      </x:c>
      <x:c r="J357" s="28" t="str">
        <x:v>Высокая</x:v>
      </x:c>
      <x:c r="K357" s="28" t="str">
        <x:v>Таблица сочетания(1).pdf | Тезариус вкусов (Ники Сегнит)(1).pdf</x:v>
      </x:c>
      <x:c r="L357" s="28" t="str">
        <x:v>Таблица сочетания(1).pdf: 16; Тезариус вкусов (Ники Сегнит)(1).pdf: 634, 727</x:v>
      </x:c>
    </x:row>
    <x:row r="358" ht="64" customHeight="1">
      <x:c r="A358" s="28" t="str">
        <x:v>NCT-0504</x:v>
      </x:c>
      <x:c r="B358" s="28" t="str">
        <x:v>фундук</x:v>
      </x:c>
      <x:c r="C358" s="28" t="str">
        <x:v>джекфрут</x:v>
      </x:c>
      <x:c r="D358" s="28" t="str">
        <x:v>Прочее</x:v>
      </x:c>
      <x:c r="E358" s="28" t="str">
        <x:v>сенсорная комплементарность</x:v>
      </x:c>
      <x:c r="F358" s="28" t="str">
        <x:v>Фундук имеет профиль «ореховый, жареный, сладкий, землистый и какаоподобный». Партнёр «джекфрут»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5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58" s="28" t="str">
        <x:v>аллерген и чувствительность к прогорканию; пережаривание даёт дымную горечь</x:v>
      </x:c>
      <x:c r="I358" s="28" t="str">
        <x:v>пралине, паста, выпечка, гарнир, соус, молочный или коктейльный компонент с джекфрут</x:v>
      </x:c>
      <x:c r="J358" s="28" t="str">
        <x:v>Гипотеза / практическая</x:v>
      </x:c>
      <x:c r="K358" s="28" t="str">
        <x:v>Таблица сочетания(1).pdf</x:v>
      </x:c>
      <x:c r="L358" s="28" t="str">
        <x:v>Таблица сочетания(1).pdf: 10</x:v>
      </x:c>
    </x:row>
    <x:row r="359" ht="64" customHeight="1">
      <x:c r="A359" s="28" t="str">
        <x:v>NCT-0505</x:v>
      </x:c>
      <x:c r="B359" s="28" t="str">
        <x:v>фундук</x:v>
      </x:c>
      <x:c r="C359" s="28" t="str">
        <x:v>древовидная полынь</x:v>
      </x:c>
      <x:c r="D359" s="28" t="str">
        <x:v>Прочее</x:v>
      </x:c>
      <x:c r="E359" s="28" t="str">
        <x:v>сенсорная комплементарность</x:v>
      </x:c>
      <x:c r="F359" s="28" t="str">
        <x:v>Фундук имеет профиль «ореховый, жареный, сладкий, землистый и какаоподобный». Партнёр «древовидная полынь»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5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59" s="28" t="str">
        <x:v>аллерген и чувствительность к прогорканию; пережаривание даёт дымную горечь</x:v>
      </x:c>
      <x:c r="I359" s="28" t="str">
        <x:v>пралине, паста, выпечка, гарнир, соус, молочный или коктейльный компонент с древовидная полынь</x:v>
      </x:c>
      <x:c r="J359" s="28" t="str">
        <x:v>Высокая</x:v>
      </x:c>
      <x:c r="K359" s="28" t="str">
        <x:v>The Art &amp; Science of Foodpairing.pdf</x:v>
      </x:c>
      <x:c r="L359" s="28" t="str">
        <x:v>The Art &amp; Science of Foodpairing.pdf: 333</x:v>
      </x:c>
    </x:row>
    <x:row r="360" ht="64" customHeight="1">
      <x:c r="A360" s="28" t="str">
        <x:v>NCT-0506</x:v>
      </x:c>
      <x:c r="B360" s="28" t="str">
        <x:v>фундук</x:v>
      </x:c>
      <x:c r="C360" s="28" t="str">
        <x:v>ежевика</x:v>
      </x:c>
      <x:c r="D360" s="28" t="str">
        <x:v>Прочее</x:v>
      </x:c>
      <x:c r="E360" s="28" t="str">
        <x:v>сенсорная комплементарность</x:v>
      </x:c>
      <x:c r="F360" s="28" t="str">
        <x:v>Фундук имеет профиль «ореховый, жареный, сладкий, землистый и какаоподобный». Партнёр «ежевика»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6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60" s="28" t="str">
        <x:v>аллерген и чувствительность к прогорканию; пережаривание даёт дымную горечь</x:v>
      </x:c>
      <x:c r="I360" s="28" t="str">
        <x:v>пралине, паста, выпечка, гарнир, соус, молочный или коктейльный компонент с ежевика</x:v>
      </x:c>
      <x:c r="J360" s="28" t="str">
        <x:v>Гипотеза / практическая</x:v>
      </x:c>
      <x:c r="K360" s="28" t="str">
        <x:v>Таблица сочетания(1).pdf</x:v>
      </x:c>
      <x:c r="L360" s="28" t="str">
        <x:v>Таблица сочетания(1).pdf: 2</x:v>
      </x:c>
    </x:row>
    <x:row r="361" ht="64" customHeight="1">
      <x:c r="A361" s="28" t="str">
        <x:v>NCT-0507</x:v>
      </x:c>
      <x:c r="B361" s="28" t="str">
        <x:v>фундук</x:v>
      </x:c>
      <x:c r="C361" s="28" t="str">
        <x:v>запечённая морская камбала</x:v>
      </x:c>
      <x:c r="D361" s="28" t="str">
        <x:v>Прочее</x:v>
      </x:c>
      <x:c r="E361" s="28" t="str">
        <x:v>сенсорная комплементарность</x:v>
      </x:c>
      <x:c r="F361" s="28" t="str">
        <x:v>Фундук имеет профиль «ореховый, жареный, сладкий, землистый и какаоподобный». Партнёр «запечённая морская камбала»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6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61" s="28" t="str">
        <x:v>аллерген и чувствительность к прогорканию; пережаривание даёт дымную горечь</x:v>
      </x:c>
      <x:c r="I361" s="28" t="str">
        <x:v>пралине, паста, выпечка, гарнир, соус, молочный или коктейльный компонент с запечённая морская камбала</x:v>
      </x:c>
      <x:c r="J361" s="28" t="str">
        <x:v>Средняя</x:v>
      </x:c>
      <x:c r="K361" s="28" t="str">
        <x:v>The Art &amp; Science of Foodpairing.pdf</x:v>
      </x:c>
      <x:c r="L361" s="28" t="str">
        <x:v>The Art &amp; Science of Foodpairing.pdf: 332</x:v>
      </x:c>
    </x:row>
    <x:row r="362" ht="64" customHeight="1">
      <x:c r="A362" s="28" t="str">
        <x:v>NCT-0508</x:v>
      </x:c>
      <x:c r="B362" s="28" t="str">
        <x:v>фундук</x:v>
      </x:c>
      <x:c r="C362" s="28" t="str">
        <x:v>зелёная спаржа</x:v>
      </x:c>
      <x:c r="D362" s="28" t="str">
        <x:v>Овощи, бобовые и грибы</x:v>
      </x:c>
      <x:c r="E362" s="28" t="str">
        <x:v>общие ароматические соединения</x:v>
      </x:c>
      <x:c r="F362" s="28" t="str">
        <x:v>Фундук имеет профиль «ореховый, жареный, сладкий, землистый и какаоподобный». Партнёр «зелёная спаржа»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6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62" s="28" t="str">
        <x:v>аллерген и чувствительность к прогорканию; пережаривание даёт дымную горечь</x:v>
      </x:c>
      <x:c r="I362" s="28" t="str">
        <x:v>пралине, паста, выпечка, гарнир, соус, молочный или коктейльный компонент с зелёная спаржа</x:v>
      </x:c>
      <x:c r="J362" s="28" t="str">
        <x:v>Средняя</x:v>
      </x:c>
      <x:c r="K362" s="28" t="str">
        <x:v>The Art &amp; Science of Foodpairing.pdf</x:v>
      </x:c>
      <x:c r="L362" s="28" t="str">
        <x:v>The Art &amp; Science of Foodpairing.pdf: 332</x:v>
      </x:c>
    </x:row>
    <x:row r="363" ht="64" customHeight="1">
      <x:c r="A363" s="28" t="str">
        <x:v>NCT-0509</x:v>
      </x:c>
      <x:c r="B363" s="28" t="str">
        <x:v>фундук</x:v>
      </x:c>
      <x:c r="C363" s="28" t="str">
        <x:v>зелёная фасоль</x:v>
      </x:c>
      <x:c r="D363" s="28" t="str">
        <x:v>Овощи, бобовые и грибы</x:v>
      </x:c>
      <x:c r="E363" s="28" t="str">
        <x:v>общие ароматические соединения</x:v>
      </x:c>
      <x:c r="F363" s="28" t="str">
        <x:v>Фундук имеет профиль «ореховый, жареный, сладкий, землистый и какаоподобный». Партнёр «зелёная фасоль»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6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63" s="28" t="str">
        <x:v>аллерген и чувствительность к прогорканию; пережаривание даёт дымную горечь</x:v>
      </x:c>
      <x:c r="I363" s="28" t="str">
        <x:v>пралине, паста, выпечка, гарнир, соус, молочный или коктейльный компонент с зелёная фасоль</x:v>
      </x:c>
      <x:c r="J363" s="28" t="str">
        <x:v>Средняя</x:v>
      </x:c>
      <x:c r="K363" s="28" t="str">
        <x:v>The Art &amp; Science of Foodpairing.pdf</x:v>
      </x:c>
      <x:c r="L363" s="28" t="str">
        <x:v>The Art &amp; Science of Foodpairing.pdf: 332</x:v>
      </x:c>
    </x:row>
    <x:row r="364" ht="64" customHeight="1">
      <x:c r="A364" s="28" t="str">
        <x:v>NCT-0510</x:v>
      </x:c>
      <x:c r="B364" s="28" t="str">
        <x:v>фундук</x:v>
      </x:c>
      <x:c r="C364" s="28" t="str">
        <x:v>зелёный чай</x:v>
      </x:c>
      <x:c r="D364" s="28" t="str">
        <x:v>Чай</x:v>
      </x:c>
      <x:c r="E364" s="28" t="str">
        <x:v>сенсорная комплементарность</x:v>
      </x:c>
      <x:c r="F364" s="28" t="str">
        <x:v>Фундук имеет профиль «ореховый, жареный, сладкий, землистый и какаоподобный». Партнёр «зелёный чай» относится к группе «Чай» и даёт зелёный, морской, травянистый, цветочный и слегка жареный; у матча —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6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64" s="28" t="str">
        <x:v>аллерген и чувствительность к прогорканию; пережаривание даёт дымную горечь</x:v>
      </x:c>
      <x:c r="I364" s="28" t="str">
        <x:v>пралине, паста, выпечка, гарнир, соус, молочный или коктейльный компонент с зелёный чай</x:v>
      </x:c>
      <x:c r="J364" s="28" t="str">
        <x:v>Средняя</x:v>
      </x:c>
      <x:c r="K364" s="28" t="str">
        <x:v>The Art &amp; Science of Foodpairing.pdf</x:v>
      </x:c>
      <x:c r="L364" s="28" t="str">
        <x:v>The Art &amp; Science of Foodpairing.pdf: 332</x:v>
      </x:c>
    </x:row>
    <x:row r="365" ht="64" customHeight="1">
      <x:c r="A365" s="28" t="str">
        <x:v>NCT-0511</x:v>
      </x:c>
      <x:c r="B365" s="28" t="str">
        <x:v>фундук</x:v>
      </x:c>
      <x:c r="C365" s="28" t="str">
        <x:v>изюм</x:v>
      </x:c>
      <x:c r="D365" s="28" t="str">
        <x:v>Прочее</x:v>
      </x:c>
      <x:c r="E365" s="28" t="str">
        <x:v>сенсорная комплементарность</x:v>
      </x:c>
      <x:c r="F365" s="28" t="str">
        <x:v>Фундук имеет профиль «ореховый, жареный, сладкий, землистый и какаоподобный». Партнёр «изюм»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6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65" s="28" t="str">
        <x:v>аллерген и чувствительность к прогорканию; пережаривание даёт дымную горечь</x:v>
      </x:c>
      <x:c r="I365" s="28" t="str">
        <x:v>пралине, паста, выпечка, гарнир, соус, молочный или коктейльный компонент с изюм</x:v>
      </x:c>
      <x:c r="J365" s="28" t="str">
        <x:v>Средняя</x:v>
      </x:c>
      <x:c r="K365" s="28" t="str">
        <x:v>The Art &amp; Science of Foodpairing.pdf</x:v>
      </x:c>
      <x:c r="L365" s="28" t="str">
        <x:v>The Art &amp; Science of Foodpairing.pdf: 332</x:v>
      </x:c>
    </x:row>
    <x:row r="366" ht="64" customHeight="1">
      <x:c r="A366" s="28" t="str">
        <x:v>NCT-0512</x:v>
      </x:c>
      <x:c r="B366" s="28" t="str">
        <x:v>фундук</x:v>
      </x:c>
      <x:c r="C366" s="28" t="str">
        <x:v>инжир</x:v>
      </x:c>
      <x:c r="D366" s="28" t="str">
        <x:v>Фрукты и ягоды</x:v>
      </x:c>
      <x:c r="E366" s="28" t="str">
        <x:v>общие ароматические соединения, контраст кислоты и жирной/горькой матрицы</x:v>
      </x:c>
      <x:c r="F366" s="28" t="str">
        <x:v>Фундук имеет профиль «ореховый, жареный, сладкий, землистый и какаоподобный». Партнёр «инжир»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6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66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66" s="28" t="str">
        <x:v>пралине, паста, выпечка, гарнир, соус, молочный или коктейльный компонент с инжир</x:v>
      </x:c>
      <x:c r="J366" s="28" t="str">
        <x:v>Высокая</x:v>
      </x:c>
      <x:c r="K366" s="28" t="str">
        <x:v>Таблица сочетания(1).pdf | Тезариус вкусов (Ники Сегнит)(1).pdf</x:v>
      </x:c>
      <x:c r="L366" s="28" t="str">
        <x:v>Таблица сочетания(1).pdf: 8; Тезариус вкусов (Ники Сегнит)(1).pdf: 634, 896</x:v>
      </x:c>
    </x:row>
    <x:row r="367" ht="64" customHeight="1">
      <x:c r="A367" s="28" t="str">
        <x:v>NCT-0513</x:v>
      </x:c>
      <x:c r="B367" s="28" t="str">
        <x:v>фундук</x:v>
      </x:c>
      <x:c r="C367" s="28" t="str">
        <x:v>кабачок</x:v>
      </x:c>
      <x:c r="D367" s="28" t="str">
        <x:v>Овощи, бобовые и грибы</x:v>
      </x:c>
      <x:c r="E367" s="28" t="str">
        <x:v>общие ароматические соединения</x:v>
      </x:c>
      <x:c r="F367" s="28" t="str">
        <x:v>Фундук имеет профиль «ореховый, жареный, сладкий, землистый и какаоподобный». Партнёр «кабачок»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6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67" s="28" t="str">
        <x:v>аллерген и чувствительность к прогорканию; пережаривание даёт дымную горечь</x:v>
      </x:c>
      <x:c r="I367" s="28" t="str">
        <x:v>пралине, паста, выпечка, гарнир, соус, молочный или коктейльный компонент с кабачок</x:v>
      </x:c>
      <x:c r="J367" s="28" t="str">
        <x:v>Высокая</x:v>
      </x:c>
      <x:c r="K367" s="28" t="str">
        <x:v>The Art &amp; Science of Foodpairing.pdf</x:v>
      </x:c>
      <x:c r="L367" s="28" t="str">
        <x:v>The Art &amp; Science of Foodpairing.pdf: 332</x:v>
      </x:c>
    </x:row>
    <x:row r="368" ht="64" customHeight="1">
      <x:c r="A368" s="28" t="str">
        <x:v>NCT-0514</x:v>
      </x:c>
      <x:c r="B368" s="28" t="str">
        <x:v>фундук</x:v>
      </x:c>
      <x:c r="C368" s="28" t="str">
        <x:v>картофель фри</x:v>
      </x:c>
      <x:c r="D368" s="28" t="str">
        <x:v>Овощи, бобовые и грибы</x:v>
      </x:c>
      <x:c r="E368" s="28" t="str">
        <x:v>общие ароматические соединения</x:v>
      </x:c>
      <x:c r="F368" s="28" t="str">
        <x:v>Фундук имеет профиль «ореховый, жареный, сладкий, землистый и какаоподобный». Партнёр «картофель фри»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6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68" s="28" t="str">
        <x:v>аллерген и чувствительность к прогорканию; пережаривание даёт дымную горечь</x:v>
      </x:c>
      <x:c r="I368" s="28" t="str">
        <x:v>пралине, паста, выпечка, гарнир, соус, молочный или коктейльный компонент с картофель фри</x:v>
      </x:c>
      <x:c r="J368" s="28" t="str">
        <x:v>Средняя</x:v>
      </x:c>
      <x:c r="K368" s="28" t="str">
        <x:v>The Art &amp; Science of Foodpairing.pdf</x:v>
      </x:c>
      <x:c r="L368" s="28" t="str">
        <x:v>The Art &amp; Science of Foodpairing.pdf: 196, 332</x:v>
      </x:c>
    </x:row>
    <x:row r="369" ht="64" customHeight="1">
      <x:c r="A369" s="28" t="str">
        <x:v>NCT-0515</x:v>
      </x:c>
      <x:c r="B369" s="28" t="str">
        <x:v>фундук</x:v>
      </x:c>
      <x:c r="C369" s="28" t="str">
        <x:v>кейл</x:v>
      </x:c>
      <x:c r="D369" s="28" t="str">
        <x:v>Прочее</x:v>
      </x:c>
      <x:c r="E369" s="28" t="str">
        <x:v>сенсорная комплементарность</x:v>
      </x:c>
      <x:c r="F369" s="28" t="str">
        <x:v>Фундук имеет профиль «ореховый, жареный, сладкий, землистый и какаоподобный». Партнёр «кейл»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6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69" s="28" t="str">
        <x:v>аллерген и чувствительность к прогорканию; пережаривание даёт дымную горечь</x:v>
      </x:c>
      <x:c r="I369" s="28" t="str">
        <x:v>пралине, паста, выпечка, гарнир, соус, молочный или коктейльный компонент с кейл</x:v>
      </x:c>
      <x:c r="J369" s="28" t="str">
        <x:v>Средняя</x:v>
      </x:c>
      <x:c r="K369" s="28" t="str">
        <x:v>The Art &amp; Science of Foodpairing.pdf</x:v>
      </x:c>
      <x:c r="L369" s="28" t="str">
        <x:v>The Art &amp; Science of Foodpairing.pdf: 332</x:v>
      </x:c>
    </x:row>
    <x:row r="370" ht="64" customHeight="1">
      <x:c r="A370" s="28" t="str">
        <x:v>NCT-0516</x:v>
      </x:c>
      <x:c r="B370" s="28" t="str">
        <x:v>фундук</x:v>
      </x:c>
      <x:c r="C370" s="28" t="str">
        <x:v>киви</x:v>
      </x:c>
      <x:c r="D370" s="28" t="str">
        <x:v>Фрукты и ягоды</x:v>
      </x:c>
      <x:c r="E370" s="28" t="str">
        <x:v>общие ароматические соединения, контраст кислоты и жирной/горькой матрицы</x:v>
      </x:c>
      <x:c r="F370" s="28" t="str">
        <x:v>Фундук имеет профиль «ореховый, жареный, сладкий, землистый и какаоподобный». Партнёр «киви»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7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0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70" s="28" t="str">
        <x:v>пралине, паста, выпечка, гарнир, соус, молочный или коктейльный компонент с киви</x:v>
      </x:c>
      <x:c r="J370" s="28" t="str">
        <x:v>Средняя</x:v>
      </x:c>
      <x:c r="K370" s="28" t="str">
        <x:v>The Art &amp; Science of Foodpairing.pdf</x:v>
      </x:c>
      <x:c r="L370" s="28" t="str">
        <x:v>The Art &amp; Science of Foodpairing.pdf: 332</x:v>
      </x:c>
    </x:row>
    <x:row r="371" ht="64" customHeight="1">
      <x:c r="A371" s="28" t="str">
        <x:v>NCT-0517</x:v>
      </x:c>
      <x:c r="B371" s="28" t="str">
        <x:v>фундук</x:v>
      </x:c>
      <x:c r="C371" s="28" t="str">
        <x:v>кленовый сироп</x:v>
      </x:c>
      <x:c r="D371" s="28" t="str">
        <x:v>Выпечка, сахара и десерты</x:v>
      </x:c>
      <x:c r="E371" s="28" t="str">
        <x:v>общие ароматические соединения, пересечение ароматических семейств, жареная химия и реакции Майяра</x:v>
      </x:c>
      <x:c r="F371" s="28" t="str">
        <x:v>Фундук имеет профиль «ореховый, жареный, сладкий, землистый и какаоподобный».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37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1" s="28" t="str">
        <x:v>аллерген и чувствительность к прогорканию; пережаривание даёт дымную горечь</x:v>
      </x:c>
      <x:c r="I371" s="28" t="str">
        <x:v>пралине, паста, выпечка, гарнир, соус, молочный или коктейльный компонент с кленовый сироп</x:v>
      </x:c>
      <x:c r="J371" s="28" t="str">
        <x:v>Средняя</x:v>
      </x:c>
      <x:c r="K371" s="28" t="str">
        <x:v>The Art &amp; Science of Foodpairing.pdf</x:v>
      </x:c>
      <x:c r="L371" s="28" t="str">
        <x:v>The Art &amp; Science of Foodpairing.pdf: 332</x:v>
      </x:c>
    </x:row>
    <x:row r="372" ht="64" customHeight="1">
      <x:c r="A372" s="28" t="str">
        <x:v>NCT-0518</x:v>
      </x:c>
      <x:c r="B372" s="28" t="str">
        <x:v>фундук</x:v>
      </x:c>
      <x:c r="C372" s="28" t="str">
        <x:v>клубника</x:v>
      </x:c>
      <x:c r="D372" s="28" t="str">
        <x:v>Прочее</x:v>
      </x:c>
      <x:c r="E372" s="28" t="str">
        <x:v>сенсорная комплементарность</x:v>
      </x:c>
      <x:c r="F372" s="28" t="str">
        <x:v>Фундук имеет профиль «ореховый, жареный, сладкий, землистый и какаоподобный». Партнёр «клубника» относится к группе «Прочее» и даёт зелёный, карамельный, фруктовый.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7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2" s="28" t="str">
        <x:v>аллерген и чувствительность к прогорканию; пережаривание даёт дымную горечь</x:v>
      </x:c>
      <x:c r="I372" s="28" t="str">
        <x:v>пралине, паста, выпечка, гарнир, соус, молочный или коктейльный компонент с клубника</x:v>
      </x:c>
      <x:c r="J372" s="28" t="str">
        <x:v>Высокая</x:v>
      </x:c>
      <x:c r="K372" s="28" t="str">
        <x:v>Таблица сочетания(1).pdf | Тезариус вкусов (Ники Сегнит)(1).pdf</x:v>
      </x:c>
      <x:c r="L372" s="28" t="str">
        <x:v>Таблица сочетания(1).pdf: 20; Тезариус вкусов (Ники Сегнит)(1).pdf: 635, 698</x:v>
      </x:c>
    </x:row>
    <x:row r="373" ht="64" customHeight="1">
      <x:c r="A373" s="28" t="str">
        <x:v>NCT-0519</x:v>
      </x:c>
      <x:c r="B373" s="28" t="str">
        <x:v>фундук</x:v>
      </x:c>
      <x:c r="C373" s="28" t="str">
        <x:v>клюква</x:v>
      </x:c>
      <x:c r="D373" s="28" t="str">
        <x:v>Прочее</x:v>
      </x:c>
      <x:c r="E373" s="28" t="str">
        <x:v>сенсорная комплементарность</x:v>
      </x:c>
      <x:c r="F373" s="28" t="str">
        <x:v>Фундук имеет профиль «ореховый, жареный, сладкий, землистый и какаоподобный». Партнёр «клюква»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7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3" s="28" t="str">
        <x:v>аллерген и чувствительность к прогорканию; пережаривание даёт дымную горечь</x:v>
      </x:c>
      <x:c r="I373" s="28" t="str">
        <x:v>пралине, паста, выпечка, гарнир, соус, молочный или коктейльный компонент с клюква</x:v>
      </x:c>
      <x:c r="J373" s="28" t="str">
        <x:v>Высокая</x:v>
      </x:c>
      <x:c r="K373" s="28" t="str">
        <x:v>The Art &amp; Science of Foodpairing.pdf | Таблица сочетания(1).pdf</x:v>
      </x:c>
      <x:c r="L373" s="28" t="str">
        <x:v>The Art &amp; Science of Foodpairing.pdf: 332; Таблица сочетания(1).pdf: 6</x:v>
      </x:c>
    </x:row>
    <x:row r="374" ht="64" customHeight="1">
      <x:c r="A374" s="28" t="str">
        <x:v>NCT-0520</x:v>
      </x:c>
      <x:c r="B374" s="28" t="str">
        <x:v>фундук</x:v>
      </x:c>
      <x:c r="C374" s="28" t="str">
        <x:v>кокосовая вода</x:v>
      </x:c>
      <x:c r="D374" s="28" t="str">
        <x:v>Прочее</x:v>
      </x:c>
      <x:c r="E374" s="28" t="str">
        <x:v>сенсорная комплементарность</x:v>
      </x:c>
      <x:c r="F374" s="28" t="str">
        <x:v>Фундук имеет профиль «ореховый, жареный, сладкий, землистый и какаоподобный». Партнёр «кокосовая вода» относится к группе «Прочее» и даёт лактонный, сливочный.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7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4" s="28" t="str">
        <x:v>аллерген и чувствительность к прогорканию; пережаривание даёт дымную горечь</x:v>
      </x:c>
      <x:c r="I374" s="28" t="str">
        <x:v>пралине, паста, выпечка, гарнир, соус, молочный или коктейльный компонент с кокосовая вода</x:v>
      </x:c>
      <x:c r="J374" s="28" t="str">
        <x:v>Средняя</x:v>
      </x:c>
      <x:c r="K374" s="28" t="str">
        <x:v>The Art &amp; Science of Foodpairing.pdf</x:v>
      </x:c>
      <x:c r="L374" s="28" t="str">
        <x:v>The Art &amp; Science of Foodpairing.pdf: 332</x:v>
      </x:c>
    </x:row>
    <x:row r="375" ht="64" customHeight="1">
      <x:c r="A375" s="28" t="str">
        <x:v>NCT-0521</x:v>
      </x:c>
      <x:c r="B375" s="28" t="str">
        <x:v>фундук</x:v>
      </x:c>
      <x:c r="C375" s="28" t="str">
        <x:v>корица и кассия</x:v>
      </x:c>
      <x:c r="D375" s="28" t="str">
        <x:v>Специи</x:v>
      </x:c>
      <x:c r="E375" s="28" t="str">
        <x:v>сенсорная комплементарность</x:v>
      </x:c>
      <x:c r="F375" s="28" t="str">
        <x:v>Фундук имеет профиль «ореховый, жареный, сладкий, землистый и какаоподобный». Партнёр «корица и кассия» относится к группе «Специи» и даёт древесный, пряный.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7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5" s="28" t="str">
        <x:v>аллерген и чувствительность к прогорканию; пережаривание даёт дымную горечь</x:v>
      </x:c>
      <x:c r="I375" s="28" t="str">
        <x:v>пралине, паста, выпечка, гарнир, соус, молочный или коктейльный компонент с корица и кассия</x:v>
      </x:c>
      <x:c r="J375" s="28" t="str">
        <x:v>Средняя</x:v>
      </x:c>
      <x:c r="K375" s="28" t="str">
        <x:v>The Art &amp; Science of Foodpairing.pdf</x:v>
      </x:c>
      <x:c r="L375" s="28" t="str">
        <x:v>The Art &amp; Science of Foodpairing.pdf: 130</x:v>
      </x:c>
    </x:row>
    <x:row r="376" ht="64" customHeight="1">
      <x:c r="A376" s="28" t="str">
        <x:v>NCT-0522</x:v>
      </x:c>
      <x:c r="B376" s="28" t="str">
        <x:v>фундук</x:v>
      </x:c>
      <x:c r="C376" s="28" t="str">
        <x:v>кофе</x:v>
      </x:c>
      <x:c r="D376" s="28" t="str">
        <x:v>Кофе</x:v>
      </x:c>
      <x:c r="E376" s="28" t="str">
        <x:v>общие ароматические соединения, пересечение ароматических семейств, жареная химия и реакции Майяра</x:v>
      </x:c>
      <x:c r="F376" s="28" t="str">
        <x:v>Фундук имеет профиль «ореховый, жареный, сладкий, землистый и какаоподобный».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ореховый; пиразины, фураны.</x:v>
      </x:c>
      <x:c r="G37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6" s="28" t="str">
        <x:v>аллерген и чувствительность к прогорканию; пережаривание даёт дымную горечь</x:v>
      </x:c>
      <x:c r="I376" s="28" t="str">
        <x:v>пралине, паста, выпечка, гарнир, соус, молочный или коктейльный компонент с кофе</x:v>
      </x:c>
      <x:c r="J376" s="28" t="str">
        <x:v>Высокая</x:v>
      </x:c>
      <x:c r="K376" s="28" t="str">
        <x:v>Таблица сочетания(1).pdf | Тезариус вкусов (Ники Сегнит)(1).pdf</x:v>
      </x:c>
      <x:c r="L376" s="28" t="str">
        <x:v>Таблица сочетания(1).pdf: 6; Тезариус вкусов (Ники Сегнит)(1).pdf: 47, 635</x:v>
      </x:c>
    </x:row>
    <x:row r="377" ht="64" customHeight="1">
      <x:c r="A377" s="28" t="str">
        <x:v>NCT-0523</x:v>
      </x:c>
      <x:c r="B377" s="28" t="str">
        <x:v>фундук</x:v>
      </x:c>
      <x:c r="C377" s="28" t="str">
        <x:v>лепестки розы</x:v>
      </x:c>
      <x:c r="D377" s="28" t="str">
        <x:v>Прочее</x:v>
      </x:c>
      <x:c r="E377" s="28" t="str">
        <x:v>сенсорная комплементарность</x:v>
      </x:c>
      <x:c r="F377" s="28" t="str">
        <x:v>Фундук имеет профиль «ореховый, жареный, сладкий, землистый и какаоподобный». Партнёр «лепестки розы»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7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7" s="28" t="str">
        <x:v>аллерген и чувствительность к прогорканию; пережаривание даёт дымную горечь</x:v>
      </x:c>
      <x:c r="I377" s="28" t="str">
        <x:v>пралине, паста, выпечка, гарнир, соус, молочный или коктейльный компонент с лепестки розы</x:v>
      </x:c>
      <x:c r="J377" s="28" t="str">
        <x:v>Средняя</x:v>
      </x:c>
      <x:c r="K377" s="28" t="str">
        <x:v>The Art &amp; Science of Foodpairing.pdf</x:v>
      </x:c>
      <x:c r="L377" s="28" t="str">
        <x:v>The Art &amp; Science of Foodpairing.pdf: 332</x:v>
      </x:c>
    </x:row>
    <x:row r="378" ht="64" customHeight="1">
      <x:c r="A378" s="28" t="str">
        <x:v>NCT-0524</x:v>
      </x:c>
      <x:c r="B378" s="28" t="str">
        <x:v>фундук</x:v>
      </x:c>
      <x:c r="C378" s="28" t="str">
        <x:v>лимон</x:v>
      </x:c>
      <x:c r="D378" s="28" t="str">
        <x:v>Фрукты и ягоды</x:v>
      </x:c>
      <x:c r="E378" s="28" t="str">
        <x:v>контраст кислоты и жирной/горькой матрицы</x:v>
      </x:c>
      <x:c r="F378" s="28" t="str">
        <x:v>Фундук имеет профиль «ореховый, жареный, сладкий, землистый и какаоподобный».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7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8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78" s="28" t="str">
        <x:v>пралине, паста, выпечка, гарнир, соус, молочный или коктейльный компонент с лимон</x:v>
      </x:c>
      <x:c r="J378" s="28" t="str">
        <x:v>Гипотеза / практическая</x:v>
      </x:c>
      <x:c r="K378" s="28" t="str">
        <x:v>Таблица сочетания(1).pdf</x:v>
      </x:c>
      <x:c r="L378" s="28" t="str">
        <x:v>Таблица сочетания(1).pdf: 11</x:v>
      </x:c>
    </x:row>
    <x:row r="379" ht="64" customHeight="1">
      <x:c r="A379" s="28" t="str">
        <x:v>NCT-0525</x:v>
      </x:c>
      <x:c r="B379" s="28" t="str">
        <x:v>фундук</x:v>
      </x:c>
      <x:c r="C379" s="28" t="str">
        <x:v>личи</x:v>
      </x:c>
      <x:c r="D379" s="28" t="str">
        <x:v>Фрукты и ягоды</x:v>
      </x:c>
      <x:c r="E379" s="28" t="str">
        <x:v>общие ароматические соединения, контраст кислоты и жирной/горькой матрицы</x:v>
      </x:c>
      <x:c r="F379" s="28" t="str">
        <x:v>Фундук имеет профиль «ореховый, жареный, сладкий, землистый и какаоподобный». Партнёр «личи»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7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9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79" s="28" t="str">
        <x:v>пралине, паста, выпечка, гарнир, соус, молочный или коктейльный компонент с личи</x:v>
      </x:c>
      <x:c r="J379" s="28" t="str">
        <x:v>Средняя</x:v>
      </x:c>
      <x:c r="K379" s="28" t="str">
        <x:v>The Art &amp; Science of Foodpairing.pdf</x:v>
      </x:c>
      <x:c r="L379" s="28" t="str">
        <x:v>The Art &amp; Science of Foodpairing.pdf: 332</x:v>
      </x:c>
    </x:row>
    <x:row r="380" ht="64" customHeight="1">
      <x:c r="A380" s="28" t="str">
        <x:v>NCT-0526</x:v>
      </x:c>
      <x:c r="B380" s="28" t="str">
        <x:v>фундук</x:v>
      </x:c>
      <x:c r="C380" s="28" t="str">
        <x:v>малина</x:v>
      </x:c>
      <x:c r="D380" s="28" t="str">
        <x:v>Прочее</x:v>
      </x:c>
      <x:c r="E380" s="28" t="str">
        <x:v>сенсорная комплементарность</x:v>
      </x:c>
      <x:c r="F380" s="28" t="str">
        <x:v>Фундук имеет профиль «ореховый, жареный, сладкий, землистый и какаоподобный». Партнёр «малина» относится к группе «Прочее» и даёт цветочный, ягодный.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8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0" s="28" t="str">
        <x:v>аллерген и чувствительность к прогорканию; пережаривание даёт дымную горечь</x:v>
      </x:c>
      <x:c r="I380" s="28" t="str">
        <x:v>пралине, паста, выпечка, гарнир, соус, молочный или коктейльный компонент с малина</x:v>
      </x:c>
      <x:c r="J380" s="28" t="str">
        <x:v>Высокая</x:v>
      </x:c>
      <x:c r="K380" s="28" t="str">
        <x:v>The Art &amp; Science of Foodpairing.pdf | Тезариус вкусов (Ники Сегнит)(1).pdf</x:v>
      </x:c>
      <x:c r="L380" s="28" t="str">
        <x:v>The Art &amp; Science of Foodpairing.pdf: 332; Тезариус вкусов (Ники Сегнит)(1).pdf: 635, 889</x:v>
      </x:c>
    </x:row>
    <x:row r="381" ht="64" customHeight="1">
      <x:c r="A381" s="28" t="str">
        <x:v>NCT-0527</x:v>
      </x:c>
      <x:c r="B381" s="28" t="str">
        <x:v>фундук</x:v>
      </x:c>
      <x:c r="C381" s="28" t="str">
        <x:v>морковь</x:v>
      </x:c>
      <x:c r="D381" s="28" t="str">
        <x:v>Овощи, бобовые и грибы</x:v>
      </x:c>
      <x:c r="E381" s="28" t="str">
        <x:v>общие ароматические соединения</x:v>
      </x:c>
      <x:c r="F381" s="28" t="str">
        <x:v>Фундук имеет профиль «ореховый, жареный, сладкий, землистый и какаоподобный». Партнёр «морковь»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8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1" s="28" t="str">
        <x:v>аллерген и чувствительность к прогорканию; пережаривание даёт дымную горечь</x:v>
      </x:c>
      <x:c r="I381" s="28" t="str">
        <x:v>пралине, паста, выпечка, гарнир, соус, молочный или коктейльный компонент с морковь</x:v>
      </x:c>
      <x:c r="J381" s="28" t="str">
        <x:v>Средняя</x:v>
      </x:c>
      <x:c r="K381" s="28" t="str">
        <x:v>Тезариус вкусов (Ники Сегнит)(1).pdf</x:v>
      </x:c>
      <x:c r="L381" s="28" t="str">
        <x:v>Тезариус вкусов (Ники Сегнит)(1).pdf: 607, 636</x:v>
      </x:c>
    </x:row>
    <x:row r="382" ht="64" customHeight="1">
      <x:c r="A382" s="28" t="str">
        <x:v>NCT-0528</x:v>
      </x:c>
      <x:c r="B382" s="28" t="str">
        <x:v>фундук</x:v>
      </x:c>
      <x:c r="C382" s="28" t="str">
        <x:v>мускатный орех</x:v>
      </x:c>
      <x:c r="D382" s="28" t="str">
        <x:v>Орехи и семена</x:v>
      </x:c>
      <x:c r="E382" s="28" t="str">
        <x:v>пересечение ароматических семейств, жареная химия и реакции Майяра</x:v>
      </x:c>
      <x:c r="F382" s="28" t="str">
        <x:v>Фундук имеет профиль «ореховый, жареный, сладкий, землистый и какаоподобный».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механизм не следует сводить к одной общей молекуле.</x:v>
      </x:c>
      <x:c r="G38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2" s="28" t="str">
        <x:v>аллерген и чувствительность к прогорканию; пережаривание даёт дымную горечь</x:v>
      </x:c>
      <x:c r="I382" s="28" t="str">
        <x:v>пралине, паста, выпечка, гарнир, соус, молочный или коктейльный компонент с мускатный орех</x:v>
      </x:c>
      <x:c r="J382" s="28" t="str">
        <x:v>Средняя</x:v>
      </x:c>
      <x:c r="K382" s="28" t="str">
        <x:v>The Art &amp; Science of Foodpairing.pdf</x:v>
      </x:c>
      <x:c r="L382" s="28" t="str">
        <x:v>The Art &amp; Science of Foodpairing.pdf: 332</x:v>
      </x:c>
    </x:row>
    <x:row r="383" ht="64" customHeight="1">
      <x:c r="A383" s="28" t="str">
        <x:v>NCT-0529</x:v>
      </x:c>
      <x:c r="B383" s="28" t="str">
        <x:v>фундук</x:v>
      </x:c>
      <x:c r="C383" s="28" t="str">
        <x:v>нектарин</x:v>
      </x:c>
      <x:c r="D383" s="28" t="str">
        <x:v>Прочее</x:v>
      </x:c>
      <x:c r="E383" s="28" t="str">
        <x:v>сенсорная комплементарность</x:v>
      </x:c>
      <x:c r="F383" s="28" t="str">
        <x:v>Фундук имеет профиль «ореховый, жареный, сладкий, землистый и какаоподобный». Партнёр «нектарин»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8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3" s="28" t="str">
        <x:v>аллерген и чувствительность к прогорканию; пережаривание даёт дымную горечь</x:v>
      </x:c>
      <x:c r="I383" s="28" t="str">
        <x:v>пралине, паста, выпечка, гарнир, соус, молочный или коктейльный компонент с нектарин</x:v>
      </x:c>
      <x:c r="J383" s="28" t="str">
        <x:v>Гипотеза / практическая</x:v>
      </x:c>
      <x:c r="K383" s="28" t="str">
        <x:v>Таблица сочетания(1).pdf</x:v>
      </x:c>
      <x:c r="L383" s="28" t="str">
        <x:v>Таблица сочетания(1).pdf: 14</x:v>
      </x:c>
    </x:row>
    <x:row r="384" ht="64" customHeight="1">
      <x:c r="A384" s="28" t="str">
        <x:v>NCT-0530</x:v>
      </x:c>
      <x:c r="B384" s="28" t="str">
        <x:v>фундук</x:v>
      </x:c>
      <x:c r="C384" s="28" t="str">
        <x:v>обжаренный корень цикория</x:v>
      </x:c>
      <x:c r="D384" s="28" t="str">
        <x:v>Прочее</x:v>
      </x:c>
      <x:c r="E384" s="28" t="str">
        <x:v>сенсорная комплементарность</x:v>
      </x:c>
      <x:c r="F384" s="28" t="str">
        <x:v>Фундук имеет профиль «ореховый, жареный, сладкий, землистый и какаоподобный». Партнёр «обжаренный корень цикория»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8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4" s="28" t="str">
        <x:v>аллерген и чувствительность к прогорканию; пережаривание даёт дымную горечь</x:v>
      </x:c>
      <x:c r="I384" s="28" t="str">
        <x:v>пралине, паста, выпечка, гарнир, соус, молочный или коктейльный компонент с обжаренный корень цикория</x:v>
      </x:c>
      <x:c r="J384" s="28" t="str">
        <x:v>Высокая</x:v>
      </x:c>
      <x:c r="K384" s="28" t="str">
        <x:v>The Art &amp; Science of Foodpairing.pdf</x:v>
      </x:c>
      <x:c r="L384" s="28" t="str">
        <x:v>The Art &amp; Science of Foodpairing.pdf: 332</x:v>
      </x:c>
    </x:row>
    <x:row r="385" ht="64" customHeight="1">
      <x:c r="A385" s="28" t="str">
        <x:v>NCT-0531</x:v>
      </x:c>
      <x:c r="B385" s="28" t="str">
        <x:v>фундук</x:v>
      </x:c>
      <x:c r="C385" s="28" t="str">
        <x:v>пак-чой</x:v>
      </x:c>
      <x:c r="D385" s="28" t="str">
        <x:v>Прочее</x:v>
      </x:c>
      <x:c r="E385" s="28" t="str">
        <x:v>сенсорная комплементарность</x:v>
      </x:c>
      <x:c r="F385" s="28" t="str">
        <x:v>Фундук имеет профиль «ореховый, жареный, сладкий, землистый и какаоподобный». Партнёр «пак-чой»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8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5" s="28" t="str">
        <x:v>аллерген и чувствительность к прогорканию; пережаривание даёт дымную горечь</x:v>
      </x:c>
      <x:c r="I385" s="28" t="str">
        <x:v>пралине, паста, выпечка, гарнир, соус, молочный или коктейльный компонент с пак-чой</x:v>
      </x:c>
      <x:c r="J385" s="28" t="str">
        <x:v>Средняя</x:v>
      </x:c>
      <x:c r="K385" s="28" t="str">
        <x:v>The Art &amp; Science of Foodpairing.pdf</x:v>
      </x:c>
      <x:c r="L385" s="28" t="str">
        <x:v>The Art &amp; Science of Foodpairing.pdf: 332</x:v>
      </x:c>
    </x:row>
    <x:row r="386" ht="64" customHeight="1">
      <x:c r="A386" s="28" t="str">
        <x:v>NCT-0532</x:v>
      </x:c>
      <x:c r="B386" s="28" t="str">
        <x:v>фундук</x:v>
      </x:c>
      <x:c r="C386" s="28" t="str">
        <x:v>паприка</x:v>
      </x:c>
      <x:c r="D386" s="28" t="str">
        <x:v>Прочее</x:v>
      </x:c>
      <x:c r="E386" s="28" t="str">
        <x:v>сенсорная комплементарность</x:v>
      </x:c>
      <x:c r="F386" s="28" t="str">
        <x:v>Фундук имеет профиль «ореховый, жареный, сладкий, землистый и какаоподобный». Партнёр «паприка»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8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6" s="28" t="str">
        <x:v>аллерген и чувствительность к прогорканию; пережаривание даёт дымную горечь</x:v>
      </x:c>
      <x:c r="I386" s="28" t="str">
        <x:v>пралине, паста, выпечка, гарнир, соус, молочный или коктейльный компонент с паприка</x:v>
      </x:c>
      <x:c r="J386" s="28" t="str">
        <x:v>Средняя</x:v>
      </x:c>
      <x:c r="K386" s="28" t="str">
        <x:v>The Art &amp; Science of Foodpairing.pdf</x:v>
      </x:c>
      <x:c r="L386" s="28" t="str">
        <x:v>The Art &amp; Science of Foodpairing.pdf: 332</x:v>
      </x:c>
    </x:row>
    <x:row r="387" ht="64" customHeight="1">
      <x:c r="A387" s="28" t="str">
        <x:v>NCT-0533</x:v>
      </x:c>
      <x:c r="B387" s="28" t="str">
        <x:v>фундук</x:v>
      </x:c>
      <x:c r="C387" s="28" t="str">
        <x:v>персик</x:v>
      </x:c>
      <x:c r="D387" s="28" t="str">
        <x:v>Фрукты и ягоды</x:v>
      </x:c>
      <x:c r="E387" s="28" t="str">
        <x:v>контраст кислоты и жирной/горькой матрицы</x:v>
      </x:c>
      <x:c r="F387" s="28" t="str">
        <x:v>Фундук имеет профиль «ореховый, жареный, сладкий, землистый и какаоподобный». Партнёр «персик» относится к группе «Фрукты и ягоды» и даёт лактонный, фруктовый, цветочный.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8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7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87" s="28" t="str">
        <x:v>пралине, паста, выпечка, гарнир, соус, молочный или коктейльный компонент с персик</x:v>
      </x:c>
      <x:c r="J387" s="28" t="str">
        <x:v>Гипотеза / практическая</x:v>
      </x:c>
      <x:c r="K387" s="28" t="str">
        <x:v>Таблица сочетания(1).pdf</x:v>
      </x:c>
      <x:c r="L387" s="28" t="str">
        <x:v>Таблица сочетания(1).pdf: 15</x:v>
      </x:c>
    </x:row>
    <x:row r="388" ht="64" customHeight="1">
      <x:c r="A388" s="28" t="str">
        <x:v>NCT-0534</x:v>
      </x:c>
      <x:c r="B388" s="28" t="str">
        <x:v>фундук</x:v>
      </x:c>
      <x:c r="C388" s="28" t="str">
        <x:v>розмарин</x:v>
      </x:c>
      <x:c r="D388" s="28" t="str">
        <x:v>Травы, цветы и листья</x:v>
      </x:c>
      <x:c r="E388" s="28" t="str">
        <x:v>сенсорная комплементарность</x:v>
      </x:c>
      <x:c r="F388" s="28" t="str">
        <x:v>Фундук имеет профиль «ореховый, жареный, сладкий, землистый и какаоподобный». Партнёр «розмарин»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8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8" s="28" t="str">
        <x:v>аллерген и чувствительность к прогорканию; пережаривание даёт дымную горечь</x:v>
      </x:c>
      <x:c r="I388" s="28" t="str">
        <x:v>пралине, паста, выпечка, гарнир, соус, молочный или коктейльный компонент с розмарин</x:v>
      </x:c>
      <x:c r="J388" s="28" t="str">
        <x:v>Средняя</x:v>
      </x:c>
      <x:c r="K388" s="28" t="str">
        <x:v>Тезариус вкусов (Ники Сегнит)(1).pdf</x:v>
      </x:c>
      <x:c r="L388" s="28" t="str">
        <x:v>Тезариус вкусов (Ники Сегнит)(1).pdf: 637, 840</x:v>
      </x:c>
    </x:row>
    <x:row r="389" ht="64" customHeight="1">
      <x:c r="A389" s="28" t="str">
        <x:v>NCT-0535</x:v>
      </x:c>
      <x:c r="B389" s="28" t="str">
        <x:v>фундук</x:v>
      </x:c>
      <x:c r="C389" s="28" t="str">
        <x:v>свёкла</x:v>
      </x:c>
      <x:c r="D389" s="28" t="str">
        <x:v>Овощи, бобовые и грибы</x:v>
      </x:c>
      <x:c r="E389" s="28" t="str">
        <x:v>сенсорная комплементарность</x:v>
      </x:c>
      <x:c r="F389" s="28" t="str">
        <x:v>Фундук имеет профиль «ореховый, жареный, сладкий, землистый и какаоподобный». Партнёр «свёкла» относится к группе «Овощи, бобовые и грибы» и даёт землистый, сладкий.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8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9" s="28" t="str">
        <x:v>аллерген и чувствительность к прогорканию; пережаривание даёт дымную горечь</x:v>
      </x:c>
      <x:c r="I389" s="28" t="str">
        <x:v>пралине, паста, выпечка, гарнир, соус, молочный или коктейльный компонент с свёкла</x:v>
      </x:c>
      <x:c r="J389" s="28" t="str">
        <x:v>Средняя</x:v>
      </x:c>
      <x:c r="K389" s="28" t="str">
        <x:v>The Art &amp; Science of Foodpairing.pdf</x:v>
      </x:c>
      <x:c r="L389" s="28" t="str">
        <x:v>The Art &amp; Science of Foodpairing.pdf: 332</x:v>
      </x:c>
    </x:row>
    <x:row r="390" ht="64" customHeight="1">
      <x:c r="A390" s="28" t="str">
        <x:v>NCT-0536</x:v>
      </x:c>
      <x:c r="B390" s="28" t="str">
        <x:v>фундук</x:v>
      </x:c>
      <x:c r="C390" s="28" t="str">
        <x:v>слива</x:v>
      </x:c>
      <x:c r="D390" s="28" t="str">
        <x:v>Фрукты и ягоды</x:v>
      </x:c>
      <x:c r="E390" s="28" t="str">
        <x:v>общие ароматические соединения, контраст кислоты и жирной/горькой матрицы</x:v>
      </x:c>
      <x:c r="F390" s="28" t="str">
        <x:v>Фундук имеет профиль «ореховый, жареный, сладкий, землистый и какаоподобный». Партнёр «слива»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9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0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90" s="28" t="str">
        <x:v>пралине, паста, выпечка, гарнир, соус, молочный или коктейльный компонент с слива</x:v>
      </x:c>
      <x:c r="J390" s="28" t="str">
        <x:v>Гипотеза / практическая</x:v>
      </x:c>
      <x:c r="K390" s="28" t="str">
        <x:v>Таблица сочетания(1).pdf</x:v>
      </x:c>
      <x:c r="L390" s="28" t="str">
        <x:v>Таблица сочетания(1).pdf: 17</x:v>
      </x:c>
    </x:row>
    <x:row r="391" ht="64" customHeight="1">
      <x:c r="A391" s="28" t="str">
        <x:v>NCT-0537</x:v>
      </x:c>
      <x:c r="B391" s="28" t="str">
        <x:v>фундук</x:v>
      </x:c>
      <x:c r="C391" s="28" t="str">
        <x:v>сыр</x:v>
      </x:c>
      <x:c r="D391" s="28" t="str">
        <x:v>Молочные продукты и сыры</x:v>
      </x:c>
      <x:c r="E391" s="28" t="str">
        <x:v>жировая экстракция и связывание полифенолов белком</x:v>
      </x:c>
      <x:c r="F391" s="28" t="str">
        <x:v>Фундук имеет профиль «ореховый, жареный, сладкий, землистый и какаоподобный». Партнёр «сыр»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9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1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I391" s="28" t="str">
        <x:v>пралине, паста, выпечка, гарнир, соус, молочный или коктейльный компонент с сыр</x:v>
      </x:c>
      <x:c r="J391" s="28" t="str">
        <x:v>Высокая</x:v>
      </x:c>
      <x:c r="K391" s="28" t="str">
        <x:v>The Art &amp; Science of Foodpairing.pdf</x:v>
      </x:c>
      <x:c r="L391" s="28" t="str">
        <x:v>The Art &amp; Science of Foodpairing.pdf: 333</x:v>
      </x:c>
    </x:row>
    <x:row r="392" ht="64" customHeight="1">
      <x:c r="A392" s="28" t="str">
        <x:v>NCT-0538</x:v>
      </x:c>
      <x:c r="B392" s="28" t="str">
        <x:v>фундук</x:v>
      </x:c>
      <x:c r="C392" s="28" t="str">
        <x:v>торфяной виски</x:v>
      </x:c>
      <x:c r="D392" s="28" t="str">
        <x:v>Алкогольные напитки</x:v>
      </x:c>
      <x:c r="E392" s="28" t="str">
        <x:v>общие ароматические соединения</x:v>
      </x:c>
      <x:c r="F392" s="28" t="str">
        <x:v>Фундук имеет профиль «ореховый, жареный, сладкий, землистый и какаоподобный». Партнёр «торфяной виски» относится к группе «Алкогольные напитки» и даёт спиртовой, фруктовый или древесный.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9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2" s="28" t="str">
        <x:v>аллерген и чувствительность к прогорканию; пережаривание даёт дымную горечь</x:v>
      </x:c>
      <x:c r="I392" s="28" t="str">
        <x:v>пралине, паста, выпечка, гарнир, соус, молочный или коктейльный компонент с торфяной виски</x:v>
      </x:c>
      <x:c r="J392" s="28" t="str">
        <x:v>Средняя</x:v>
      </x:c>
      <x:c r="K392" s="28" t="str">
        <x:v>The Art &amp; Science of Foodpairing.pdf</x:v>
      </x:c>
      <x:c r="L392" s="28" t="str">
        <x:v>The Art &amp; Science of Foodpairing.pdf: 332</x:v>
      </x:c>
    </x:row>
    <x:row r="393" ht="64" customHeight="1">
      <x:c r="A393" s="28" t="str">
        <x:v>NCT-0539</x:v>
      </x:c>
      <x:c r="B393" s="28" t="str">
        <x:v>фундук</x:v>
      </x:c>
      <x:c r="C393" s="28" t="str">
        <x:v>тёмный соевый соус</x:v>
      </x:c>
      <x:c r="D393" s="28" t="str">
        <x:v>Ферментированные продукты и соусы</x:v>
      </x:c>
      <x:c r="E393" s="28" t="str">
        <x:v>общие ароматические соединения, пересечение ароматических семейств, солёно-умами контраст</x:v>
      </x:c>
      <x:c r="F393" s="28" t="str">
        <x:v>Фундук имеет профиль «ореховый, жареный, сладкий, землистый и какаоподобный». Партнёр «тёмный 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39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3" s="28" t="str">
        <x:v>аллерген и чувствительность к прогорканию; пережаривание даёт дымную горечь</x:v>
      </x:c>
      <x:c r="I393" s="28" t="str">
        <x:v>пралине, паста, выпечка, гарнир, соус, молочный или коктейльный компонент с тёмный соевый соус</x:v>
      </x:c>
      <x:c r="J393" s="28" t="str">
        <x:v>Средняя</x:v>
      </x:c>
      <x:c r="K393" s="28" t="str">
        <x:v>The Art &amp; Science of Foodpairing.pdf</x:v>
      </x:c>
      <x:c r="L393" s="28" t="str">
        <x:v>The Art &amp; Science of Foodpairing.pdf: 332</x:v>
      </x:c>
    </x:row>
    <x:row r="394" ht="64" customHeight="1">
      <x:c r="A394" s="28" t="str">
        <x:v>NCT-0540</x:v>
      </x:c>
      <x:c r="B394" s="28" t="str">
        <x:v>фундук</x:v>
      </x:c>
      <x:c r="C394" s="28" t="str">
        <x:v>финик</x:v>
      </x:c>
      <x:c r="D394" s="28" t="str">
        <x:v>Прочее</x:v>
      </x:c>
      <x:c r="E394" s="28" t="str">
        <x:v>сенсорная комплементарность</x:v>
      </x:c>
      <x:c r="F394" s="28" t="str">
        <x:v>Фундук имеет профиль «ореховый, жареный, сладкий, землистый и какаоподобный». Партнёр «финик»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9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4" s="28" t="str">
        <x:v>аллерген и чувствительность к прогорканию; пережаривание даёт дымную горечь</x:v>
      </x:c>
      <x:c r="I394" s="28" t="str">
        <x:v>пралине, паста, выпечка, гарнир, соус, молочный или коктейльный компонент с финик</x:v>
      </x:c>
      <x:c r="J394" s="28" t="str">
        <x:v>Гипотеза / практическая</x:v>
      </x:c>
      <x:c r="K394" s="28" t="str">
        <x:v>Таблица сочетания(1).pdf</x:v>
      </x:c>
      <x:c r="L394" s="28" t="str">
        <x:v>Таблица сочетания(1).pdf: 7</x:v>
      </x:c>
    </x:row>
    <x:row r="395" ht="64" customHeight="1">
      <x:c r="A395" s="28" t="str">
        <x:v>NCT-0541</x:v>
      </x:c>
      <x:c r="B395" s="28" t="str">
        <x:v>фундук</x:v>
      </x:c>
      <x:c r="C395" s="28" t="str">
        <x:v>цесарка</x:v>
      </x:c>
      <x:c r="D395" s="28" t="str">
        <x:v>Прочее</x:v>
      </x:c>
      <x:c r="E395" s="28" t="str">
        <x:v>сенсорная комплементарность</x:v>
      </x:c>
      <x:c r="F395" s="28" t="str">
        <x:v>Фундук имеет профиль «ореховый, жареный, сладкий, землистый и какаоподобный». Партнёр «цесарка»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9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5" s="28" t="str">
        <x:v>аллерген и чувствительность к прогорканию; пережаривание даёт дымную горечь</x:v>
      </x:c>
      <x:c r="I395" s="28" t="str">
        <x:v>пралине, паста, выпечка, гарнир, соус, молочный или коктейльный компонент с цесарка</x:v>
      </x:c>
      <x:c r="J395" s="28" t="str">
        <x:v>Средняя</x:v>
      </x:c>
      <x:c r="K395" s="28" t="str">
        <x:v>The Art &amp; Science of Foodpairing.pdf</x:v>
      </x:c>
      <x:c r="L395" s="28" t="str">
        <x:v>The Art &amp; Science of Foodpairing.pdf: 332</x:v>
      </x:c>
    </x:row>
    <x:row r="396" ht="64" customHeight="1">
      <x:c r="A396" s="28" t="str">
        <x:v>NCT-0542</x:v>
      </x:c>
      <x:c r="B396" s="28" t="str">
        <x:v>фундук</x:v>
      </x:c>
      <x:c r="C396" s="28" t="str">
        <x:v>цыпленок</x:v>
      </x:c>
      <x:c r="D396" s="28" t="str">
        <x:v>Прочее</x:v>
      </x:c>
      <x:c r="E396" s="28" t="str">
        <x:v>сенсорная комплементарность</x:v>
      </x:c>
      <x:c r="F396" s="28" t="str">
        <x:v>Фундук имеет профиль «ореховый, жареный, сладкий, землистый и какаоподобный». Партнёр «цыпленок»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9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6" s="28" t="str">
        <x:v>аллерген и чувствительность к прогорканию; пережаривание даёт дымную горечь</x:v>
      </x:c>
      <x:c r="I396" s="28" t="str">
        <x:v>пралине, паста, выпечка, гарнир, соус, молочный или коктейльный компонент с цыпленок</x:v>
      </x:c>
      <x:c r="J396" s="28" t="str">
        <x:v>Средняя</x:v>
      </x:c>
      <x:c r="K396" s="28" t="str">
        <x:v>Тезариус вкусов (Ники Сегнит)(1).pdf</x:v>
      </x:c>
      <x:c r="L396" s="28" t="str">
        <x:v>Тезариус вкусов (Ники Сегнит)(1).pdf: 74, 637</x:v>
      </x:c>
    </x:row>
    <x:row r="397" ht="64" customHeight="1">
      <x:c r="A397" s="28" t="str">
        <x:v>NCT-0543</x:v>
      </x:c>
      <x:c r="B397" s="28" t="str">
        <x:v>фундук</x:v>
      </x:c>
      <x:c r="C397" s="28" t="str">
        <x:v>черная икра</x:v>
      </x:c>
      <x:c r="D397" s="28" t="str">
        <x:v>Рыба и морепродукты</x:v>
      </x:c>
      <x:c r="E397" s="28" t="str">
        <x:v>общие ароматические соединения, солёно-умами контраст</x:v>
      </x:c>
      <x:c r="F397" s="28" t="str">
        <x:v>Фундук имеет профиль «ореховый, жареный, сладкий, землистый и какаоподобный». Партнёр «черная икра»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9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7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397" s="28" t="str">
        <x:v>пралине, паста, выпечка, гарнир, соус, молочный или коктейльный компонент с черная икра</x:v>
      </x:c>
      <x:c r="J397" s="28" t="str">
        <x:v>Средняя</x:v>
      </x:c>
      <x:c r="K397" s="28" t="str">
        <x:v>Тезариус вкусов (Ники Сегнит)(1).pdf</x:v>
      </x:c>
      <x:c r="L397" s="28" t="str">
        <x:v>Тезариус вкусов (Ники Сегнит)(1).pdf: 408, 638</x:v>
      </x:c>
    </x:row>
    <x:row r="398" ht="64" customHeight="1">
      <x:c r="A398" s="28" t="str">
        <x:v>NCT-0544</x:v>
      </x:c>
      <x:c r="B398" s="28" t="str">
        <x:v>фундук</x:v>
      </x:c>
      <x:c r="C398" s="28" t="str">
        <x:v>чернослив</x:v>
      </x:c>
      <x:c r="D398" s="28" t="str">
        <x:v>Фрукты и ягоды</x:v>
      </x:c>
      <x:c r="E398" s="28" t="str">
        <x:v>общие ароматические соединения, контраст кислоты и жирной/горькой матрицы</x:v>
      </x:c>
      <x:c r="F398" s="28" t="str">
        <x:v>Фундук имеет профиль «ореховый, жареный, сладкий, землистый и какаоподобный». Партнёр «чернослив»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9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8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98" s="28" t="str">
        <x:v>пралине, паста, выпечка, гарнир, соус, молочный или коктейльный компонент с чернослив</x:v>
      </x:c>
      <x:c r="J398" s="28" t="str">
        <x:v>Гипотеза / практическая</x:v>
      </x:c>
      <x:c r="K398" s="28" t="str">
        <x:v>Таблица сочетания(1).pdf</x:v>
      </x:c>
      <x:c r="L398" s="28" t="str">
        <x:v>Таблица сочетания(1).pdf: 18</x:v>
      </x:c>
    </x:row>
    <x:row r="399" ht="64" customHeight="1">
      <x:c r="A399" s="28" t="str">
        <x:v>NCT-0545</x:v>
      </x:c>
      <x:c r="B399" s="28" t="str">
        <x:v>фундук</x:v>
      </x:c>
      <x:c r="C399" s="28" t="str">
        <x:v>чеснок</x:v>
      </x:c>
      <x:c r="D399" s="28" t="str">
        <x:v>Овощи, бобовые и грибы</x:v>
      </x:c>
      <x:c r="E399" s="28" t="str">
        <x:v>общие ароматические соединения</x:v>
      </x:c>
      <x:c r="F399" s="28" t="str">
        <x:v>Фундук имеет профиль «ореховый, жареный, сладкий, землистый и какаоподобный». Партнёр «чеснок»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9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9" s="28" t="str">
        <x:v>аллерген и чувствительность к прогорканию; пережаривание даёт дымную горечь</x:v>
      </x:c>
      <x:c r="I399" s="28" t="str">
        <x:v>пралине, паста, выпечка, гарнир, соус, молочный или коктейльный компонент с чеснок</x:v>
      </x:c>
      <x:c r="J399" s="28" t="str">
        <x:v>Средняя</x:v>
      </x:c>
      <x:c r="K399" s="28" t="str">
        <x:v>Тезариус вкусов (Ники Сегнит)(1).pdf</x:v>
      </x:c>
      <x:c r="L399" s="28" t="str">
        <x:v>Тезариус вкусов (Ники Сегнит)(1).pdf: 299, 377, 638</x:v>
      </x:c>
    </x:row>
    <x:row r="400" ht="64" customHeight="1">
      <x:c r="A400" s="28" t="str">
        <x:v>NCT-0546</x:v>
      </x:c>
      <x:c r="B400" s="28" t="str">
        <x:v>фундук</x:v>
      </x:c>
      <x:c r="C400" s="28" t="str">
        <x:v>чёрный чай</x:v>
      </x:c>
      <x:c r="D400" s="28" t="str">
        <x:v>Чай</x:v>
      </x:c>
      <x:c r="E400" s="28" t="str">
        <x:v>сенсорная комплементарность</x:v>
      </x:c>
      <x:c r="F400" s="28" t="str">
        <x:v>Фундук имеет профиль «ореховый, жареный, сладкий, землистый и какаоподобный». Партнёр «чёрный чай» относится к группе «Чай» и даёт мальтовый, цветочный, фруктовый, древесный и слегка дымный.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0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00" s="28" t="str">
        <x:v>аллерген и чувствительность к прогорканию; пережаривание даёт дымную горечь</x:v>
      </x:c>
      <x:c r="I400" s="28" t="str">
        <x:v>пралине, паста, выпечка, гарнир, соус, молочный или коктейльный компонент с чёрный чай</x:v>
      </x:c>
      <x:c r="J400" s="28" t="str">
        <x:v>Средняя</x:v>
      </x:c>
      <x:c r="K400" s="28" t="str">
        <x:v>The Art &amp; Science of Foodpairing.pdf</x:v>
      </x:c>
      <x:c r="L400" s="28" t="str">
        <x:v>The Art &amp; Science of Foodpairing.pdf: 332</x:v>
      </x:c>
    </x:row>
    <x:row r="401" ht="64" customHeight="1">
      <x:c r="A401" s="28" t="str">
        <x:v>NCT-0547</x:v>
      </x:c>
      <x:c r="B401" s="28" t="str">
        <x:v>фундук</x:v>
      </x:c>
      <x:c r="C401" s="28" t="str">
        <x:v>шисо</x:v>
      </x:c>
      <x:c r="D401" s="28" t="str">
        <x:v>Травы, цветы и листья</x:v>
      </x:c>
      <x:c r="E401" s="28" t="str">
        <x:v>сенсорная комплементарность</x:v>
      </x:c>
      <x:c r="F401" s="28" t="str">
        <x:v>Фундук имеет профиль «ореховый, жареный, сладкий, землистый и какаоподобный». Партнёр «шисо»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0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01" s="28" t="str">
        <x:v>аллерген и чувствительность к прогорканию; пережаривание даёт дымную горечь</x:v>
      </x:c>
      <x:c r="I401" s="28" t="str">
        <x:v>пралине, паста, выпечка, гарнир, соус, молочный или коктейльный компонент с шисо</x:v>
      </x:c>
      <x:c r="J401" s="28" t="str">
        <x:v>Средняя</x:v>
      </x:c>
      <x:c r="K401" s="28" t="str">
        <x:v>The Art &amp; Science of Foodpairing.pdf</x:v>
      </x:c>
      <x:c r="L401" s="28" t="str">
        <x:v>The Art &amp; Science of Foodpairing.pdf: 332</x:v>
      </x:c>
    </x:row>
    <x:row r="402" ht="64" customHeight="1">
      <x:c r="A402" s="28" t="str">
        <x:v>NCT-0548</x:v>
      </x:c>
      <x:c r="B402" s="28" t="str">
        <x:v>фундук</x:v>
      </x:c>
      <x:c r="C402" s="28" t="str">
        <x:v>шоколад</x:v>
      </x:c>
      <x:c r="D402" s="28" t="str">
        <x:v>Какао и шоколад</x:v>
      </x:c>
      <x:c r="E402" s="28" t="str">
        <x:v>общие ароматические соединения, пересечение ароматических семейств, жареная химия и реакции Майяра</x:v>
      </x:c>
      <x:c r="F402" s="28" t="str">
        <x:v>Фундук имеет профиль «ореховый, жареный, сладкий, землистый и какаоподобный».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какаовый; альдегиды, пиразины, фураны.</x:v>
      </x:c>
      <x:c r="G40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02" s="28" t="str">
        <x:v>аллерген и чувствительность к прогорканию; пережаривание даёт дымную горечь</x:v>
      </x:c>
      <x:c r="I402" s="28" t="str">
        <x:v>пралине, паста, выпечка, гарнир, соус, молочный или коктейльный компонент с шоколад</x:v>
      </x:c>
      <x:c r="J402" s="28" t="str">
        <x:v>Высокая</x:v>
      </x:c>
      <x:c r="K402" s="28" t="str">
        <x:v>The Art &amp; Science of Foodpairing.pdf | Таблица сочетания(1).pdf | Тезариус вкусов (Ники Сегнит)(1).pdf</x:v>
      </x:c>
      <x:c r="L402" s="28" t="str">
        <x:v>The Art &amp; Science of Foodpairing.pdf: 332; Таблица сочетания(1).pdf: 5; Тезариус вкусов (Ники Сегнит)(1).pdf: 36, 639</x:v>
      </x:c>
    </x:row>
    <x:row r="403" ht="64" customHeight="1">
      <x:c r="A403" s="28" t="str">
        <x:v>NCT-0549</x:v>
      </x:c>
      <x:c r="B403" s="28" t="str">
        <x:v>фундук</x:v>
      </x:c>
      <x:c r="C403" s="28" t="str">
        <x:v>яблоко</x:v>
      </x:c>
      <x:c r="D403" s="28" t="str">
        <x:v>Фрукты и ягоды</x:v>
      </x:c>
      <x:c r="E403" s="28" t="str">
        <x:v>общие ароматические соединения, контраст кислоты и жирной/горькой матрицы</x:v>
      </x:c>
      <x:c r="F403" s="28" t="str">
        <x:v>Фундук имеет профиль «ореховый, жареный, сладкий, землистый и какаоподобный». Партнёр «яблоко»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0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03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403" s="28" t="str">
        <x:v>пралине, паста, выпечка, гарнир, соус, молочный или коктейльный компонент с яблоко</x:v>
      </x:c>
      <x:c r="J403" s="28" t="str">
        <x:v>Высокая</x:v>
      </x:c>
      <x:c r="K403" s="28" t="str">
        <x:v>Таблица сочетания(1).pdf | Тезариус вкусов (Ники Сегнит)(1).pdf</x:v>
      </x:c>
      <x:c r="L403" s="28" t="str">
        <x:v>Таблица сочетания(1).pdf: 1; Тезариус вкусов (Ники Сегнит)(1).pdf: 639, 717</x:v>
      </x:c>
    </x:row>
    <x:row r="404" ht="64" customHeight="1">
      <x:c r="A404" s="28" t="str">
        <x:v>NCT-0550</x:v>
      </x:c>
      <x:c r="B404" s="28" t="str">
        <x:v>фундук</x:v>
      </x:c>
      <x:c r="C404" s="28" t="str">
        <x:v>ягоды годжи</x:v>
      </x:c>
      <x:c r="D404" s="28" t="str">
        <x:v>Фрукты и ягоды</x:v>
      </x:c>
      <x:c r="E404" s="28" t="str">
        <x:v>общие ароматические соединения, контраст кислоты и жирной/горькой матрицы</x:v>
      </x:c>
      <x:c r="F404" s="28" t="str">
        <x:v>Фундук имеет профиль «ореховый, жареный, сладкий, землистый и какаоподобный». Партнёр «ягоды годжи»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0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04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404" s="28" t="str">
        <x:v>пралине, паста, выпечка, гарнир, соус, молочный или коктейльный компонент с ягоды годжи</x:v>
      </x:c>
      <x:c r="J404" s="28" t="str">
        <x:v>Гипотеза / практическая</x:v>
      </x:c>
      <x:c r="K404" s="28" t="str">
        <x:v>Таблица сочетания(1).pdf</x:v>
      </x:c>
      <x:c r="L404" s="28" t="str">
        <x:v>Таблица сочетания(1).pdf: 8</x:v>
      </x:c>
    </x:row>
  </x:sheetData>
  <x:conditionalFormatting sqref="J2:J404">
    <x:cfRule type="expression" dxfId="3" priority="1">
      <x:formula>J2="Высокая"</x:formula>
    </x:cfRule>
    <x:cfRule type="expression" dxfId="4" priority="2">
      <x:formula>J2="Средняя"</x:formula>
    </x:cfRule>
    <x:cfRule type="expression" dxfId="5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bda45f89db411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31" hidden="0" customWidth="1"/>
    <x:col min="4" max="4" width="29" hidden="0" customWidth="1"/>
    <x:col min="5" max="5" width="39" hidden="0" customWidth="1"/>
    <x:col min="6" max="6" width="68" hidden="0" customWidth="1"/>
    <x:col min="7" max="7" width="55" hidden="0" customWidth="1"/>
    <x:col min="8" max="8" width="55" hidden="0" customWidth="1"/>
    <x:col min="9" max="9" width="49" hidden="0" customWidth="1"/>
    <x:col min="10" max="10" width="22" hidden="0" customWidth="1"/>
    <x:col min="11" max="11" width="40" hidden="0" customWidth="1"/>
    <x:col min="12" max="12" width="48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Подробное 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Практическое 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4" customHeight="1">
      <x:c r="A2" s="28" t="str">
        <x:v>NCT-0042</x:v>
      </x:c>
      <x:c r="B2" s="28" t="str">
        <x:v>белый шоколад</x:v>
      </x:c>
      <x:c r="C2" s="28" t="str">
        <x:v>baechu kimchi</x:v>
      </x:c>
      <x:c r="D2" s="28" t="str">
        <x:v>Ферментированные продукты и соусы</x:v>
      </x:c>
      <x:c r="E2" s="28" t="str">
        <x:v>солёно-умами контраст</x:v>
      </x:c>
      <x:c r="F2" s="28" t="str">
        <x:v>Белый шоколад имеет профиль «сливочный, ванильный, карамельный и маслянистый без выраженного какаового жареного профиля». Партнёр «baechu kimchi» относится к группе «Ферментированные продукты и соусы» и даёт ферментированный, умами и сложный.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2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2" s="28" t="str">
        <x:v>легко становится приторным и восковым; требует точной температуры темперирования</x:v>
      </x:c>
      <x:c r="I2" s="28" t="str">
        <x:v>ганаш, плитка, крем, мусс, напиток, глазурь или соус с baechu kimchi</x:v>
      </x:c>
      <x:c r="J2" s="28" t="str">
        <x:v>Средняя</x:v>
      </x:c>
      <x:c r="K2" s="28" t="str">
        <x:v>The Art &amp; Science of Foodpairing.pdf</x:v>
      </x:c>
      <x:c r="L2" s="28" t="str">
        <x:v>The Art &amp; Science of Foodpairing.pdf: 305</x:v>
      </x:c>
    </x:row>
    <x:row r="3" ht="64" customHeight="1">
      <x:c r="A3" s="28" t="str">
        <x:v>NCT-0043</x:v>
      </x:c>
      <x:c r="B3" s="28" t="str">
        <x:v>белый шоколад</x:v>
      </x:c>
      <x:c r="C3" s="28" t="str">
        <x:v>balsamic vinegar</x:v>
      </x:c>
      <x:c r="D3" s="28" t="str">
        <x:v>Ферментированные продукты и соусы</x:v>
      </x:c>
      <x:c r="E3" s="28" t="str">
        <x:v>солёно-умами контраст</x:v>
      </x:c>
      <x:c r="F3" s="28" t="str">
        <x:v>Белый шоколад имеет профиль «сливочный, ванильный, карамельный и маслянистый без выраженного какаового жареного профиля». Партнёр «balsamic vinegar» относится к группе «Ферментированные продукты и соусы» и даёт ферментированный, умами и сложный.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3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3" s="28" t="str">
        <x:v>легко становится приторным и восковым; требует точной температуры темперирования</x:v>
      </x:c>
      <x:c r="I3" s="28" t="str">
        <x:v>ганаш, плитка, крем, мусс, напиток, глазурь или соус с balsamic vinegar</x:v>
      </x:c>
      <x:c r="J3" s="28" t="str">
        <x:v>Средняя</x:v>
      </x:c>
      <x:c r="K3" s="28" t="str">
        <x:v>The Art &amp; Science of Foodpairing.pdf</x:v>
      </x:c>
      <x:c r="L3" s="28" t="str">
        <x:v>The Art &amp; Science of Foodpairing.pdf: 316</x:v>
      </x:c>
    </x:row>
    <x:row r="4" ht="64" customHeight="1">
      <x:c r="A4" s="28" t="str">
        <x:v>NCT-0044</x:v>
      </x:c>
      <x:c r="B4" s="28" t="str">
        <x:v>белый шоколад</x:v>
      </x:c>
      <x:c r="C4" s="28" t="str">
        <x:v>blue cheese</x:v>
      </x:c>
      <x:c r="D4" s="28" t="str">
        <x:v>Молочные продукты и сыры</x:v>
      </x:c>
      <x:c r="E4" s="28" t="str">
        <x:v>общие ароматические соединения, пересечение ароматических семейств, жировая экстракция и связывание полифенолов белком</x:v>
      </x:c>
      <x:c r="F4" s="28" t="str">
        <x:v>Белый шоколад имеет профиль «сливочный, ванильный, карамельный и маслянистый без выраженного какаового жареного профиля». Партнёр «blue cheese» относится к группе «Молочные продукты и сыры» и даёт молочный, сливочный и ферментированный. Молекулярный мост создают диацетил, лактоны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сливочный; диацетил, лактоны.</x:v>
      </x:c>
      <x:c r="G4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4" s="28" t="str">
        <x:v>легко становится приторным и восковым; требует точной температуры темперирования; жир способен приглушить тонкую ароматику; белок связывает полифенолы</x:v>
      </x:c>
      <x:c r="I4" s="28" t="str">
        <x:v>ганаш, плитка, крем, мусс, напиток, глазурь или соус с blue cheese</x:v>
      </x:c>
      <x:c r="J4" s="28" t="str">
        <x:v>Средняя</x:v>
      </x:c>
      <x:c r="K4" s="28" t="str">
        <x:v>The Art &amp; Science of Foodpairing.pdf</x:v>
      </x:c>
      <x:c r="L4" s="28" t="str">
        <x:v>The Art &amp; Science of Foodpairing.pdf: 164</x:v>
      </x:c>
    </x:row>
    <x:row r="5" ht="64" customHeight="1">
      <x:c r="A5" s="28" t="str">
        <x:v>NCT-0045</x:v>
      </x:c>
      <x:c r="B5" s="28" t="str">
        <x:v>белый шоколад</x:v>
      </x:c>
      <x:c r="C5" s="28" t="str">
        <x:v>chilli peppers</x:v>
      </x:c>
      <x:c r="D5" s="28" t="str">
        <x:v>Специи</x:v>
      </x:c>
      <x:c r="E5" s="28" t="str">
        <x:v>сенсорная комплементарность</x:v>
      </x:c>
      <x:c r="F5" s="28" t="str">
        <x:v>Белый шоколад имеет профиль «сливочный, ванильный, карамельный и маслянистый без выраженного какаового жареного профиля». Партнёр «chilli peppers» относится к группе «Специи» и даёт пряный и древесный.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5" s="28" t="str">
        <x:v>легко становится приторным и восковым; требует точной температуры темперирования</x:v>
      </x:c>
      <x:c r="I5" s="28" t="str">
        <x:v>ганаш, плитка, крем, мусс, напиток, глазурь или соус с chilli peppers</x:v>
      </x:c>
      <x:c r="J5" s="28" t="str">
        <x:v>Средняя</x:v>
      </x:c>
      <x:c r="K5" s="28" t="str">
        <x:v>The Art &amp; Science of Foodpairing.pdf</x:v>
      </x:c>
      <x:c r="L5" s="28" t="str">
        <x:v>The Art &amp; Science of Foodpairing.pdf: 94</x:v>
      </x:c>
    </x:row>
    <x:row r="6" ht="64" customHeight="1">
      <x:c r="A6" s="28" t="str">
        <x:v>NCT-0046</x:v>
      </x:c>
      <x:c r="B6" s="28" t="str">
        <x:v>белый шоколад</x:v>
      </x:c>
      <x:c r="C6" s="28" t="str">
        <x:v>sesame seeds, halva and tahini</x:v>
      </x:c>
      <x:c r="D6" s="28" t="str">
        <x:v>Прочее</x:v>
      </x:c>
      <x:c r="E6" s="28" t="str">
        <x:v>сенсорная комплементарность</x:v>
      </x:c>
      <x:c r="F6" s="28" t="str">
        <x:v>Белый шоколад имеет профиль «сливочный, ванильный, карамельный и маслянистый без выраженного какаового жареного профиля». Партнёр «sesame seeds, halva and tahini»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6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6" s="28" t="str">
        <x:v>легко становится приторным и восковым; требует точной температуры темперирования</x:v>
      </x:c>
      <x:c r="I6" s="28" t="str">
        <x:v>ганаш, плитка, крем, мусс, напиток, глазурь или соус с sesame seeds, halva and tahini</x:v>
      </x:c>
      <x:c r="J6" s="28" t="str">
        <x:v>Средняя</x:v>
      </x:c>
      <x:c r="K6" s="28" t="str">
        <x:v>The Art &amp; Science of Foodpairing.pdf</x:v>
      </x:c>
      <x:c r="L6" s="28" t="str">
        <x:v>The Art &amp; Science of Foodpairing.pdf: 308</x:v>
      </x:c>
    </x:row>
    <x:row r="7" ht="64" customHeight="1">
      <x:c r="A7" s="28" t="str">
        <x:v>NCT-0047</x:v>
      </x:c>
      <x:c r="B7" s="28" t="str">
        <x:v>белый шоколад</x:v>
      </x:c>
      <x:c r="C7" s="28" t="str">
        <x:v>watermelon</x:v>
      </x:c>
      <x:c r="D7" s="28" t="str">
        <x:v>Фрукты и ягоды</x:v>
      </x:c>
      <x:c r="E7" s="28" t="str">
        <x:v>контраст кислоты и жирной/горькой матрицы</x:v>
      </x:c>
      <x:c r="F7" s="28" t="str">
        <x:v>Белый шоколад имеет профиль «сливочный, ванильный, карамельный и маслянистый без выраженного какаового жареного профиля». Партнёр «watermelon»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7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7" s="28" t="str">
        <x:v>легко становится приторным и восковым; требует точной температуры темперирования; избыток кислоты может сделать чай или кофе резкими и разрушить молочную эмульсию</x:v>
      </x:c>
      <x:c r="I7" s="28" t="str">
        <x:v>ганаш, плитка, крем, мусс, напиток, глазурь или соус с watermelon</x:v>
      </x:c>
      <x:c r="J7" s="28" t="str">
        <x:v>Средняя</x:v>
      </x:c>
      <x:c r="K7" s="28" t="str">
        <x:v>The Art &amp; Science of Foodpairing.pdf</x:v>
      </x:c>
      <x:c r="L7" s="28" t="str">
        <x:v>The Art &amp; Science of Foodpairing.pdf: 78</x:v>
      </x:c>
    </x:row>
    <x:row r="8" ht="64" customHeight="1">
      <x:c r="A8" s="28" t="str">
        <x:v>NCT-0048</x:v>
      </x:c>
      <x:c r="B8" s="28" t="str">
        <x:v>белый шоколад</x:v>
      </x:c>
      <x:c r="C8" s="28" t="str">
        <x:v>ананас</x:v>
      </x:c>
      <x:c r="D8" s="28" t="str">
        <x:v>Прочее</x:v>
      </x:c>
      <x:c r="E8" s="28" t="str">
        <x:v>сенсорная комплементарность</x:v>
      </x:c>
      <x:c r="F8" s="28" t="str">
        <x:v>Белый шоколад имеет профиль «сливочный, ванильный, карамельный и маслянистый без выраженного какаового жареного профиля». Партнёр «ананас»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8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8" s="28" t="str">
        <x:v>легко становится приторным и восковым; требует точной температуры темперирования</x:v>
      </x:c>
      <x:c r="I8" s="28" t="str">
        <x:v>ганаш, плитка, крем, мусс, напиток, глазурь или соус с ананас</x:v>
      </x:c>
      <x:c r="J8" s="28" t="str">
        <x:v>Средняя</x:v>
      </x:c>
      <x:c r="K8" s="28" t="str">
        <x:v>Тезариус вкусов (Ники Сегнит)(1).pdf</x:v>
      </x:c>
      <x:c r="L8" s="28" t="str">
        <x:v>Тезариус вкусов (Ники Сегнит)(1).pdf: 702, 923</x:v>
      </x:c>
    </x:row>
    <x:row r="9" ht="64" customHeight="1">
      <x:c r="A9" s="28" t="str">
        <x:v>NCT-0049</x:v>
      </x:c>
      <x:c r="B9" s="28" t="str">
        <x:v>белый шоколад</x:v>
      </x:c>
      <x:c r="C9" s="28" t="str">
        <x:v>банан</x:v>
      </x:c>
      <x:c r="D9" s="28" t="str">
        <x:v>Фрукты и ягоды</x:v>
      </x:c>
      <x:c r="E9" s="28" t="str">
        <x:v>пересечение ароматических семейств, контраст кислоты и жирной/горькой матрицы</x:v>
      </x:c>
      <x:c r="F9" s="28" t="str">
        <x:v>Белый шоколад имеет профиль «сливочный, ванильный, карамельный и маслянистый без выраженного какаового жареного профиля». Партнёр «банан» относится к группе «Фрукты и ягоды» и даёт сливочный, фруктовый. Профили пересекаются в семействах: сливочный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сливочный; механизм не следует сводить к одной общей молекуле.</x:v>
      </x:c>
      <x:c r="G9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9" s="28" t="str">
        <x:v>легко становится приторным и восковым; требует точной температуры темперирования; избыток кислоты может сделать чай или кофе резкими и разрушить молочную эмульсию</x:v>
      </x:c>
      <x:c r="I9" s="28" t="str">
        <x:v>ганаш, плитка, крем, мусс, напиток, глазурь или соус с банан</x:v>
      </x:c>
      <x:c r="J9" s="28" t="str">
        <x:v>Средняя</x:v>
      </x:c>
      <x:c r="K9" s="28" t="str">
        <x:v>The Art &amp; Science of Foodpairing.pdf</x:v>
      </x:c>
      <x:c r="L9" s="28" t="str">
        <x:v>The Art &amp; Science of Foodpairing.pdf: 342</x:v>
      </x:c>
    </x:row>
    <x:row r="10" ht="64" customHeight="1">
      <x:c r="A10" s="28" t="str">
        <x:v>NCT-0050</x:v>
      </x:c>
      <x:c r="B10" s="28" t="str">
        <x:v>белый шоколад</x:v>
      </x:c>
      <x:c r="C10" s="28" t="str">
        <x:v>голубика</x:v>
      </x:c>
      <x:c r="D10" s="28" t="str">
        <x:v>Прочее</x:v>
      </x:c>
      <x:c r="E10" s="28" t="str">
        <x:v>сенсорная комплементарность</x:v>
      </x:c>
      <x:c r="F10" s="28" t="str">
        <x:v>Белый шоколад имеет профиль «сливочный, ванильный, карамельный и маслянистый без выраженного какаового жареного профиля». Партнёр «голубика»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0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10" s="28" t="str">
        <x:v>легко становится приторным и восковым; требует точной температуры темперирования</x:v>
      </x:c>
      <x:c r="I10" s="28" t="str">
        <x:v>ганаш, плитка, крем, мусс, напиток, глазурь или соус с голубика</x:v>
      </x:c>
      <x:c r="J10" s="28" t="str">
        <x:v>Гипотеза / практическая</x:v>
      </x:c>
      <x:c r="K10" s="28" t="str">
        <x:v>Таблица сочетания(1).pdf</x:v>
      </x:c>
      <x:c r="L10" s="28" t="str">
        <x:v>Таблица сочетания(1).pdf: 3</x:v>
      </x:c>
    </x:row>
    <x:row r="11" ht="64" customHeight="1">
      <x:c r="A11" s="28" t="str">
        <x:v>NCT-0051</x:v>
      </x:c>
      <x:c r="B11" s="28" t="str">
        <x:v>белый шоколад</x:v>
      </x:c>
      <x:c r="C11" s="28" t="str">
        <x:v>ежевика</x:v>
      </x:c>
      <x:c r="D11" s="28" t="str">
        <x:v>Прочее</x:v>
      </x:c>
      <x:c r="E11" s="28" t="str">
        <x:v>сенсорная комплементарность</x:v>
      </x:c>
      <x:c r="F11" s="28" t="str">
        <x:v>Белый шоколад имеет профиль «сливочный, ванильный, карамельный и маслянистый без выраженного какаового жареного профиля». Партнёр «ежевика»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1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11" s="28" t="str">
        <x:v>легко становится приторным и восковым; требует точной температуры темперирования</x:v>
      </x:c>
      <x:c r="I11" s="28" t="str">
        <x:v>ганаш, плитка, крем, мусс, напиток, глазурь или соус с ежевика</x:v>
      </x:c>
      <x:c r="J11" s="28" t="str">
        <x:v>Средняя</x:v>
      </x:c>
      <x:c r="K11" s="28" t="str">
        <x:v>Тезариус вкусов (Ники Сегнит)(1).pdf</x:v>
      </x:c>
      <x:c r="L11" s="28" t="str">
        <x:v>Тезариус вкусов (Ники Сегнит)(1).pdf: 880, 923</x:v>
      </x:c>
    </x:row>
    <x:row r="12" ht="64" customHeight="1">
      <x:c r="A12" s="28" t="str">
        <x:v>NCT-0052</x:v>
      </x:c>
      <x:c r="B12" s="28" t="str">
        <x:v>белый шоколад</x:v>
      </x:c>
      <x:c r="C12" s="28" t="str">
        <x:v>кардамон</x:v>
      </x:c>
      <x:c r="D12" s="28" t="str">
        <x:v>Специи</x:v>
      </x:c>
      <x:c r="E12" s="28" t="str">
        <x:v>сенсорная комплементарность</x:v>
      </x:c>
      <x:c r="F12" s="28" t="str">
        <x:v>Белый шоколад имеет профиль «сливочный, ванильный, карамельный и маслянистый без выраженного какаового жареного профиля». Партнёр «кардамон» относится к группе «Специи» и даёт камфорный, цветочный, цитрусовый.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2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12" s="28" t="str">
        <x:v>легко становится приторным и восковым; требует точной температуры темперирования</x:v>
      </x:c>
      <x:c r="I12" s="28" t="str">
        <x:v>ганаш, плитка, крем, мусс, напиток, глазурь или соус с кардамон</x:v>
      </x:c>
      <x:c r="J12" s="28" t="str">
        <x:v>Средняя</x:v>
      </x:c>
      <x:c r="K12" s="28" t="str">
        <x:v>Тезариус вкусов (Ники Сегнит)(1).pdf</x:v>
      </x:c>
      <x:c r="L12" s="28" t="str">
        <x:v>Тезариус вкусов (Ники Сегнит)(1).pdf: 828, 923</x:v>
      </x:c>
    </x:row>
    <x:row r="13" ht="64" customHeight="1">
      <x:c r="A13" s="28" t="str">
        <x:v>NCT-0053</x:v>
      </x:c>
      <x:c r="B13" s="28" t="str">
        <x:v>белый шоколад</x:v>
      </x:c>
      <x:c r="C13" s="28" t="str">
        <x:v>клубника</x:v>
      </x:c>
      <x:c r="D13" s="28" t="str">
        <x:v>Прочее</x:v>
      </x:c>
      <x:c r="E13" s="28" t="str">
        <x:v>пересечение ароматических семейств</x:v>
      </x:c>
      <x:c r="F13" s="28" t="str">
        <x:v>Белый шоколад имеет профиль «сливочный, ванильный, карамельный и маслянистый без выраженного какаового жареного профиля». Партнёр «клубника» относится к группе «Прочее» и даёт зелёный, карамельный, фруктовый. Профили пересекаются в семействах: карамельный Какао-масло медленно высвобождает липофильные ароматы, а сахар и соль изменяют воспринимаемую горечь. Итог: карамельный; механизм не следует сводить к одной общей молекуле.</x:v>
      </x:c>
      <x:c r="G13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13" s="28" t="str">
        <x:v>легко становится приторным и восковым; требует точной температуры темперирования</x:v>
      </x:c>
      <x:c r="I13" s="28" t="str">
        <x:v>ганаш, плитка, крем, мусс, напиток, глазурь или соус с клубника</x:v>
      </x:c>
      <x:c r="J13" s="28" t="str">
        <x:v>Средняя</x:v>
      </x:c>
      <x:c r="K13" s="28" t="str">
        <x:v>Тезариус вкусов (Ники Сегнит)(1).pdf</x:v>
      </x:c>
      <x:c r="L13" s="28" t="str">
        <x:v>Тезариус вкусов (Ники Сегнит)(1).pdf: 693, 923</x:v>
      </x:c>
    </x:row>
    <x:row r="14" ht="64" customHeight="1">
      <x:c r="A14" s="28" t="str">
        <x:v>NCT-0054</x:v>
      </x:c>
      <x:c r="B14" s="28" t="str">
        <x:v>белый шоколад</x:v>
      </x:c>
      <x:c r="C14" s="28" t="str">
        <x:v>клюква</x:v>
      </x:c>
      <x:c r="D14" s="28" t="str">
        <x:v>Прочее</x:v>
      </x:c>
      <x:c r="E14" s="28" t="str">
        <x:v>сенсорная комплементарность</x:v>
      </x:c>
      <x:c r="F14" s="28" t="str">
        <x:v>Белый шоколад имеет профиль «сливочный, ванильный, карамельный и маслянистый без выраженного какаового жареного профиля». Партнёр «клюква»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4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14" s="28" t="str">
        <x:v>легко становится приторным и восковым; требует точной температуры темперирования</x:v>
      </x:c>
      <x:c r="I14" s="28" t="str">
        <x:v>ганаш, плитка, крем, мусс, напиток, глазурь или соус с клюква</x:v>
      </x:c>
      <x:c r="J14" s="28" t="str">
        <x:v>Гипотеза / практическая</x:v>
      </x:c>
      <x:c r="K14" s="28" t="str">
        <x:v>Таблица сочетания(1).pdf</x:v>
      </x:c>
      <x:c r="L14" s="28" t="str">
        <x:v>Таблица сочетания(1).pdf: 6</x:v>
      </x:c>
    </x:row>
    <x:row r="15" ht="64" customHeight="1">
      <x:c r="A15" s="28" t="str">
        <x:v>NCT-0055</x:v>
      </x:c>
      <x:c r="B15" s="28" t="str">
        <x:v>белый шоколад</x:v>
      </x:c>
      <x:c r="C15" s="28" t="str">
        <x:v>кокос</x:v>
      </x:c>
      <x:c r="D15" s="28" t="str">
        <x:v>Прочее</x:v>
      </x:c>
      <x:c r="E15" s="28" t="str">
        <x:v>общие ароматические соединения, пересечение ароматических семейств</x:v>
      </x:c>
      <x:c r="F15" s="28" t="str">
        <x:v>Белый шоколад имеет профиль «сливочный, ванильный, карамельный и маслянистый без выраженного какаового жареного профиля». Партнёр «кокос» относится к группе «Прочее» и даёт лактонный, сливочный. Молекулярный мост создают лактоны Какао-масло медленно высвобождает липофильные ароматы, а сахар и соль изменяют воспринимаемую горечь. Итог: сливочный; лактоны.</x:v>
      </x:c>
      <x:c r="G15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15" s="28" t="str">
        <x:v>легко становится приторным и восковым; требует точной температуры темперирования</x:v>
      </x:c>
      <x:c r="I15" s="28" t="str">
        <x:v>ганаш, плитка, крем, мусс, напиток, глазурь или соус с кокос</x:v>
      </x:c>
      <x:c r="J15" s="28" t="str">
        <x:v>Высокая</x:v>
      </x:c>
      <x:c r="K15" s="28" t="str">
        <x:v>The Art &amp; Science of Foodpairing.pdf | Тезариус вкусов (Ники Сегнит)(1).pdf</x:v>
      </x:c>
      <x:c r="L15" s="28" t="str">
        <x:v>The Art &amp; Science of Foodpairing.pdf: 135; Тезариус вкусов (Ники Сегнит)(1).pdf: 754, 924</x:v>
      </x:c>
    </x:row>
    <x:row r="16" ht="64" customHeight="1">
      <x:c r="A16" s="28" t="str">
        <x:v>NCT-0056</x:v>
      </x:c>
      <x:c r="B16" s="28" t="str">
        <x:v>белый шоколад</x:v>
      </x:c>
      <x:c r="C16" s="28" t="str">
        <x:v>кофе</x:v>
      </x:c>
      <x:c r="D16" s="28" t="str">
        <x:v>Кофе</x:v>
      </x:c>
      <x:c r="E16" s="28" t="str">
        <x:v>общие ароматические соединения, пересечение ароматических семейств, жареная химия и реакции Майяра</x:v>
      </x:c>
      <x:c r="F16" s="28" t="str">
        <x:v>Белый шоколад имеет профиль «сливочный, ванильный, карамельный и маслянистый без выраженного какаового жареного профиля».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диацетил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карамельный; диацетил.</x:v>
      </x:c>
      <x:c r="G16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16" s="28" t="str">
        <x:v>легко становится приторным и восковым; требует точной температуры темперирования</x:v>
      </x:c>
      <x:c r="I16" s="28" t="str">
        <x:v>ганаш, плитка, крем, мусс, напиток, глазурь или соус с кофе</x:v>
      </x:c>
      <x:c r="J16" s="28" t="str">
        <x:v>Высокая</x:v>
      </x:c>
      <x:c r="K16" s="28" t="str">
        <x:v>The Art &amp; Science of Foodpairing.pdf | Тезариус вкусов (Ники Сегнит)(1).pdf</x:v>
      </x:c>
      <x:c r="L16" s="28" t="str">
        <x:v>The Art &amp; Science of Foodpairing.pdf: 297; Тезариус вкусов (Ники Сегнит)(1).pdf: 43, 924</x:v>
      </x:c>
    </x:row>
    <x:row r="17" ht="64" customHeight="1">
      <x:c r="A17" s="28" t="str">
        <x:v>NCT-0057</x:v>
      </x:c>
      <x:c r="B17" s="28" t="str">
        <x:v>белый шоколад</x:v>
      </x:c>
      <x:c r="C17" s="28" t="str">
        <x:v>крыжовник</x:v>
      </x:c>
      <x:c r="D17" s="28" t="str">
        <x:v>Прочее</x:v>
      </x:c>
      <x:c r="E17" s="28" t="str">
        <x:v>сенсорная комплементарность</x:v>
      </x:c>
      <x:c r="F17" s="28" t="str">
        <x:v>Белый шоколад имеет профиль «сливочный, ванильный, карамельный и маслянистый без выраженного какаового жареного профиля». Партнёр «крыжовник»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7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17" s="28" t="str">
        <x:v>легко становится приторным и восковым; требует точной температуры темперирования</x:v>
      </x:c>
      <x:c r="I17" s="28" t="str">
        <x:v>ганаш, плитка, крем, мусс, напиток, глазурь или соус с крыжовник</x:v>
      </x:c>
      <x:c r="J17" s="28" t="str">
        <x:v>Гипотеза / практическая</x:v>
      </x:c>
      <x:c r="K17" s="28" t="str">
        <x:v>Таблица сочетания(1).pdf</x:v>
      </x:c>
      <x:c r="L17" s="28" t="str">
        <x:v>Таблица сочетания(1).pdf: 8</x:v>
      </x:c>
    </x:row>
    <x:row r="18" ht="64" customHeight="1">
      <x:c r="A18" s="28" t="str">
        <x:v>NCT-0058</x:v>
      </x:c>
      <x:c r="B18" s="28" t="str">
        <x:v>белый шоколад</x:v>
      </x:c>
      <x:c r="C18" s="28" t="str">
        <x:v>лимон</x:v>
      </x:c>
      <x:c r="D18" s="28" t="str">
        <x:v>Фрукты и ягоды</x:v>
      </x:c>
      <x:c r="E18" s="28" t="str">
        <x:v>контраст кислоты и жирной/горькой матрицы</x:v>
      </x:c>
      <x:c r="F18" s="28" t="str">
        <x:v>Белый шоколад имеет профиль «сливочный, ванильный, карамельный и маслянистый без выраженного какаового жареного профиля».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8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18" s="28" t="str">
        <x:v>легко становится приторным и восковым; требует точной температуры темперирования; избыток кислоты может сделать чай или кофе резкими и разрушить молочную эмульсию</x:v>
      </x:c>
      <x:c r="I18" s="28" t="str">
        <x:v>ганаш, плитка, крем, мусс, напиток, глазурь или соус с лимон</x:v>
      </x:c>
      <x:c r="J18" s="28" t="str">
        <x:v>Средняя</x:v>
      </x:c>
      <x:c r="K18" s="28" t="str">
        <x:v>Тезариус вкусов (Ники Сегнит)(1).pdf</x:v>
      </x:c>
      <x:c r="L18" s="28" t="str">
        <x:v>Тезариус вкусов (Ники Сегнит)(1).pdf: 801, 924</x:v>
      </x:c>
    </x:row>
    <x:row r="19" ht="64" customHeight="1">
      <x:c r="A19" s="28" t="str">
        <x:v>NCT-0059</x:v>
      </x:c>
      <x:c r="B19" s="28" t="str">
        <x:v>белый шоколад</x:v>
      </x:c>
      <x:c r="C19" s="28" t="str">
        <x:v>малина</x:v>
      </x:c>
      <x:c r="D19" s="28" t="str">
        <x:v>Прочее</x:v>
      </x:c>
      <x:c r="E19" s="28" t="str">
        <x:v>сенсорная комплементарность</x:v>
      </x:c>
      <x:c r="F19" s="28" t="str">
        <x:v>Белый шоколад имеет профиль «сливочный, ванильный, карамельный и маслянистый без выраженного какаового жареного профиля». Партнёр «малина» относится к группе «Прочее» и даёт цветочный, ягодный.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9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19" s="28" t="str">
        <x:v>легко становится приторным и восковым; требует точной температуры темперирования</x:v>
      </x:c>
      <x:c r="I19" s="28" t="str">
        <x:v>ганаш, плитка, крем, мусс, напиток, глазурь или соус с малина</x:v>
      </x:c>
      <x:c r="J19" s="28" t="str">
        <x:v>Средняя</x:v>
      </x:c>
      <x:c r="K19" s="28" t="str">
        <x:v>Тезариус вкусов (Ники Сегнит)(1).pdf</x:v>
      </x:c>
      <x:c r="L19" s="28" t="str">
        <x:v>Тезариус вкусов (Ники Сегнит)(1).pdf: 886, 925</x:v>
      </x:c>
    </x:row>
    <x:row r="20" ht="64" customHeight="1">
      <x:c r="A20" s="28" t="str">
        <x:v>NCT-0060</x:v>
      </x:c>
      <x:c r="B20" s="28" t="str">
        <x:v>белый шоколад</x:v>
      </x:c>
      <x:c r="C20" s="28" t="str">
        <x:v>оливки</x:v>
      </x:c>
      <x:c r="D20" s="28" t="str">
        <x:v>Прочее</x:v>
      </x:c>
      <x:c r="E20" s="28" t="str">
        <x:v>сенсорная комплементарность</x:v>
      </x:c>
      <x:c r="F20" s="28" t="str">
        <x:v>Белый шоколад имеет профиль «сливочный, ванильный, карамельный и маслянистый без выраженного какаового жареного профиля». Партнёр «оливки»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20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20" s="28" t="str">
        <x:v>легко становится приторным и восковым; требует точной температуры темперирования</x:v>
      </x:c>
      <x:c r="I20" s="28" t="str">
        <x:v>ганаш, плитка, крем, мусс, напиток, глазурь или соус с оливки</x:v>
      </x:c>
      <x:c r="J20" s="28" t="str">
        <x:v>Средняя</x:v>
      </x:c>
      <x:c r="K20" s="28" t="str">
        <x:v>Тезариус вкусов (Ники Сегнит)(1).pdf</x:v>
      </x:c>
      <x:c r="L20" s="28" t="str">
        <x:v>Тезариус вкусов (Ники Сегнит)(1).pdf: 464, 926</x:v>
      </x:c>
    </x:row>
    <x:row r="21" ht="64" customHeight="1">
      <x:c r="A21" s="28" t="str">
        <x:v>NCT-0061</x:v>
      </x:c>
      <x:c r="B21" s="28" t="str">
        <x:v>белый шоколад</x:v>
      </x:c>
      <x:c r="C21" s="28" t="str">
        <x:v>пармезан</x:v>
      </x:c>
      <x:c r="D21" s="28" t="str">
        <x:v>Прочее</x:v>
      </x:c>
      <x:c r="E21" s="28" t="str">
        <x:v>сенсорная комплементарность</x:v>
      </x:c>
      <x:c r="F21" s="28" t="str">
        <x:v>Белый шоколад имеет профиль «сливочный, ванильный, карамельный и маслянистый без выраженного какаового жареного профиля». Партнёр «пармезан»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21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21" s="28" t="str">
        <x:v>легко становится приторным и восковым; требует точной температуры темперирования</x:v>
      </x:c>
      <x:c r="I21" s="28" t="str">
        <x:v>ганаш, плитка, крем, мусс, напиток, глазурь или соус с пармезан</x:v>
      </x:c>
      <x:c r="J21" s="28" t="str">
        <x:v>Средняя</x:v>
      </x:c>
      <x:c r="K21" s="28" t="str">
        <x:v>The Art &amp; Science of Foodpairing.pdf</x:v>
      </x:c>
      <x:c r="L21" s="28" t="str">
        <x:v>The Art &amp; Science of Foodpairing.pdf: 282</x:v>
      </x:c>
    </x:row>
    <x:row r="22" ht="64" customHeight="1">
      <x:c r="A22" s="28" t="str">
        <x:v>NCT-0062</x:v>
      </x:c>
      <x:c r="B22" s="28" t="str">
        <x:v>белый шоколад</x:v>
      </x:c>
      <x:c r="C22" s="28" t="str">
        <x:v>перечная мята</x:v>
      </x:c>
      <x:c r="D22" s="28" t="str">
        <x:v>Травы, цветы и листья</x:v>
      </x:c>
      <x:c r="E22" s="28" t="str">
        <x:v>сенсорная комплементарность</x:v>
      </x:c>
      <x:c r="F22" s="28" t="str">
        <x:v>Белый шоколад имеет профиль «сливочный, ванильный, карамельный и маслянистый без выраженного какаового жареного профиля». Партнёр «перечная мята» относится к группе «Травы, цветы и листья» и даёт зелёный, холодящий.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22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22" s="28" t="str">
        <x:v>легко становится приторным и восковым; требует точной температуры темперирования</x:v>
      </x:c>
      <x:c r="I22" s="28" t="str">
        <x:v>ганаш, плитка, крем, мусс, напиток, глазурь или соус с перечная мята</x:v>
      </x:c>
      <x:c r="J22" s="28" t="str">
        <x:v>Высокая</x:v>
      </x:c>
      <x:c r="K22" s="28" t="str">
        <x:v>The Art &amp; Science of Foodpairing.pdf</x:v>
      </x:c>
      <x:c r="L22" s="28" t="str">
        <x:v>The Art &amp; Science of Foodpairing.pdf: 61</x:v>
      </x:c>
    </x:row>
    <x:row r="23" ht="64" customHeight="1">
      <x:c r="A23" s="28" t="str">
        <x:v>NCT-0063</x:v>
      </x:c>
      <x:c r="B23" s="28" t="str">
        <x:v>белый шоколад</x:v>
      </x:c>
      <x:c r="C23" s="28" t="str">
        <x:v>ростки пшеницы</x:v>
      </x:c>
      <x:c r="D23" s="28" t="str">
        <x:v>Прочее</x:v>
      </x:c>
      <x:c r="E23" s="28" t="str">
        <x:v>сенсорная комплементарность</x:v>
      </x:c>
      <x:c r="F23" s="28" t="str">
        <x:v>Белый шоколад имеет профиль «сливочный, ванильный, карамельный и маслянистый без выраженного какаового жареного профиля». Партнёр «ростки пшеницы»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23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23" s="28" t="str">
        <x:v>легко становится приторным и восковым; требует точной температуры темперирования</x:v>
      </x:c>
      <x:c r="I23" s="28" t="str">
        <x:v>ганаш, плитка, крем, мусс, напиток, глазурь или соус с ростки пшеницы</x:v>
      </x:c>
      <x:c r="J23" s="28" t="str">
        <x:v>Высокая</x:v>
      </x:c>
      <x:c r="K23" s="28" t="str">
        <x:v>The Art &amp; Science of Foodpairing.pdf</x:v>
      </x:c>
      <x:c r="L23" s="28" t="str">
        <x:v>The Art &amp; Science of Foodpairing.pdf: 61</x:v>
      </x:c>
    </x:row>
    <x:row r="24" ht="64" customHeight="1">
      <x:c r="A24" s="28" t="str">
        <x:v>NCT-0064</x:v>
      </x:c>
      <x:c r="B24" s="28" t="str">
        <x:v>белый шоколад</x:v>
      </x:c>
      <x:c r="C24" s="28" t="str">
        <x:v>черная икра</x:v>
      </x:c>
      <x:c r="D24" s="28" t="str">
        <x:v>Рыба и морепродукты</x:v>
      </x:c>
      <x:c r="E24" s="28" t="str">
        <x:v>солёно-умами контраст</x:v>
      </x:c>
      <x:c r="F24" s="28" t="str">
        <x:v>Белый шоколад имеет профиль «сливочный, ванильный, карамельный и маслянистый без выраженного какаового жареного профиля». Партнёр «черная икра»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24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24" s="28" t="str">
        <x:v>легко становится приторным и восковым; требует точной температуры темперирования; малейшая прогорклость ореха или шоколада усиливает неприятные рыбные оттенки</x:v>
      </x:c>
      <x:c r="I24" s="28" t="str">
        <x:v>ганаш, плитка, крем, мусс, напиток, глазурь или соус с черная икра</x:v>
      </x:c>
      <x:c r="J24" s="28" t="str">
        <x:v>Средняя</x:v>
      </x:c>
      <x:c r="K24" s="28" t="str">
        <x:v>Тезариус вкусов (Ники Сегнит)(1).pdf</x:v>
      </x:c>
      <x:c r="L24" s="28" t="str">
        <x:v>Тезариус вкусов (Ники Сегнит)(1).pdf: 405, 926</x:v>
      </x:c>
    </x:row>
    <x:row r="25" ht="64" customHeight="1">
      <x:c r="A25" s="28" t="str">
        <x:v>NCT-0065</x:v>
      </x:c>
      <x:c r="B25" s="28" t="str">
        <x:v>белый шоколад</x:v>
      </x:c>
      <x:c r="C25" s="28" t="str">
        <x:v>чёрный чай</x:v>
      </x:c>
      <x:c r="D25" s="28" t="str">
        <x:v>Чай</x:v>
      </x:c>
      <x:c r="E25" s="28" t="str">
        <x:v>сенсорная комплементарность</x:v>
      </x:c>
      <x:c r="F25" s="28" t="str">
        <x:v>Белый шоколад имеет профиль «сливочный, ванильный, карамельный и маслянистый без выраженного какаового жареного профиля». Партнёр «чёрный чай» относится к группе «Чай» и даёт мальтовый, цветочный, фруктовый, древесный и слегка дымный.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25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25" s="28" t="str">
        <x:v>легко становится приторным и восковым; требует точной температуры темперирования</x:v>
      </x:c>
      <x:c r="I25" s="28" t="str">
        <x:v>ганаш, плитка, крем, мусс, напиток, глазурь или соус с чёрный чай</x:v>
      </x:c>
      <x:c r="J25" s="28" t="str">
        <x:v>Высокая</x:v>
      </x:c>
      <x:c r="K25" s="28" t="str">
        <x:v>The Art &amp; Science of Foodpairing.pdf</x:v>
      </x:c>
      <x:c r="L25" s="28" t="str">
        <x:v>The Art &amp; Science of Foodpairing.pdf: 365</x:v>
      </x:c>
    </x:row>
    <x:row r="26" ht="64" customHeight="1">
      <x:c r="A26" s="28" t="str">
        <x:v>NCT-0066</x:v>
      </x:c>
      <x:c r="B26" s="28" t="str">
        <x:v>белый шоколад</x:v>
      </x:c>
      <x:c r="C26" s="28" t="str">
        <x:v>шафран</x:v>
      </x:c>
      <x:c r="D26" s="28" t="str">
        <x:v>Прочее</x:v>
      </x:c>
      <x:c r="E26" s="28" t="str">
        <x:v>сенсорная комплементарность</x:v>
      </x:c>
      <x:c r="F26" s="28" t="str">
        <x:v>Белый шоколад имеет профиль «сливочный, ванильный, карамельный и маслянистый без выраженного какаового жареного профиля». Партнёр «шафран»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26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26" s="28" t="str">
        <x:v>легко становится приторным и восковым; требует точной температуры темперирования</x:v>
      </x:c>
      <x:c r="I26" s="28" t="str">
        <x:v>ганаш, плитка, крем, мусс, напиток, глазурь или соус с шафран</x:v>
      </x:c>
      <x:c r="J26" s="28" t="str">
        <x:v>Средняя</x:v>
      </x:c>
      <x:c r="K26" s="28" t="str">
        <x:v>Тезариус вкусов (Ники Сегнит)(1).pdf</x:v>
      </x:c>
      <x:c r="L26" s="28" t="str">
        <x:v>Тезариус вкусов (Ники Сегнит)(1).pdf: 474, 927</x:v>
      </x:c>
    </x:row>
    <x:row r="27" ht="64" customHeight="1">
      <x:c r="A27" s="28" t="str">
        <x:v>NCT-0067</x:v>
      </x:c>
      <x:c r="B27" s="28" t="str">
        <x:v>белый шоколад</x:v>
      </x:c>
      <x:c r="C27" s="28" t="str">
        <x:v>шоколад темный</x:v>
      </x:c>
      <x:c r="D27" s="28" t="str">
        <x:v>Какао и шоколад</x:v>
      </x:c>
      <x:c r="E27" s="28" t="str">
        <x:v>пересечение ароматических семейств, жареная химия и реакции Майяра</x:v>
      </x:c>
      <x:c r="F27" s="28" t="str">
        <x:v>Белый шоколад имеет профиль «сливочный, ванильный, карамельный и маслянистый без выраженного какаового жареного профиля». Партнёр «шоколад темный» относится к группе «Какао и шоколад» и даёт какаовый, жареный и горько-сладкий. Профили пересекаются в семействах: карамельный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карамельный; механизм не следует сводить к одной общей молекуле.</x:v>
      </x:c>
      <x:c r="G27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27" s="28" t="str">
        <x:v>легко становится приторным и восковым; требует точной температуры темперирования</x:v>
      </x:c>
      <x:c r="I27" s="28" t="str">
        <x:v>ганаш, плитка, крем, мусс, напиток, глазурь или соус с шоколад темный</x:v>
      </x:c>
      <x:c r="J27" s="28" t="str">
        <x:v>Средняя</x:v>
      </x:c>
      <x:c r="K27" s="28" t="str">
        <x:v>Тезариус вкусов (Ники Сегнит)(1).pdf</x:v>
      </x:c>
      <x:c r="L27" s="28" t="str">
        <x:v>Тезариус вкусов (Ники Сегнит)(1).pdf: 27</x:v>
      </x:c>
    </x:row>
    <x:row r="28" ht="64" customHeight="1">
      <x:c r="A28" s="28" t="str">
        <x:v>NCT-0390</x:v>
      </x:c>
      <x:c r="B28" s="28" t="str">
        <x:v>молочный шоколад</x:v>
      </x:c>
      <x:c r="C28" s="28" t="str">
        <x:v>balsamic vinegar</x:v>
      </x:c>
      <x:c r="D28" s="28" t="str">
        <x:v>Ферментированные продукты и соусы</x:v>
      </x:c>
      <x:c r="E28" s="28" t="str">
        <x:v>общие ароматические соединения, солёно-умами контраст</x:v>
      </x:c>
      <x:c r="F28" s="28" t="str">
        <x:v>Молочный шоколад имеет профиль «какаовый, молочный, карамельный и ванильный». Партнёр «balsamic vinegar»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пиразины, фураны.</x:v>
      </x:c>
      <x:c r="G28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28" s="28" t="str">
        <x:v>сладость и жир быстро подавляют кислотные и цветочные продукты</x:v>
      </x:c>
      <x:c r="I28" s="28" t="str">
        <x:v>ганаш, плитка, крем, мусс, напиток, глазурь или соус с balsamic vinegar</x:v>
      </x:c>
      <x:c r="J28" s="28" t="str">
        <x:v>Средняя</x:v>
      </x:c>
      <x:c r="K28" s="28" t="str">
        <x:v>The Art &amp; Science of Foodpairing.pdf</x:v>
      </x:c>
      <x:c r="L28" s="28" t="str">
        <x:v>The Art &amp; Science of Foodpairing.pdf: 316</x:v>
      </x:c>
    </x:row>
    <x:row r="29" ht="64" customHeight="1">
      <x:c r="A29" s="28" t="str">
        <x:v>NCT-0391</x:v>
      </x:c>
      <x:c r="B29" s="28" t="str">
        <x:v>молочный шоколад</x:v>
      </x:c>
      <x:c r="C29" s="28" t="str">
        <x:v>lberico ham</x:v>
      </x:c>
      <x:c r="D29" s="28" t="str">
        <x:v>Мясо и птица</x:v>
      </x:c>
      <x:c r="E29" s="28" t="str">
        <x:v>общие ароматические соединения, жареная химия и реакции Майяра, солёно-умами контраст</x:v>
      </x:c>
      <x:c r="F29" s="28" t="str">
        <x:v>Молочный шоколад имеет профиль «какаовый, молочный, карамельный и ванильный».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пиразины.</x:v>
      </x:c>
      <x:c r="G29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29" s="28" t="str">
        <x:v>сладость и жир быстро подавляют кислотные и цветочные продукты</x:v>
      </x:c>
      <x:c r="I29" s="28" t="str">
        <x:v>ганаш, плитка, крем, мусс, напиток, глазурь или соус с lberico ham</x:v>
      </x:c>
      <x:c r="J29" s="28" t="str">
        <x:v>Средняя</x:v>
      </x:c>
      <x:c r="K29" s="28" t="str">
        <x:v>The Art &amp; Science of Foodpairing.pdf</x:v>
      </x:c>
      <x:c r="L29" s="28" t="str">
        <x:v>The Art &amp; Science of Foodpairing.pdf: 278</x:v>
      </x:c>
    </x:row>
    <x:row r="30" ht="64" customHeight="1">
      <x:c r="A30" s="28" t="str">
        <x:v>NCT-0392</x:v>
      </x:c>
      <x:c r="B30" s="28" t="str">
        <x:v>молочный шоколад</x:v>
      </x:c>
      <x:c r="C30" s="28" t="str">
        <x:v>tomato and tomato puree</x:v>
      </x:c>
      <x:c r="D30" s="28" t="str">
        <x:v>Овощи, бобовые и грибы</x:v>
      </x:c>
      <x:c r="E30" s="28" t="str">
        <x:v>сенсорная комплементарность</x:v>
      </x:c>
      <x:c r="F30" s="28" t="str">
        <x:v>Молочный шоколад имеет профиль «какаовый, молочный, карамельный и ванильный». Партнёр «tomato and tomato puree» относится к группе «Овощи, бобовые и грибы» и даёт зелёный, землистый или умами.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30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30" s="28" t="str">
        <x:v>сладость и жир быстро подавляют кислотные и цветочные продукты</x:v>
      </x:c>
      <x:c r="I30" s="28" t="str">
        <x:v>ганаш, плитка, крем, мусс, напиток, глазурь или соус с tomato and tomato puree</x:v>
      </x:c>
      <x:c r="J30" s="28" t="str">
        <x:v>Средняя</x:v>
      </x:c>
      <x:c r="K30" s="28" t="str">
        <x:v>The Art &amp; Science of Foodpairing.pdf</x:v>
      </x:c>
      <x:c r="L30" s="28" t="str">
        <x:v>The Art &amp; Science of Foodpairing.pdf: 161</x:v>
      </x:c>
    </x:row>
    <x:row r="31" ht="64" customHeight="1">
      <x:c r="A31" s="28" t="str">
        <x:v>NCT-0393</x:v>
      </x:c>
      <x:c r="B31" s="28" t="str">
        <x:v>молочный шоколад</x:v>
      </x:c>
      <x:c r="C31" s="28" t="str">
        <x:v>кардамон</x:v>
      </x:c>
      <x:c r="D31" s="28" t="str">
        <x:v>Специи</x:v>
      </x:c>
      <x:c r="E31" s="28" t="str">
        <x:v>сенсорная комплементарность</x:v>
      </x:c>
      <x:c r="F31" s="28" t="str">
        <x:v>Молочный шоколад имеет профиль «какаовый, молочный, карамельный и ванильный». Партнёр «кардамон» относится к группе «Специи» и даёт камфорный, цветочный, цитрусовый.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31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31" s="28" t="str">
        <x:v>сладость и жир быстро подавляют кислотные и цветочные продукты</x:v>
      </x:c>
      <x:c r="I31" s="28" t="str">
        <x:v>ганаш, плитка, крем, мусс, напиток, глазурь или соус с кардамон</x:v>
      </x:c>
      <x:c r="J31" s="28" t="str">
        <x:v>Средняя</x:v>
      </x:c>
      <x:c r="K31" s="28" t="str">
        <x:v>The Art &amp; Science of Foodpairing.pdf</x:v>
      </x:c>
      <x:c r="L31" s="28" t="str">
        <x:v>The Art &amp; Science of Foodpairing.pdf: 256</x:v>
      </x:c>
    </x:row>
    <x:row r="32" ht="64" customHeight="1">
      <x:c r="A32" s="28" t="str">
        <x:v>NCT-0394</x:v>
      </x:c>
      <x:c r="B32" s="28" t="str">
        <x:v>молочный шоколад</x:v>
      </x:c>
      <x:c r="C32" s="28" t="str">
        <x:v>клубника</x:v>
      </x:c>
      <x:c r="D32" s="28" t="str">
        <x:v>Прочее</x:v>
      </x:c>
      <x:c r="E32" s="28" t="str">
        <x:v>пересечение ароматических семейств</x:v>
      </x:c>
      <x:c r="F32" s="28" t="str">
        <x:v>Молочный шоколад имеет профиль «какаовый, молочный, карамельный и ванильный». Партнёр «клубника» относится к группе «Прочее» и даёт зелёный, карамельный, фруктовый. Профили пересекаются в семействах: карамельный Какао-масло медленно высвобождает липофильные ароматы, а сахар и соль изменяют воспринимаемую горечь. Итог: карамельный; механизм не следует сводить к одной общей молекуле.</x:v>
      </x:c>
      <x:c r="G32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32" s="28" t="str">
        <x:v>сладость и жир быстро подавляют кислотные и цветочные продукты</x:v>
      </x:c>
      <x:c r="I32" s="28" t="str">
        <x:v>ганаш, плитка, крем, мусс, напиток, глазурь или соус с клубника</x:v>
      </x:c>
      <x:c r="J32" s="28" t="str">
        <x:v>Высокая</x:v>
      </x:c>
      <x:c r="K32" s="28" t="str">
        <x:v>The Art &amp; Science of Foodpairing.pdf</x:v>
      </x:c>
      <x:c r="L32" s="28" t="str">
        <x:v>The Art &amp; Science of Foodpairing.pdf: 60</x:v>
      </x:c>
    </x:row>
    <x:row r="33" ht="64" customHeight="1">
      <x:c r="A33" s="28" t="str">
        <x:v>NCT-0395</x:v>
      </x:c>
      <x:c r="B33" s="28" t="str">
        <x:v>молочный шоколад</x:v>
      </x:c>
      <x:c r="C33" s="28" t="str">
        <x:v>маниок</x:v>
      </x:c>
      <x:c r="D33" s="28" t="str">
        <x:v>Прочее</x:v>
      </x:c>
      <x:c r="E33" s="28" t="str">
        <x:v>сенсорная комплементарность</x:v>
      </x:c>
      <x:c r="F33" s="28" t="str">
        <x:v>Молочный шоколад имеет профиль «какаовый, молочный, карамельный и ванильный». Партнёр «маниок»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33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33" s="28" t="str">
        <x:v>сладость и жир быстро подавляют кислотные и цветочные продукты</x:v>
      </x:c>
      <x:c r="I33" s="28" t="str">
        <x:v>ганаш, плитка, крем, мусс, напиток, глазурь или соус с маниок</x:v>
      </x:c>
      <x:c r="J33" s="28" t="str">
        <x:v>Средняя</x:v>
      </x:c>
      <x:c r="K33" s="28" t="str">
        <x:v>The Art &amp; Science of Foodpairing.pdf</x:v>
      </x:c>
      <x:c r="L33" s="28" t="str">
        <x:v>The Art &amp; Science of Foodpairing.pdf: 251</x:v>
      </x:c>
    </x:row>
    <x:row r="34" ht="64" customHeight="1">
      <x:c r="A34" s="28" t="str">
        <x:v>NCT-0396</x:v>
      </x:c>
      <x:c r="B34" s="28" t="str">
        <x:v>молочный шоколад</x:v>
      </x:c>
      <x:c r="C34" s="28" t="str">
        <x:v>оливковое масло</x:v>
      </x:c>
      <x:c r="D34" s="28" t="str">
        <x:v>Масла и жиры</x:v>
      </x:c>
      <x:c r="E34" s="28" t="str">
        <x:v>общие ароматические соединения</x:v>
      </x:c>
      <x:c r="F34" s="28" t="str">
        <x:v>Молочный шоколад имеет профиль «какаовый, молочный, карамельный и ванильный». Партнёр «оливковое масло» относится к группе «Масла и жиры» и даёт жирный и мягкий. Молекулярный мост создают лактоны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лактоны.</x:v>
      </x:c>
      <x:c r="G34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34" s="28" t="str">
        <x:v>сладость и жир быстро подавляют кислотные и цветочные продукты</x:v>
      </x:c>
      <x:c r="I34" s="28" t="str">
        <x:v>ганаш, плитка, крем, мусс, напиток, глазурь или соус с оливковое масло</x:v>
      </x:c>
      <x:c r="J34" s="28" t="str">
        <x:v>Средняя</x:v>
      </x:c>
      <x:c r="K34" s="28" t="str">
        <x:v>The Art &amp; Science of Foodpairing.pdf</x:v>
      </x:c>
      <x:c r="L34" s="28" t="str">
        <x:v>The Art &amp; Science of Foodpairing.pdf: 172</x:v>
      </x:c>
    </x:row>
    <x:row r="35" ht="64" customHeight="1">
      <x:c r="A35" s="28" t="str">
        <x:v>NCT-0397</x:v>
      </x:c>
      <x:c r="B35" s="28" t="str">
        <x:v>молочный шоколад</x:v>
      </x:c>
      <x:c r="C35" s="28" t="str">
        <x:v>чоризо</x:v>
      </x:c>
      <x:c r="D35" s="28" t="str">
        <x:v>Прочее</x:v>
      </x:c>
      <x:c r="E35" s="28" t="str">
        <x:v>сенсорная комплементарность</x:v>
      </x:c>
      <x:c r="F35" s="28" t="str">
        <x:v>Молочный шоколад имеет профиль «какаовый, молочный, карамельный и ванильный». Партнёр «чоризо»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35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35" s="28" t="str">
        <x:v>сладость и жир быстро подавляют кислотные и цветочные продукты</x:v>
      </x:c>
      <x:c r="I35" s="28" t="str">
        <x:v>ганаш, плитка, крем, мусс, напиток, глазурь или соус с чоризо</x:v>
      </x:c>
      <x:c r="J35" s="28" t="str">
        <x:v>Средняя</x:v>
      </x:c>
      <x:c r="K35" s="28" t="str">
        <x:v>The Art &amp; Science of Foodpairing.pdf</x:v>
      </x:c>
      <x:c r="L35" s="28" t="str">
        <x:v>The Art &amp; Science of Foodpairing.pdf: 288</x:v>
      </x:c>
    </x:row>
    <x:row r="36" ht="64" customHeight="1">
      <x:c r="A36" s="28" t="str">
        <x:v>NCT-0569</x:v>
      </x:c>
      <x:c r="B36" s="28" t="str">
        <x:v>шоколад</x:v>
      </x:c>
      <x:c r="C36" s="28" t="str">
        <x:v>arbequina extra-virgin olive oil</x:v>
      </x:c>
      <x:c r="D36" s="28" t="str">
        <x:v>Масла и жиры</x:v>
      </x:c>
      <x:c r="E36" s="28" t="str">
        <x:v>общие ароматические соединения, пересечение ароматических семейств</x:v>
      </x:c>
      <x:c r="F3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«arbequina extra-virgin olive oil» относится к группе «Масла и жиры» и даёт жирный и мягкий. Молекулярный мост создают альдегиды Какао-масло медленно высвобождает липофильные ароматы, а сахар и соль изменяют воспринимаемую горечь. Итог: фруктовый; альдегиды.</x:v>
      </x:c>
      <x:c r="G3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36" s="28" t="str">
        <x:v>горечь и терпкость способны подавлять нежные продукты; содержит стимуляторы; аллергенные добавки возможны</x:v>
      </x:c>
      <x:c r="I36" s="28" t="str">
        <x:v>ганаш, плитка, крем, мусс, напиток, глазурь или соус с arbequina extra-virgin olive oil</x:v>
      </x:c>
      <x:c r="J36" s="28" t="str">
        <x:v>Средняя</x:v>
      </x:c>
      <x:c r="K36" s="28" t="str">
        <x:v>The Art &amp; Science of Foodpairing.pdf</x:v>
      </x:c>
      <x:c r="L36" s="28" t="str">
        <x:v>The Art &amp; Science of Foodpairing.pdf: 62</x:v>
      </x:c>
    </x:row>
    <x:row r="37" ht="64" customHeight="1">
      <x:c r="A37" s="28" t="str">
        <x:v>NCT-0570</x:v>
      </x:c>
      <x:c r="B37" s="28" t="str">
        <x:v>шоколад</x:v>
      </x:c>
      <x:c r="C37" s="28" t="str">
        <x:v>bacon</x:v>
      </x:c>
      <x:c r="D37" s="28" t="str">
        <x:v>Мясо и птица</x:v>
      </x:c>
      <x:c r="E37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«bacon»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3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37" s="28" t="str">
        <x:v>горечь и терпкость способны подавлять нежные продукты; содержит стимуляторы; аллергенные добавки возможны</x:v>
      </x:c>
      <x:c r="I37" s="28" t="str">
        <x:v>ганаш, плитка, крем, мусс, напиток, глазурь или соус с bacon</x:v>
      </x:c>
      <x:c r="J37" s="28" t="str">
        <x:v>Высокая</x:v>
      </x:c>
      <x:c r="K37" s="28" t="str">
        <x:v>The Art &amp; Science of Foodpairing.pdf</x:v>
      </x:c>
      <x:c r="L37" s="28" t="str">
        <x:v>The Art &amp; Science of Foodpairing.pdf: 184</x:v>
      </x:c>
    </x:row>
    <x:row r="38" ht="64" customHeight="1">
      <x:c r="A38" s="28" t="str">
        <x:v>NCT-0571</x:v>
      </x:c>
      <x:c r="B38" s="28" t="str">
        <x:v>шоколад</x:v>
      </x:c>
      <x:c r="C38" s="28" t="str">
        <x:v>baechu kimchi</x:v>
      </x:c>
      <x:c r="D38" s="28" t="str">
        <x:v>Ферментированные продукты и соусы</x:v>
      </x:c>
      <x:c r="E38" s="28" t="str">
        <x:v>общие ароматические соединения, пересечение ароматических семейств, солёно-умами контраст</x:v>
      </x:c>
      <x:c r="F3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«baechu kimchi» относится к группе «Ферментированные продукты и соусы» и даёт ферментированный, умами и сложный. Молекулярный мост создают пиразины, фураны, эфиры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пиразины, фураны, эфиры.</x:v>
      </x:c>
      <x:c r="G3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38" s="28" t="str">
        <x:v>горечь и терпкость способны подавлять нежные продукты; содержит стимуляторы; аллергенные добавки возможны</x:v>
      </x:c>
      <x:c r="I38" s="28" t="str">
        <x:v>ганаш, плитка, крем, мусс, напиток, глазурь или соус с baechu kimchi</x:v>
      </x:c>
      <x:c r="J38" s="28" t="str">
        <x:v>Средняя</x:v>
      </x:c>
      <x:c r="K38" s="28" t="str">
        <x:v>The Art &amp; Science of Foodpairing.pdf</x:v>
      </x:c>
      <x:c r="L38" s="28" t="str">
        <x:v>The Art &amp; Science of Foodpairing.pdf: 305</x:v>
      </x:c>
    </x:row>
    <x:row r="39" ht="64" customHeight="1">
      <x:c r="A39" s="28" t="str">
        <x:v>NCT-0572</x:v>
      </x:c>
      <x:c r="B39" s="28" t="str">
        <x:v>шоколад</x:v>
      </x:c>
      <x:c r="C39" s="28" t="str">
        <x:v>bayonne ham</x:v>
      </x:c>
      <x:c r="D39" s="28" t="str">
        <x:v>Мясо и птица</x:v>
      </x:c>
      <x:c r="E39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«bayonne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3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39" s="28" t="str">
        <x:v>горечь и терпкость способны подавлять нежные продукты; содержит стимуляторы; аллергенные добавки возможны</x:v>
      </x:c>
      <x:c r="I39" s="28" t="str">
        <x:v>ганаш, плитка, крем, мусс, напиток, глазурь или соус с bayonne ham</x:v>
      </x:c>
      <x:c r="J39" s="28" t="str">
        <x:v>Средняя</x:v>
      </x:c>
      <x:c r="K39" s="28" t="str">
        <x:v>The Art &amp; Science of Foodpairing.pdf</x:v>
      </x:c>
      <x:c r="L39" s="28" t="str">
        <x:v>The Art &amp; Science of Foodpairing.pdf: 62</x:v>
      </x:c>
    </x:row>
    <x:row r="40" ht="64" customHeight="1">
      <x:c r="A40" s="28" t="str">
        <x:v>NCT-0573</x:v>
      </x:c>
      <x:c r="B40" s="28" t="str">
        <x:v>шоколад</x:v>
      </x:c>
      <x:c r="C40" s="28" t="str">
        <x:v>black garlic</x:v>
      </x:c>
      <x:c r="D40" s="28" t="str">
        <x:v>Овощи, бобовые и грибы</x:v>
      </x:c>
      <x:c r="E40" s="28" t="str">
        <x:v>общие ароматические соединения</x:v>
      </x:c>
      <x:c r="F4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«black garlic»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4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0" s="28" t="str">
        <x:v>горечь и терпкость способны подавлять нежные продукты; содержит стимуляторы; аллергенные добавки возможны</x:v>
      </x:c>
      <x:c r="I40" s="28" t="str">
        <x:v>ганаш, плитка, крем, мусс, напиток, глазурь или соус с black garlic</x:v>
      </x:c>
      <x:c r="J40" s="28" t="str">
        <x:v>Высокая</x:v>
      </x:c>
      <x:c r="K40" s="28" t="str">
        <x:v>The Art &amp; Science of Foodpairing.pdf</x:v>
      </x:c>
      <x:c r="L40" s="28" t="str">
        <x:v>The Art &amp; Science of Foodpairing.pdf: 113</x:v>
      </x:c>
    </x:row>
    <x:row r="41" ht="64" customHeight="1">
      <x:c r="A41" s="28" t="str">
        <x:v>NCT-0574</x:v>
      </x:c>
      <x:c r="B41" s="28" t="str">
        <x:v>шоколад</x:v>
      </x:c>
      <x:c r="C41" s="28" t="str">
        <x:v>blue cheese</x:v>
      </x:c>
      <x:c r="D41" s="28" t="str">
        <x:v>Молочные продукты и сыры</x:v>
      </x:c>
      <x:c r="E41" s="28" t="str">
        <x:v>жировая экстракция и связывание полифенолов белком</x:v>
      </x:c>
      <x:c r="F4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«blue cheese»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4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1" s="28" t="str">
        <x:v>горечь и терпкость способны подавлять нежные продукты; содержит стимуляторы; аллергенные добавки возможны; жир способен приглушить тонкую ароматику; белок связывает полифенолы</x:v>
      </x:c>
      <x:c r="I41" s="28" t="str">
        <x:v>ганаш, плитка, крем, мусс, напиток, глазурь или соус с blue cheese</x:v>
      </x:c>
      <x:c r="J41" s="28" t="str">
        <x:v>Средняя</x:v>
      </x:c>
      <x:c r="K41" s="28" t="str">
        <x:v>The Art &amp; Science of Foodpairing.pdf</x:v>
      </x:c>
      <x:c r="L41" s="28" t="str">
        <x:v>The Art &amp; Science of Foodpairing.pdf: 62, 164</x:v>
      </x:c>
    </x:row>
    <x:row r="42" ht="64" customHeight="1">
      <x:c r="A42" s="28" t="str">
        <x:v>NCT-0575</x:v>
      </x:c>
      <x:c r="B42" s="28" t="str">
        <x:v>шоколад</x:v>
      </x:c>
      <x:c r="C42" s="28" t="str">
        <x:v>boiled potato</x:v>
      </x:c>
      <x:c r="D42" s="28" t="str">
        <x:v>Овощи, бобовые и грибы</x:v>
      </x:c>
      <x:c r="E42" s="28" t="str">
        <x:v>общие ароматические соединения</x:v>
      </x:c>
      <x:c r="F4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«boiled potato»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4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2" s="28" t="str">
        <x:v>горечь и терпкость способны подавлять нежные продукты; содержит стимуляторы; аллергенные добавки возможны</x:v>
      </x:c>
      <x:c r="I42" s="28" t="str">
        <x:v>ганаш, плитка, крем, мусс, напиток, глазурь или соус с boiled potato</x:v>
      </x:c>
      <x:c r="J42" s="28" t="str">
        <x:v>Средняя</x:v>
      </x:c>
      <x:c r="K42" s="28" t="str">
        <x:v>The Art &amp; Science of Foodpairing.pdf</x:v>
      </x:c>
      <x:c r="L42" s="28" t="str">
        <x:v>The Art &amp; Science of Foodpairing.pdf: 62</x:v>
      </x:c>
    </x:row>
    <x:row r="43" ht="64" customHeight="1">
      <x:c r="A43" s="28" t="str">
        <x:v>NCT-0576</x:v>
      </x:c>
      <x:c r="B43" s="28" t="str">
        <x:v>шоколад</x:v>
      </x:c>
      <x:c r="C43" s="28" t="str">
        <x:v>boiledlobster</x:v>
      </x:c>
      <x:c r="D43" s="28" t="str">
        <x:v>Рыба и морепродукты</x:v>
      </x:c>
      <x:c r="E43" s="28" t="str">
        <x:v>общие ароматические соединения, солёно-умами контраст</x:v>
      </x:c>
      <x:c r="F4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«boiledlobster»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4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3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43" s="28" t="str">
        <x:v>ганаш, плитка, крем, мусс, напиток, глазурь или соус с boiledlobster</x:v>
      </x:c>
      <x:c r="J43" s="28" t="str">
        <x:v>Средняя</x:v>
      </x:c>
      <x:c r="K43" s="28" t="str">
        <x:v>The Art &amp; Science of Foodpairing.pdf</x:v>
      </x:c>
      <x:c r="L43" s="28" t="str">
        <x:v>The Art &amp; Science of Foodpairing.pdf: 62</x:v>
      </x:c>
    </x:row>
    <x:row r="44" ht="64" customHeight="1">
      <x:c r="A44" s="28" t="str">
        <x:v>NCT-0577</x:v>
      </x:c>
      <x:c r="B44" s="28" t="str">
        <x:v>шоколад</x:v>
      </x:c>
      <x:c r="C44" s="28" t="str">
        <x:v>brie and camembert</x:v>
      </x:c>
      <x:c r="D44" s="28" t="str">
        <x:v>Молочные продукты и сыры</x:v>
      </x:c>
      <x:c r="E44" s="28" t="str">
        <x:v>жировая экстракция и связывание полифенолов белком</x:v>
      </x:c>
      <x:c r="F4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«brie and camembert»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4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4" s="28" t="str">
        <x:v>горечь и терпкость способны подавлять нежные продукты; содержит стимуляторы; аллергенные добавки возможны; жир способен приглушить тонкую ароматику; белок связывает полифенолы</x:v>
      </x:c>
      <x:c r="I44" s="28" t="str">
        <x:v>ганаш, плитка, крем, мусс, напиток, глазурь или соус с brie and camembert</x:v>
      </x:c>
      <x:c r="J44" s="28" t="str">
        <x:v>Средняя</x:v>
      </x:c>
      <x:c r="K44" s="28" t="str">
        <x:v>The Art &amp; Science of Foodpairing.pdf</x:v>
      </x:c>
      <x:c r="L44" s="28" t="str">
        <x:v>The Art &amp; Science of Foodpairing.pdf: 336</x:v>
      </x:c>
    </x:row>
    <x:row r="45" ht="64" customHeight="1">
      <x:c r="A45" s="28" t="str">
        <x:v>NCT-0578</x:v>
      </x:c>
      <x:c r="B45" s="28" t="str">
        <x:v>шоколад</x:v>
      </x:c>
      <x:c r="C45" s="28" t="str">
        <x:v>buffalo mozzarella</x:v>
      </x:c>
      <x:c r="D45" s="28" t="str">
        <x:v>Молочные продукты и сыры</x:v>
      </x:c>
      <x:c r="E45" s="28" t="str">
        <x:v>жировая экстракция и связывание полифенолов белком</x:v>
      </x:c>
      <x:c r="F4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«buffalo mozzarella»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4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5" s="28" t="str">
        <x:v>горечь и терпкость способны подавлять нежные продукты; содержит стимуляторы; аллергенные добавки возможны; жир способен приглушить тонкую ароматику; белок связывает полифенолы</x:v>
      </x:c>
      <x:c r="I45" s="28" t="str">
        <x:v>ганаш, плитка, крем, мусс, напиток, глазурь или соус с buffalo mozzarella</x:v>
      </x:c>
      <x:c r="J45" s="28" t="str">
        <x:v>Средняя</x:v>
      </x:c>
      <x:c r="K45" s="28" t="str">
        <x:v>The Art &amp; Science of Foodpairing.pdf</x:v>
      </x:c>
      <x:c r="L45" s="28" t="str">
        <x:v>The Art &amp; Science of Foodpairing.pdf: 62</x:v>
      </x:c>
    </x:row>
    <x:row r="46" ht="64" customHeight="1">
      <x:c r="A46" s="28" t="str">
        <x:v>NCT-0579</x:v>
      </x:c>
      <x:c r="B46" s="28" t="str">
        <x:v>шоколад</x:v>
      </x:c>
      <x:c r="C46" s="28" t="str">
        <x:v>camembert</x:v>
      </x:c>
      <x:c r="D46" s="28" t="str">
        <x:v>Молочные продукты и сыры</x:v>
      </x:c>
      <x:c r="E46" s="28" t="str">
        <x:v>жировая экстракция и связывание полифенолов белком</x:v>
      </x:c>
      <x:c r="F4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«camembert»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4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6" s="28" t="str">
        <x:v>горечь и терпкость способны подавлять нежные продукты; содержит стимуляторы; аллергенные добавки возможны; жир способен приглушить тонкую ароматику; белок связывает полифенолы</x:v>
      </x:c>
      <x:c r="I46" s="28" t="str">
        <x:v>ганаш, плитка, крем, мусс, напиток, глазурь или соус с camembert</x:v>
      </x:c>
      <x:c r="J46" s="28" t="str">
        <x:v>Средняя</x:v>
      </x:c>
      <x:c r="K46" s="28" t="str">
        <x:v>The Art &amp; Science of Foodpairing.pdf</x:v>
      </x:c>
      <x:c r="L46" s="28" t="str">
        <x:v>The Art &amp; Science of Foodpairing.pdf: 62</x:v>
      </x:c>
    </x:row>
    <x:row r="47" ht="64" customHeight="1">
      <x:c r="A47" s="28" t="str">
        <x:v>NCT-0580</x:v>
      </x:c>
      <x:c r="B47" s="28" t="str">
        <x:v>шоколад</x:v>
      </x:c>
      <x:c r="C47" s="28" t="str">
        <x:v>carrot</x:v>
      </x:c>
      <x:c r="D47" s="28" t="str">
        <x:v>Овощи, бобовые и грибы</x:v>
      </x:c>
      <x:c r="E47" s="28" t="str">
        <x:v>общие ароматические соединения</x:v>
      </x:c>
      <x:c r="F4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«carrot»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4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7" s="28" t="str">
        <x:v>горечь и терпкость способны подавлять нежные продукты; содержит стимуляторы; аллергенные добавки возможны</x:v>
      </x:c>
      <x:c r="I47" s="28" t="str">
        <x:v>ганаш, плитка, крем, мусс, напиток, глазурь или соус с carrot</x:v>
      </x:c>
      <x:c r="J47" s="28" t="str">
        <x:v>Средняя</x:v>
      </x:c>
      <x:c r="K47" s="28" t="str">
        <x:v>The Art &amp; Science of Foodpairing.pdf</x:v>
      </x:c>
      <x:c r="L47" s="28" t="str">
        <x:v>The Art &amp; Science of Foodpairing.pdf: 232</x:v>
      </x:c>
    </x:row>
    <x:row r="48" ht="64" customHeight="1">
      <x:c r="A48" s="28" t="str">
        <x:v>NCT-0581</x:v>
      </x:c>
      <x:c r="B48" s="28" t="str">
        <x:v>шоколад</x:v>
      </x:c>
      <x:c r="C48" s="28" t="str">
        <x:v>chilli peppers</x:v>
      </x:c>
      <x:c r="D48" s="28" t="str">
        <x:v>Специи</x:v>
      </x:c>
      <x:c r="E48" s="28" t="str">
        <x:v>пересечение ароматических семейств</x:v>
      </x:c>
      <x:c r="F4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«chilli peppers» относится к группе «Специи» и даёт пряный и древесный.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G4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8" s="28" t="str">
        <x:v>горечь и терпкость способны подавлять нежные продукты; содержит стимуляторы; аллергенные добавки возможны</x:v>
      </x:c>
      <x:c r="I48" s="28" t="str">
        <x:v>ганаш, плитка, крем, мусс, напиток, глазурь или соус с chilli peppers</x:v>
      </x:c>
      <x:c r="J48" s="28" t="str">
        <x:v>Средняя</x:v>
      </x:c>
      <x:c r="K48" s="28" t="str">
        <x:v>The Art &amp; Science of Foodpairing.pdf</x:v>
      </x:c>
      <x:c r="L48" s="28" t="str">
        <x:v>The Art &amp; Science of Foodpairing.pdf: 94</x:v>
      </x:c>
    </x:row>
    <x:row r="49" ht="64" customHeight="1">
      <x:c r="A49" s="28" t="str">
        <x:v>NCT-0582</x:v>
      </x:c>
      <x:c r="B49" s="28" t="str">
        <x:v>шоколад</x:v>
      </x:c>
      <x:c r="C49" s="28" t="str">
        <x:v>darkchocolate</x:v>
      </x:c>
      <x:c r="D49" s="28" t="str">
        <x:v>Какао и шоколад</x:v>
      </x:c>
      <x:c r="E49" s="28" t="str">
        <x:v>общие ароматические соединения, пересечение ароматических семейств, жареная химия и реакции Майяра</x:v>
      </x:c>
      <x:c r="F4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«darkchocolate» относится к группе «Какао и шоколад» и даёт какаовый, жареный и горько-сладкий.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жареный, какаовый; альдегиды, пиразины, фураны.</x:v>
      </x:c>
      <x:c r="G4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9" s="28" t="str">
        <x:v>горечь и терпкость способны подавлять нежные продукты; содержит стимуляторы; аллергенные добавки возможны</x:v>
      </x:c>
      <x:c r="I49" s="28" t="str">
        <x:v>ганаш, плитка, крем, мусс, напиток, глазурь или соус с darkchocolate</x:v>
      </x:c>
      <x:c r="J49" s="28" t="str">
        <x:v>Средняя</x:v>
      </x:c>
      <x:c r="K49" s="28" t="str">
        <x:v>The Art &amp; Science of Foodpairing.pdf</x:v>
      </x:c>
      <x:c r="L49" s="28" t="str">
        <x:v>The Art &amp; Science of Foodpairing.pdf: 62</x:v>
      </x:c>
    </x:row>
    <x:row r="50" ht="64" customHeight="1">
      <x:c r="A50" s="28" t="str">
        <x:v>NCT-0583</x:v>
      </x:c>
      <x:c r="B50" s="28" t="str">
        <x:v>шоколад</x:v>
      </x:c>
      <x:c r="C50" s="28" t="str">
        <x:v>dry-aged beef</x:v>
      </x:c>
      <x:c r="D50" s="28" t="str">
        <x:v>Мясо и птица</x:v>
      </x:c>
      <x:c r="E5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«dry-aged 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5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0" s="28" t="str">
        <x:v>горечь и терпкость способны подавлять нежные продукты; содержит стимуляторы; аллергенные добавки возможны</x:v>
      </x:c>
      <x:c r="I50" s="28" t="str">
        <x:v>ганаш, плитка, крем, мусс, напиток, глазурь или соус с dry-aged beef</x:v>
      </x:c>
      <x:c r="J50" s="28" t="str">
        <x:v>Средняя</x:v>
      </x:c>
      <x:c r="K50" s="28" t="str">
        <x:v>The Art &amp; Science of Foodpairing.pdf</x:v>
      </x:c>
      <x:c r="L50" s="28" t="str">
        <x:v>The Art &amp; Science of Foodpairing.pdf: 62</x:v>
      </x:c>
    </x:row>
    <x:row r="51" ht="64" customHeight="1">
      <x:c r="A51" s="28" t="str">
        <x:v>NCT-0584</x:v>
      </x:c>
      <x:c r="B51" s="28" t="str">
        <x:v>шоколад</x:v>
      </x:c>
      <x:c r="C51" s="28" t="str">
        <x:v>features an eel-flavoured ganache with green herbs</x:v>
      </x:c>
      <x:c r="D51" s="28" t="str">
        <x:v>Травы, цветы и листья</x:v>
      </x:c>
      <x:c r="E51" s="28" t="str">
        <x:v>сенсорная комплементарность</x:v>
      </x:c>
      <x:c r="F5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«features an eel-flavoured ganache with green herbs»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1" s="28" t="str">
        <x:v>горечь и терпкость способны подавлять нежные продукты; содержит стимуляторы; аллергенные добавки возможны</x:v>
      </x:c>
      <x:c r="I51" s="28" t="str">
        <x:v>ганаш, плитка, крем, мусс, напиток, глазурь или соус с features an eel-flavoured ganache with green herbs</x:v>
      </x:c>
      <x:c r="J51" s="28" t="str">
        <x:v>Средняя</x:v>
      </x:c>
      <x:c r="K51" s="28" t="str">
        <x:v>The Art &amp; Science of Foodpairing.pdf</x:v>
      </x:c>
      <x:c r="L51" s="28" t="str">
        <x:v>The Art &amp; Science of Foodpairing.pdf: 61</x:v>
      </x:c>
    </x:row>
    <x:row r="52" ht="64" customHeight="1">
      <x:c r="A52" s="28" t="str">
        <x:v>NCT-0585</x:v>
      </x:c>
      <x:c r="B52" s="28" t="str">
        <x:v>шоколад</x:v>
      </x:c>
      <x:c r="C52" s="28" t="str">
        <x:v>fish</x:v>
      </x:c>
      <x:c r="D52" s="28" t="str">
        <x:v>Рыба и морепродукты</x:v>
      </x:c>
      <x:c r="E52" s="28" t="str">
        <x:v>общие ароматические соединения, солёно-умами контраст</x:v>
      </x:c>
      <x:c r="F5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5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2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52" s="28" t="str">
        <x:v>ганаш, плитка, крем, мусс, напиток, глазурь или соус с fish</x:v>
      </x:c>
      <x:c r="J52" s="28" t="str">
        <x:v>Средняя</x:v>
      </x:c>
      <x:c r="K52" s="28" t="str">
        <x:v>The Art &amp; Science of Foodpairing.pdf</x:v>
      </x:c>
      <x:c r="L52" s="28" t="str">
        <x:v>The Art &amp; Science of Foodpairing.pdf: 104</x:v>
      </x:c>
    </x:row>
    <x:row r="53" ht="64" customHeight="1">
      <x:c r="A53" s="28" t="str">
        <x:v>NCT-0586</x:v>
      </x:c>
      <x:c r="B53" s="28" t="str">
        <x:v>шоколад</x:v>
      </x:c>
      <x:c r="C53" s="28" t="str">
        <x:v>garlic</x:v>
      </x:c>
      <x:c r="D53" s="28" t="str">
        <x:v>Овощи, бобовые и грибы</x:v>
      </x:c>
      <x:c r="E53" s="28" t="str">
        <x:v>общие ароматические соединения</x:v>
      </x:c>
      <x:c r="F5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«garlic»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5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3" s="28" t="str">
        <x:v>горечь и терпкость способны подавлять нежные продукты; содержит стимуляторы; аллергенные добавки возможны</x:v>
      </x:c>
      <x:c r="I53" s="28" t="str">
        <x:v>ганаш, плитка, крем, мусс, напиток, глазурь или соус с garlic</x:v>
      </x:c>
      <x:c r="J53" s="28" t="str">
        <x:v>Средняя</x:v>
      </x:c>
      <x:c r="K53" s="28" t="str">
        <x:v>The Art &amp; Science of Foodpairing.pdf</x:v>
      </x:c>
      <x:c r="L53" s="28" t="str">
        <x:v>The Art &amp; Science of Foodpairing.pdf: 113</x:v>
      </x:c>
    </x:row>
    <x:row r="54" ht="64" customHeight="1">
      <x:c r="A54" s="28" t="str">
        <x:v>NCT-0587</x:v>
      </x:c>
      <x:c r="B54" s="28" t="str">
        <x:v>шоколад</x:v>
      </x:c>
      <x:c r="C54" s="28" t="str">
        <x:v>grilled lamb</x:v>
      </x:c>
      <x:c r="D54" s="28" t="str">
        <x:v>Мясо и птица</x:v>
      </x:c>
      <x:c r="E5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«grilled lamb»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5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4" s="28" t="str">
        <x:v>горечь и терпкость способны подавлять нежные продукты; содержит стимуляторы; аллергенные добавки возможны</x:v>
      </x:c>
      <x:c r="I54" s="28" t="str">
        <x:v>ганаш, плитка, крем, мусс, напиток, глазурь или соус с grilled lamb</x:v>
      </x:c>
      <x:c r="J54" s="28" t="str">
        <x:v>Средняя</x:v>
      </x:c>
      <x:c r="K54" s="28" t="str">
        <x:v>The Art &amp; Science of Foodpairing.pdf</x:v>
      </x:c>
      <x:c r="L54" s="28" t="str">
        <x:v>The Art &amp; Science of Foodpairing.pdf: 62</x:v>
      </x:c>
    </x:row>
    <x:row r="55" ht="64" customHeight="1">
      <x:c r="A55" s="28" t="str">
        <x:v>NCT-0588</x:v>
      </x:c>
      <x:c r="B55" s="28" t="str">
        <x:v>шоколад</x:v>
      </x:c>
      <x:c r="C55" s="28" t="str">
        <x:v>gruyere</x:v>
      </x:c>
      <x:c r="D55" s="28" t="str">
        <x:v>Молочные продукты и сыры</x:v>
      </x:c>
      <x:c r="E55" s="28" t="str">
        <x:v>жировая экстракция и связывание полифенолов белком</x:v>
      </x:c>
      <x:c r="F5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«gruyere»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5" s="28" t="str">
        <x:v>горечь и терпкость способны подавлять нежные продукты; содержит стимуляторы; аллергенные добавки возможны; жир способен приглушить тонкую ароматику; белок связывает полифенолы</x:v>
      </x:c>
      <x:c r="I55" s="28" t="str">
        <x:v>ганаш, плитка, крем, мусс, напиток, глазурь или соус с gruyere</x:v>
      </x:c>
      <x:c r="J55" s="28" t="str">
        <x:v>Средняя</x:v>
      </x:c>
      <x:c r="K55" s="28" t="str">
        <x:v>The Art &amp; Science of Foodpairing.pdf</x:v>
      </x:c>
      <x:c r="L55" s="28" t="str">
        <x:v>The Art &amp; Science of Foodpairing.pdf: 62</x:v>
      </x:c>
    </x:row>
    <x:row r="56" ht="64" customHeight="1">
      <x:c r="A56" s="28" t="str">
        <x:v>NCT-0589</x:v>
      </x:c>
      <x:c r="B56" s="28" t="str">
        <x:v>шоколад</x:v>
      </x:c>
      <x:c r="C56" s="28" t="str">
        <x:v>lberico ham</x:v>
      </x:c>
      <x:c r="D56" s="28" t="str">
        <x:v>Мясо и птица</x:v>
      </x:c>
      <x:c r="E56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5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6" s="28" t="str">
        <x:v>горечь и терпкость способны подавлять нежные продукты; содержит стимуляторы; аллергенные добавки возможны</x:v>
      </x:c>
      <x:c r="I56" s="28" t="str">
        <x:v>ганаш, плитка, крем, мусс, напиток, глазурь или соус с lberico ham</x:v>
      </x:c>
      <x:c r="J56" s="28" t="str">
        <x:v>Средняя</x:v>
      </x:c>
      <x:c r="K56" s="28" t="str">
        <x:v>The Art &amp; Science of Foodpairing.pdf</x:v>
      </x:c>
      <x:c r="L56" s="28" t="str">
        <x:v>The Art &amp; Science of Foodpairing.pdf: 278</x:v>
      </x:c>
    </x:row>
    <x:row r="57" ht="64" customHeight="1">
      <x:c r="A57" s="28" t="str">
        <x:v>NCT-0590</x:v>
      </x:c>
      <x:c r="B57" s="28" t="str">
        <x:v>шоколад</x:v>
      </x:c>
      <x:c r="C57" s="28" t="str">
        <x:v>lemon balm</x:v>
      </x:c>
      <x:c r="D57" s="28" t="str">
        <x:v>Фрукты и ягоды</x:v>
      </x:c>
      <x:c r="E57" s="28" t="str">
        <x:v>общие ароматические соединения, пересечение ароматических семейств, контраст кислоты и жирной/горькой матрицы</x:v>
      </x:c>
      <x:c r="F5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«lemon balm»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G5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7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57" s="28" t="str">
        <x:v>ганаш, плитка, крем, мусс, напиток, глазурь или соус с lemon balm</x:v>
      </x:c>
      <x:c r="J57" s="28" t="str">
        <x:v>Средняя</x:v>
      </x:c>
      <x:c r="K57" s="28" t="str">
        <x:v>The Art &amp; Science of Foodpairing.pdf</x:v>
      </x:c>
      <x:c r="L57" s="28" t="str">
        <x:v>The Art &amp; Science of Foodpairing.pdf: 62</x:v>
      </x:c>
    </x:row>
    <x:row r="58" ht="64" customHeight="1">
      <x:c r="A58" s="28" t="str">
        <x:v>NCT-0591</x:v>
      </x:c>
      <x:c r="B58" s="28" t="str">
        <x:v>шоколад</x:v>
      </x:c>
      <x:c r="C58" s="28" t="str">
        <x:v>meat</x:v>
      </x:c>
      <x:c r="D58" s="28" t="str">
        <x:v>Мясо и птица</x:v>
      </x:c>
      <x:c r="E5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«meat»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5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8" s="28" t="str">
        <x:v>горечь и терпкость способны подавлять нежные продукты; содержит стимуляторы; аллергенные добавки возможны</x:v>
      </x:c>
      <x:c r="I58" s="28" t="str">
        <x:v>ганаш, плитка, крем, мусс, напиток, глазурь или соус с meat</x:v>
      </x:c>
      <x:c r="J58" s="28" t="str">
        <x:v>Средняя</x:v>
      </x:c>
      <x:c r="K58" s="28" t="str">
        <x:v>The Art &amp; Science of Foodpairing.pdf</x:v>
      </x:c>
      <x:c r="L58" s="28" t="str">
        <x:v>The Art &amp; Science of Foodpairing.pdf: 186</x:v>
      </x:c>
    </x:row>
    <x:row r="59" ht="64" customHeight="1">
      <x:c r="A59" s="28" t="str">
        <x:v>NCT-0592</x:v>
      </x:c>
      <x:c r="B59" s="28" t="str">
        <x:v>шоколад</x:v>
      </x:c>
      <x:c r="C59" s="28" t="str">
        <x:v>milkchocolate</x:v>
      </x:c>
      <x:c r="D59" s="28" t="str">
        <x:v>Какао и шоколад</x:v>
      </x:c>
      <x:c r="E59" s="28" t="str">
        <x:v>общие ароматические соединения, пересечение ароматических семейств, жареная химия и реакции Майяра</x:v>
      </x:c>
      <x:c r="F5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«milkchocolate» относится к группе «Какао и шоколад» и даёт какаовый, жареный и горько-сладкий.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жареный, какаовый; альдегиды, пиразины, фураны.</x:v>
      </x:c>
      <x:c r="G5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9" s="28" t="str">
        <x:v>горечь и терпкость способны подавлять нежные продукты; содержит стимуляторы; аллергенные добавки возможны</x:v>
      </x:c>
      <x:c r="I59" s="28" t="str">
        <x:v>ганаш, плитка, крем, мусс, напиток, глазурь или соус с milkchocolate</x:v>
      </x:c>
      <x:c r="J59" s="28" t="str">
        <x:v>Средняя</x:v>
      </x:c>
      <x:c r="K59" s="28" t="str">
        <x:v>The Art &amp; Science of Foodpairing.pdf</x:v>
      </x:c>
      <x:c r="L59" s="28" t="str">
        <x:v>The Art &amp; Science of Foodpairing.pdf: 62</x:v>
      </x:c>
    </x:row>
    <x:row r="60" ht="64" customHeight="1">
      <x:c r="A60" s="28" t="str">
        <x:v>NCT-0593</x:v>
      </x:c>
      <x:c r="B60" s="28" t="str">
        <x:v>шоколад</x:v>
      </x:c>
      <x:c r="C60" s="28" t="str">
        <x:v>mount gay eclipse rum</x:v>
      </x:c>
      <x:c r="D60" s="28" t="str">
        <x:v>Алкогольные напитки</x:v>
      </x:c>
      <x:c r="E60" s="28" t="str">
        <x:v>общие ароматические соединения, пересечение ароматических семейств</x:v>
      </x:c>
      <x:c r="F6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«mount gay eclipse rum» относится к группе «Алкогольные напитки» и даёт спиртовой, фруктовый или древесный. Молекулярный мост создают альдегиды, эфиры Какао-масло медленно высвобождает липофильные ароматы, а сахар и соль изменяют воспринимаемую горечь. Итог: древесный, фруктовый; альдегиды, эфиры.</x:v>
      </x:c>
      <x:c r="G6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60" s="28" t="str">
        <x:v>горечь и терпкость способны подавлять нежные продукты; содержит стимуляторы; аллергенные добавки возможны</x:v>
      </x:c>
      <x:c r="I60" s="28" t="str">
        <x:v>ганаш, плитка, крем, мусс, напиток, глазурь или соус с mount gay eclipse rum</x:v>
      </x:c>
      <x:c r="J60" s="28" t="str">
        <x:v>Средняя</x:v>
      </x:c>
      <x:c r="K60" s="28" t="str">
        <x:v>The Art &amp; Science of Foodpairing.pdf</x:v>
      </x:c>
      <x:c r="L60" s="28" t="str">
        <x:v>The Art &amp; Science of Foodpairing.pdf: 62</x:v>
      </x:c>
    </x:row>
    <x:row r="61" ht="64" customHeight="1">
      <x:c r="A61" s="28" t="str">
        <x:v>NCT-0594</x:v>
      </x:c>
      <x:c r="B61" s="28" t="str">
        <x:v>шоколад</x:v>
      </x:c>
      <x:c r="C61" s="28" t="str">
        <x:v>oyster leaf</x:v>
      </x:c>
      <x:c r="D61" s="28" t="str">
        <x:v>Рыба и морепродукты</x:v>
      </x:c>
      <x:c r="E61" s="28" t="str">
        <x:v>общие ароматические соединения, солёно-умами контраст</x:v>
      </x:c>
      <x:c r="F6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«oyster leaf»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6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61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61" s="28" t="str">
        <x:v>ганаш, плитка, крем, мусс, напиток, глазурь или соус с oyster leaf</x:v>
      </x:c>
      <x:c r="J61" s="28" t="str">
        <x:v>Средняя</x:v>
      </x:c>
      <x:c r="K61" s="28" t="str">
        <x:v>The Art &amp; Science of Foodpairing.pdf</x:v>
      </x:c>
      <x:c r="L61" s="28" t="str">
        <x:v>The Art &amp; Science of Foodpairing.pdf: 62</x:v>
      </x:c>
    </x:row>
    <x:row r="62" ht="64" customHeight="1">
      <x:c r="A62" s="28" t="str">
        <x:v>NCT-0595</x:v>
      </x:c>
      <x:c r="B62" s="28" t="str">
        <x:v>шоколад</x:v>
      </x:c>
      <x:c r="C62" s="28" t="str">
        <x:v>pan-fried king prawns</x:v>
      </x:c>
      <x:c r="D62" s="28" t="str">
        <x:v>Рыба и морепродукты</x:v>
      </x:c>
      <x:c r="E62" s="28" t="str">
        <x:v>общие ароматические соединения, солёно-умами контраст</x:v>
      </x:c>
      <x:c r="F6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king prawns»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6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62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62" s="28" t="str">
        <x:v>ганаш, плитка, крем, мусс, напиток, глазурь или соус с pan-fried king prawns</x:v>
      </x:c>
      <x:c r="J62" s="28" t="str">
        <x:v>Средняя</x:v>
      </x:c>
      <x:c r="K62" s="28" t="str">
        <x:v>The Art &amp; Science of Foodpairing.pdf</x:v>
      </x:c>
      <x:c r="L62" s="28" t="str">
        <x:v>The Art &amp; Science of Foodpairing.pdf: 62</x:v>
      </x:c>
    </x:row>
    <x:row r="63" ht="64" customHeight="1">
      <x:c r="A63" s="28" t="str">
        <x:v>NCT-0596</x:v>
      </x:c>
      <x:c r="B63" s="28" t="str">
        <x:v>шоколад</x:v>
      </x:c>
      <x:c r="C63" s="28" t="str">
        <x:v>pan-fried kingprawn</x:v>
      </x:c>
      <x:c r="D63" s="28" t="str">
        <x:v>Рыба и морепродукты</x:v>
      </x:c>
      <x:c r="E63" s="28" t="str">
        <x:v>общие ароматические соединения, солёно-умами контраст</x:v>
      </x:c>
      <x:c r="F6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kingprawn»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6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63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63" s="28" t="str">
        <x:v>ганаш, плитка, крем, мусс, напиток, глазурь или соус с pan-fried kingprawn</x:v>
      </x:c>
      <x:c r="J63" s="28" t="str">
        <x:v>Средняя</x:v>
      </x:c>
      <x:c r="K63" s="28" t="str">
        <x:v>The Art &amp; Science of Foodpairing.pdf</x:v>
      </x:c>
      <x:c r="L63" s="28" t="str">
        <x:v>The Art &amp; Science of Foodpairing.pdf: 62</x:v>
      </x:c>
    </x:row>
    <x:row r="64" ht="64" customHeight="1">
      <x:c r="A64" s="28" t="str">
        <x:v>NCT-0597</x:v>
      </x:c>
      <x:c r="B64" s="28" t="str">
        <x:v>шоколад</x:v>
      </x:c>
      <x:c r="C64" s="28" t="str">
        <x:v>pan-fried porkloin</x:v>
      </x:c>
      <x:c r="D64" s="28" t="str">
        <x:v>Мясо и птица</x:v>
      </x:c>
      <x:c r="E6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6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porkloin»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6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64" s="28" t="str">
        <x:v>горечь и терпкость способны подавлять нежные продукты; содержит стимуляторы; аллергенные добавки возможны</x:v>
      </x:c>
      <x:c r="I64" s="28" t="str">
        <x:v>ганаш, плитка, крем, мусс, напиток, глазурь или соус с pan-fried porkloin</x:v>
      </x:c>
      <x:c r="J64" s="28" t="str">
        <x:v>Средняя</x:v>
      </x:c>
      <x:c r="K64" s="28" t="str">
        <x:v>The Art &amp; Science of Foodpairing.pdf</x:v>
      </x:c>
      <x:c r="L64" s="28" t="str">
        <x:v>The Art &amp; Science of Foodpairing.pdf: 62</x:v>
      </x:c>
    </x:row>
    <x:row r="65" ht="64" customHeight="1">
      <x:c r="A65" s="28" t="str">
        <x:v>NCT-0598</x:v>
      </x:c>
      <x:c r="B65" s="28" t="str">
        <x:v>шоколад</x:v>
      </x:c>
      <x:c r="C65" s="28" t="str">
        <x:v>pan-fried quail</x:v>
      </x:c>
      <x:c r="D65" s="28" t="str">
        <x:v>Мясо и птица</x:v>
      </x:c>
      <x:c r="E65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6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quail»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6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65" s="28" t="str">
        <x:v>горечь и терпкость способны подавлять нежные продукты; содержит стимуляторы; аллергенные добавки возможны</x:v>
      </x:c>
      <x:c r="I65" s="28" t="str">
        <x:v>ганаш, плитка, крем, мусс, напиток, глазурь или соус с pan-fried quail</x:v>
      </x:c>
      <x:c r="J65" s="28" t="str">
        <x:v>Средняя</x:v>
      </x:c>
      <x:c r="K65" s="28" t="str">
        <x:v>The Art &amp; Science of Foodpairing.pdf</x:v>
      </x:c>
      <x:c r="L65" s="28" t="str">
        <x:v>The Art &amp; Science of Foodpairing.pdf: 62</x:v>
      </x:c>
    </x:row>
    <x:row r="66" ht="64" customHeight="1">
      <x:c r="A66" s="28" t="str">
        <x:v>NCT-0599</x:v>
      </x:c>
      <x:c r="B66" s="28" t="str">
        <x:v>шоколад</x:v>
      </x:c>
      <x:c r="C66" s="28" t="str">
        <x:v>peppercorns</x:v>
      </x:c>
      <x:c r="D66" s="28" t="str">
        <x:v>Специи</x:v>
      </x:c>
      <x:c r="E66" s="28" t="str">
        <x:v>пересечение ароматических семейств</x:v>
      </x:c>
      <x:c r="F6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«peppercorns» относится к группе «Специи» и даёт пряный и древесный.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G6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66" s="28" t="str">
        <x:v>горечь и терпкость способны подавлять нежные продукты; содержит стимуляторы; аллергенные добавки возможны</x:v>
      </x:c>
      <x:c r="I66" s="28" t="str">
        <x:v>ганаш, плитка, крем, мусс, напиток, глазурь или соус с peppercorns</x:v>
      </x:c>
      <x:c r="J66" s="28" t="str">
        <x:v>Средняя</x:v>
      </x:c>
      <x:c r="K66" s="28" t="str">
        <x:v>The Art &amp; Science of Foodpairing.pdf</x:v>
      </x:c>
      <x:c r="L66" s="28" t="str">
        <x:v>The Art &amp; Science of Foodpairing.pdf: 273, 274</x:v>
      </x:c>
    </x:row>
    <x:row r="67" ht="64" customHeight="1">
      <x:c r="A67" s="28" t="str">
        <x:v>NCT-0600</x:v>
      </x:c>
      <x:c r="B67" s="28" t="str">
        <x:v>шоколад</x:v>
      </x:c>
      <x:c r="C67" s="28" t="str">
        <x:v>purple sage</x:v>
      </x:c>
      <x:c r="D67" s="28" t="str">
        <x:v>Травы, цветы и листья</x:v>
      </x:c>
      <x:c r="E67" s="28" t="str">
        <x:v>сенсорная комплементарность</x:v>
      </x:c>
      <x:c r="F6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«purple sage»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6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67" s="28" t="str">
        <x:v>горечь и терпкость способны подавлять нежные продукты; содержит стимуляторы; аллергенные добавки возможны</x:v>
      </x:c>
      <x:c r="I67" s="28" t="str">
        <x:v>ганаш, плитка, крем, мусс, напиток, глазурь или соус с purple sage</x:v>
      </x:c>
      <x:c r="J67" s="28" t="str">
        <x:v>Средняя</x:v>
      </x:c>
      <x:c r="K67" s="28" t="str">
        <x:v>The Art &amp; Science of Foodpairing.pdf</x:v>
      </x:c>
      <x:c r="L67" s="28" t="str">
        <x:v>The Art &amp; Science of Foodpairing.pdf: 62</x:v>
      </x:c>
    </x:row>
    <x:row r="68" ht="64" customHeight="1">
      <x:c r="A68" s="28" t="str">
        <x:v>NCT-0601</x:v>
      </x:c>
      <x:c r="B68" s="28" t="str">
        <x:v>шоколад</x:v>
      </x:c>
      <x:c r="C68" s="28" t="str">
        <x:v>red winevinegar</x:v>
      </x:c>
      <x:c r="D68" s="28" t="str">
        <x:v>Алкогольные напитки</x:v>
      </x:c>
      <x:c r="E68" s="28" t="str">
        <x:v>общие ароматические соединения, пересечение ароматических семейств</x:v>
      </x:c>
      <x:c r="F6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«red winevinegar» относится к группе «Алкогольные напитки» и даёт спиртовой, фруктовый или древесный. Молекулярный мост создают альдегиды, эфиры Какао-масло медленно высвобождает липофильные ароматы, а сахар и соль изменяют воспринимаемую горечь. Итог: древесный, фруктовый; альдегиды, эфиры.</x:v>
      </x:c>
      <x:c r="G6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68" s="28" t="str">
        <x:v>горечь и терпкость способны подавлять нежные продукты; содержит стимуляторы; аллергенные добавки возможны</x:v>
      </x:c>
      <x:c r="I68" s="28" t="str">
        <x:v>ганаш, плитка, крем, мусс, напиток, глазурь или соус с red winevinegar</x:v>
      </x:c>
      <x:c r="J68" s="28" t="str">
        <x:v>Средняя</x:v>
      </x:c>
      <x:c r="K68" s="28" t="str">
        <x:v>The Art &amp; Science of Foodpairing.pdf</x:v>
      </x:c>
      <x:c r="L68" s="28" t="str">
        <x:v>The Art &amp; Science of Foodpairing.pdf: 62</x:v>
      </x:c>
    </x:row>
    <x:row r="69" ht="64" customHeight="1">
      <x:c r="A69" s="28" t="str">
        <x:v>NCT-0602</x:v>
      </x:c>
      <x:c r="B69" s="28" t="str">
        <x:v>шоколад</x:v>
      </x:c>
      <x:c r="C69" s="28" t="str">
        <x:v>rhubarb</x:v>
      </x:c>
      <x:c r="D69" s="28" t="str">
        <x:v>Фрукты и ягоды</x:v>
      </x:c>
      <x:c r="E69" s="28" t="str">
        <x:v>общие ароматические соединения, пересечение ароматических семейств, контраст кислоты и жирной/горькой матрицы</x:v>
      </x:c>
      <x:c r="F6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«rhubarb»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G6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69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69" s="28" t="str">
        <x:v>ганаш, плитка, крем, мусс, напиток, глазурь или соус с rhubarb</x:v>
      </x:c>
      <x:c r="J69" s="28" t="str">
        <x:v>Средняя</x:v>
      </x:c>
      <x:c r="K69" s="28" t="str">
        <x:v>The Art &amp; Science of Foodpairing.pdf</x:v>
      </x:c>
      <x:c r="L69" s="28" t="str">
        <x:v>The Art &amp; Science of Foodpairing.pdf: 62</x:v>
      </x:c>
    </x:row>
    <x:row r="70" ht="64" customHeight="1">
      <x:c r="A70" s="28" t="str">
        <x:v>NCT-0603</x:v>
      </x:c>
      <x:c r="B70" s="28" t="str">
        <x:v>шоколад</x:v>
      </x:c>
      <x:c r="C70" s="28" t="str">
        <x:v>roastedbrown shrimp</x:v>
      </x:c>
      <x:c r="D70" s="28" t="str">
        <x:v>Рыба и морепродукты</x:v>
      </x:c>
      <x:c r="E70" s="28" t="str">
        <x:v>общие ароматические соединения, солёно-умами контраст</x:v>
      </x:c>
      <x:c r="F7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«roastedbrown shrimp»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7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70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70" s="28" t="str">
        <x:v>ганаш, плитка, крем, мусс, напиток, глазурь или соус с roastedbrown shrimp</x:v>
      </x:c>
      <x:c r="J70" s="28" t="str">
        <x:v>Средняя</x:v>
      </x:c>
      <x:c r="K70" s="28" t="str">
        <x:v>The Art &amp; Science of Foodpairing.pdf</x:v>
      </x:c>
      <x:c r="L70" s="28" t="str">
        <x:v>The Art &amp; Science of Foodpairing.pdf: 62</x:v>
      </x:c>
    </x:row>
    <x:row r="71" ht="64" customHeight="1">
      <x:c r="A71" s="28" t="str">
        <x:v>NCT-0604</x:v>
      </x:c>
      <x:c r="B71" s="28" t="str">
        <x:v>шоколад</x:v>
      </x:c>
      <x:c r="C71" s="28" t="str">
        <x:v>roastedcashew nut</x:v>
      </x:c>
      <x:c r="D71" s="28" t="str">
        <x:v>Орехи и семена</x:v>
      </x:c>
      <x:c r="E71" s="28" t="str">
        <x:v>общие ароматические соединения, пересечение ароматических семейств, жареная химия и реакции Майяра</x:v>
      </x:c>
      <x:c r="F7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«roastedcashew nut» относится к группе «Орехи и семена» и даёт ореховый, жареный и жирный.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жареный; альдегиды, пиразины, фураны.</x:v>
      </x:c>
      <x:c r="G7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71" s="28" t="str">
        <x:v>горечь и терпкость способны подавлять нежные продукты; содержит стимуляторы; аллергенные добавки возможны</x:v>
      </x:c>
      <x:c r="I71" s="28" t="str">
        <x:v>ганаш, плитка, крем, мусс, напиток, глазурь или соус с roastedcashew nut</x:v>
      </x:c>
      <x:c r="J71" s="28" t="str">
        <x:v>Средняя</x:v>
      </x:c>
      <x:c r="K71" s="28" t="str">
        <x:v>The Art &amp; Science of Foodpairing.pdf</x:v>
      </x:c>
      <x:c r="L71" s="28" t="str">
        <x:v>The Art &amp; Science of Foodpairing.pdf: 62</x:v>
      </x:c>
    </x:row>
    <x:row r="72" ht="64" customHeight="1">
      <x:c r="A72" s="28" t="str">
        <x:v>NCT-0605</x:v>
      </x:c>
      <x:c r="B72" s="28" t="str">
        <x:v>шоколад</x:v>
      </x:c>
      <x:c r="C72" s="28" t="str">
        <x:v>salted anchovies</x:v>
      </x:c>
      <x:c r="D72" s="28" t="str">
        <x:v>Рыба и морепродукты</x:v>
      </x:c>
      <x:c r="E72" s="28" t="str">
        <x:v>общие ароматические соединения, солёно-умами контраст</x:v>
      </x:c>
      <x:c r="F7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«salted anchovies»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7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72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72" s="28" t="str">
        <x:v>ганаш, плитка, крем, мусс, напиток, глазурь или соус с salted anchovies</x:v>
      </x:c>
      <x:c r="J72" s="28" t="str">
        <x:v>Средняя</x:v>
      </x:c>
      <x:c r="K72" s="28" t="str">
        <x:v>The Art &amp; Science of Foodpairing.pdf</x:v>
      </x:c>
      <x:c r="L72" s="28" t="str">
        <x:v>The Art &amp; Science of Foodpairing.pdf: 62</x:v>
      </x:c>
    </x:row>
    <x:row r="73" ht="64" customHeight="1">
      <x:c r="A73" s="28" t="str">
        <x:v>NCT-0606</x:v>
      </x:c>
      <x:c r="B73" s="28" t="str">
        <x:v>шоколад</x:v>
      </x:c>
      <x:c r="C73" s="28" t="str">
        <x:v>salted dried cod</x:v>
      </x:c>
      <x:c r="D73" s="28" t="str">
        <x:v>Рыба и морепродукты</x:v>
      </x:c>
      <x:c r="E73" s="28" t="str">
        <x:v>общие ароматические соединения, солёно-умами контраст</x:v>
      </x:c>
      <x:c r="F7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«salted dried cod»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7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73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73" s="28" t="str">
        <x:v>ганаш, плитка, крем, мусс, напиток, глазурь или соус с salted dried cod</x:v>
      </x:c>
      <x:c r="J73" s="28" t="str">
        <x:v>Средняя</x:v>
      </x:c>
      <x:c r="K73" s="28" t="str">
        <x:v>The Art &amp; Science of Foodpairing.pdf</x:v>
      </x:c>
      <x:c r="L73" s="28" t="str">
        <x:v>The Art &amp; Science of Foodpairing.pdf: 62</x:v>
      </x:c>
    </x:row>
    <x:row r="74" ht="64" customHeight="1">
      <x:c r="A74" s="28" t="str">
        <x:v>NCT-0607</x:v>
      </x:c>
      <x:c r="B74" s="28" t="str">
        <x:v>шоколад</x:v>
      </x:c>
      <x:c r="C74" s="28" t="str">
        <x:v>steamed collard greens</x:v>
      </x:c>
      <x:c r="D74" s="28" t="str">
        <x:v>Чай</x:v>
      </x:c>
      <x:c r="E74" s="28" t="str">
        <x:v>пересечение ароматических семейств</x:v>
      </x:c>
      <x:c r="F7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«steamed collard greens» относится к группе «Чай» и даёт цветочный, древесный или зелёный.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G7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74" s="28" t="str">
        <x:v>горечь и терпкость способны подавлять нежные продукты; содержит стимуляторы; аллергенные добавки возможны</x:v>
      </x:c>
      <x:c r="I74" s="28" t="str">
        <x:v>ганаш, плитка, крем, мусс, напиток, глазурь или соус с steamed collard greens</x:v>
      </x:c>
      <x:c r="J74" s="28" t="str">
        <x:v>Средняя</x:v>
      </x:c>
      <x:c r="K74" s="28" t="str">
        <x:v>The Art &amp; Science of Foodpairing.pdf</x:v>
      </x:c>
      <x:c r="L74" s="28" t="str">
        <x:v>The Art &amp; Science of Foodpairing.pdf: 62</x:v>
      </x:c>
    </x:row>
    <x:row r="75" ht="64" customHeight="1">
      <x:c r="A75" s="28" t="str">
        <x:v>NCT-0608</x:v>
      </x:c>
      <x:c r="B75" s="28" t="str">
        <x:v>шоколад</x:v>
      </x:c>
      <x:c r="C75" s="28" t="str">
        <x:v>sweet potato</x:v>
      </x:c>
      <x:c r="D75" s="28" t="str">
        <x:v>Овощи, бобовые и грибы</x:v>
      </x:c>
      <x:c r="E75" s="28" t="str">
        <x:v>общие ароматические соединения</x:v>
      </x:c>
      <x:c r="F7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«sweet potato»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7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75" s="28" t="str">
        <x:v>горечь и терпкость способны подавлять нежные продукты; содержит стимуляторы; аллергенные добавки возможны</x:v>
      </x:c>
      <x:c r="I75" s="28" t="str">
        <x:v>ганаш, плитка, крем, мусс, напиток, глазурь или соус с sweet potato</x:v>
      </x:c>
      <x:c r="J75" s="28" t="str">
        <x:v>Средняя</x:v>
      </x:c>
      <x:c r="K75" s="28" t="str">
        <x:v>The Art &amp; Science of Foodpairing.pdf</x:v>
      </x:c>
      <x:c r="L75" s="28" t="str">
        <x:v>The Art &amp; Science of Foodpairing.pdf: 119</x:v>
      </x:c>
    </x:row>
    <x:row r="76" ht="64" customHeight="1">
      <x:c r="A76" s="28" t="str">
        <x:v>NCT-0609</x:v>
      </x:c>
      <x:c r="B76" s="28" t="str">
        <x:v>шоколад</x:v>
      </x:c>
      <x:c r="C76" s="28" t="str">
        <x:v>tomato and tomato puree</x:v>
      </x:c>
      <x:c r="D76" s="28" t="str">
        <x:v>Овощи, бобовые и грибы</x:v>
      </x:c>
      <x:c r="E76" s="28" t="str">
        <x:v>общие ароматические соединения</x:v>
      </x:c>
      <x:c r="F7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«tomato and tomato puree»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7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76" s="28" t="str">
        <x:v>горечь и терпкость способны подавлять нежные продукты; содержит стимуляторы; аллергенные добавки возможны</x:v>
      </x:c>
      <x:c r="I76" s="28" t="str">
        <x:v>ганаш, плитка, крем, мусс, напиток, глазурь или соус с tomato and tomato puree</x:v>
      </x:c>
      <x:c r="J76" s="28" t="str">
        <x:v>Средняя</x:v>
      </x:c>
      <x:c r="K76" s="28" t="str">
        <x:v>The Art &amp; Science of Foodpairing.pdf</x:v>
      </x:c>
      <x:c r="L76" s="28" t="str">
        <x:v>The Art &amp; Science of Foodpairing.pdf: 161</x:v>
      </x:c>
    </x:row>
    <x:row r="77" ht="64" customHeight="1">
      <x:c r="A77" s="28" t="str">
        <x:v>NCT-0610</x:v>
      </x:c>
      <x:c r="B77" s="28" t="str">
        <x:v>шоколад</x:v>
      </x:c>
      <x:c r="C77" s="28" t="str">
        <x:v>wagyu beef</x:v>
      </x:c>
      <x:c r="D77" s="28" t="str">
        <x:v>Мясо и птица</x:v>
      </x:c>
      <x:c r="E77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7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«wagyu 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7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77" s="28" t="str">
        <x:v>горечь и терпкость способны подавлять нежные продукты; содержит стимуляторы; аллергенные добавки возможны</x:v>
      </x:c>
      <x:c r="I77" s="28" t="str">
        <x:v>ганаш, плитка, крем, мусс, напиток, глазурь или соус с wagyu beef</x:v>
      </x:c>
      <x:c r="J77" s="28" t="str">
        <x:v>Средняя</x:v>
      </x:c>
      <x:c r="K77" s="28" t="str">
        <x:v>The Art &amp; Science of Foodpairing.pdf</x:v>
      </x:c>
      <x:c r="L77" s="28" t="str">
        <x:v>The Art &amp; Science of Foodpairing.pdf: 62</x:v>
      </x:c>
    </x:row>
    <x:row r="78" ht="64" customHeight="1">
      <x:c r="A78" s="28" t="str">
        <x:v>NCT-0611</x:v>
      </x:c>
      <x:c r="B78" s="28" t="str">
        <x:v>шоколад</x:v>
      </x:c>
      <x:c r="C78" s="28" t="str">
        <x:v>wheatgrass and another one with cauliflower. his menueven</x:v>
      </x:c>
      <x:c r="D78" s="28" t="str">
        <x:v>Овощи, бобовые и грибы</x:v>
      </x:c>
      <x:c r="E78" s="28" t="str">
        <x:v>общие ароматические соединения</x:v>
      </x:c>
      <x:c r="F7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«wheatgrass and another one with cauliflower. his menueven»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7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78" s="28" t="str">
        <x:v>горечь и терпкость способны подавлять нежные продукты; содержит стимуляторы; аллергенные добавки возможны</x:v>
      </x:c>
      <x:c r="I78" s="28" t="str">
        <x:v>ганаш, плитка, крем, мусс, напиток, глазурь или соус с wheatgrass and another one with cauliflower. his menueven</x:v>
      </x:c>
      <x:c r="J78" s="28" t="str">
        <x:v>Средняя</x:v>
      </x:c>
      <x:c r="K78" s="28" t="str">
        <x:v>The Art &amp; Science of Foodpairing.pdf</x:v>
      </x:c>
      <x:c r="L78" s="28" t="str">
        <x:v>The Art &amp; Science of Foodpairing.pdf: 61</x:v>
      </x:c>
    </x:row>
    <x:row r="79" ht="64" customHeight="1">
      <x:c r="A79" s="28" t="str">
        <x:v>NCT-0612</x:v>
      </x:c>
      <x:c r="B79" s="28" t="str">
        <x:v>шоколад</x:v>
      </x:c>
      <x:c r="C79" s="28" t="str">
        <x:v>whitechocolate</x:v>
      </x:c>
      <x:c r="D79" s="28" t="str">
        <x:v>Какао и шоколад</x:v>
      </x:c>
      <x:c r="E79" s="28" t="str">
        <x:v>общие ароматические соединения, пересечение ароматических семейств, жареная химия и реакции Майяра</x:v>
      </x:c>
      <x:c r="F7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«whitechocolate» относится к группе «Какао и шоколад» и даёт какаовый, жареный и горько-сладкий.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жареный, какаовый; альдегиды, пиразины, фураны.</x:v>
      </x:c>
      <x:c r="G7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79" s="28" t="str">
        <x:v>горечь и терпкость способны подавлять нежные продукты; содержит стимуляторы; аллергенные добавки возможны</x:v>
      </x:c>
      <x:c r="I79" s="28" t="str">
        <x:v>ганаш, плитка, крем, мусс, напиток, глазурь или соус с whitechocolate</x:v>
      </x:c>
      <x:c r="J79" s="28" t="str">
        <x:v>Средняя</x:v>
      </x:c>
      <x:c r="K79" s="28" t="str">
        <x:v>The Art &amp; Science of Foodpairing.pdf</x:v>
      </x:c>
      <x:c r="L79" s="28" t="str">
        <x:v>The Art &amp; Science of Foodpairing.pdf: 62</x:v>
      </x:c>
    </x:row>
    <x:row r="80" ht="64" customHeight="1">
      <x:c r="A80" s="28" t="str">
        <x:v>NCT-0613</x:v>
      </x:c>
      <x:c r="B80" s="28" t="str">
        <x:v>шоколад</x:v>
      </x:c>
      <x:c r="C80" s="28" t="str">
        <x:v>«черный пудинг»</x:v>
      </x:c>
      <x:c r="D80" s="28" t="str">
        <x:v>Прочее</x:v>
      </x:c>
      <x:c r="E80" s="28" t="str">
        <x:v>сенсорная комплементарность</x:v>
      </x:c>
      <x:c r="F8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««черный пудинг»»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8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80" s="28" t="str">
        <x:v>горечь и терпкость способны подавлять нежные продукты; содержит стимуляторы; аллергенные добавки возможны</x:v>
      </x:c>
      <x:c r="I80" s="28" t="str">
        <x:v>ганаш, плитка, крем, мусс, напиток, глазурь или соус с «черный пудинг»</x:v>
      </x:c>
      <x:c r="J80" s="28" t="str">
        <x:v>Средняя</x:v>
      </x:c>
      <x:c r="K80" s="28" t="str">
        <x:v>Тезариус вкусов (Ники Сегнит)(1).pdf</x:v>
      </x:c>
      <x:c r="L80" s="28" t="str">
        <x:v>Тезариус вкусов (Ники Сегнит)(1).pdf: 38, 97</x:v>
      </x:c>
    </x:row>
    <x:row r="81" ht="64" customHeight="1">
      <x:c r="A81" s="28" t="str">
        <x:v>NCT-0614</x:v>
      </x:c>
      <x:c r="B81" s="28" t="str">
        <x:v>шоколад</x:v>
      </x:c>
      <x:c r="C81" s="28" t="str">
        <x:v>абрикос</x:v>
      </x:c>
      <x:c r="D81" s="28" t="str">
        <x:v>Фрукты и ягоды</x:v>
      </x:c>
      <x:c r="E81" s="28" t="str">
        <x:v>пересечение ароматических семейств, контраст кислоты и жирной/горькой матрицы</x:v>
      </x:c>
      <x:c r="F8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«абрикос» относится к группе «Фрукты и ягоды» и даёт лактонный, миндальный, фруктовый. Профили пересекаются в семействах: фруктовый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механизм не следует сводить к одной общей молекуле.</x:v>
      </x:c>
      <x:c r="G8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81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81" s="28" t="str">
        <x:v>ганаш, плитка, крем, мусс, напиток, глазурь или соус с абрикос</x:v>
      </x:c>
      <x:c r="J81" s="28" t="str">
        <x:v>Средняя</x:v>
      </x:c>
      <x:c r="K81" s="28" t="str">
        <x:v>Тезариус вкусов (Ники Сегнит)(1).pdf</x:v>
      </x:c>
      <x:c r="L81" s="28" t="str">
        <x:v>Тезариус вкусов (Ники Сегнит)(1).pdf: 25, 745</x:v>
      </x:c>
    </x:row>
    <x:row r="82" ht="64" customHeight="1">
      <x:c r="A82" s="28" t="str">
        <x:v>NCT-0615</x:v>
      </x:c>
      <x:c r="B82" s="28" t="str">
        <x:v>шоколад</x:v>
      </x:c>
      <x:c r="C82" s="28" t="str">
        <x:v>авокадо</x:v>
      </x:c>
      <x:c r="D82" s="28" t="str">
        <x:v>Прочее</x:v>
      </x:c>
      <x:c r="E82" s="28" t="str">
        <x:v>сенсорная комплементарность</x:v>
      </x:c>
      <x:c r="F8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«авокадо»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8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82" s="28" t="str">
        <x:v>горечь и терпкость способны подавлять нежные продукты; содержит стимуляторы; аллергенные добавки возможны</x:v>
      </x:c>
      <x:c r="I82" s="28" t="str">
        <x:v>ганаш, плитка, крем, мусс, напиток, глазурь или соус с авокадо</x:v>
      </x:c>
      <x:c r="J82" s="28" t="str">
        <x:v>Высокая</x:v>
      </x:c>
      <x:c r="K82" s="28" t="str">
        <x:v>The Art &amp; Science of Foodpairing.pdf | Тезариус вкусов (Ники Сегнит)(1).pdf</x:v>
      </x:c>
      <x:c r="L82" s="28" t="str">
        <x:v>The Art &amp; Science of Foodpairing.pdf: 62; Тезариус вкусов (Ники Сегнит)(1).pdf: 25, 532</x:v>
      </x:c>
    </x:row>
    <x:row r="83" ht="64" customHeight="1">
      <x:c r="A83" s="28" t="str">
        <x:v>NCT-0616</x:v>
      </x:c>
      <x:c r="B83" s="28" t="str">
        <x:v>шоколад</x:v>
      </x:c>
      <x:c r="C83" s="28" t="str">
        <x:v>ананас</x:v>
      </x:c>
      <x:c r="D83" s="28" t="str">
        <x:v>Прочее</x:v>
      </x:c>
      <x:c r="E83" s="28" t="str">
        <x:v>сенсорная комплементарность</x:v>
      </x:c>
      <x:c r="F8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«ананас»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8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83" s="28" t="str">
        <x:v>горечь и терпкость способны подавлять нежные продукты; содержит стимуляторы; аллергенные добавки возможны</x:v>
      </x:c>
      <x:c r="I83" s="28" t="str">
        <x:v>ганаш, плитка, крем, мусс, напиток, глазурь или соус с ананас</x:v>
      </x:c>
      <x:c r="J83" s="28" t="str">
        <x:v>Высокая</x:v>
      </x:c>
      <x:c r="K83" s="28" t="str">
        <x:v>Таблица сочетания(1).pdf | Тезариус вкусов (Ники Сегнит)(1).pdf</x:v>
      </x:c>
      <x:c r="L83" s="28" t="str">
        <x:v>Таблица сочетания(1).pdf: 17; Тезариус вкусов (Ники Сегнит)(1).pdf: 25, 707</x:v>
      </x:c>
    </x:row>
    <x:row r="84" ht="64" customHeight="1">
      <x:c r="A84" s="28" t="str">
        <x:v>NCT-0617</x:v>
      </x:c>
      <x:c r="B84" s="28" t="str">
        <x:v>шоколад</x:v>
      </x:c>
      <x:c r="C84" s="28" t="str">
        <x:v>анис</x:v>
      </x:c>
      <x:c r="D84" s="28" t="str">
        <x:v>Прочее</x:v>
      </x:c>
      <x:c r="E84" s="28" t="str">
        <x:v>сенсорная комплементарность</x:v>
      </x:c>
      <x:c r="F8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«анис»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8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84" s="28" t="str">
        <x:v>горечь и терпкость способны подавлять нежные продукты; содержит стимуляторы; аллергенные добавки возможны</x:v>
      </x:c>
      <x:c r="I84" s="28" t="str">
        <x:v>ганаш, плитка, крем, мусс, напиток, глазурь или соус с анис</x:v>
      </x:c>
      <x:c r="J84" s="28" t="str">
        <x:v>Высокая</x:v>
      </x:c>
      <x:c r="K84" s="28" t="str">
        <x:v>Таблица сочетания(1).pdf | Тезариус вкусов (Ники Сегнит)(1).pdf</x:v>
      </x:c>
      <x:c r="L84" s="28" t="str">
        <x:v>Таблица сочетания(1).pdf: 5; Тезариус вкусов (Ники Сегнит)(1).pdf: 25, 488</x:v>
      </x:c>
    </x:row>
    <x:row r="85" ht="64" customHeight="1">
      <x:c r="A85" s="28" t="str">
        <x:v>NCT-0618</x:v>
      </x:c>
      <x:c r="B85" s="28" t="str">
        <x:v>шоколад</x:v>
      </x:c>
      <x:c r="C85" s="28" t="str">
        <x:v>апельсин</x:v>
      </x:c>
      <x:c r="D85" s="28" t="str">
        <x:v>Фрукты и ягоды</x:v>
      </x:c>
      <x:c r="E85" s="28" t="str">
        <x:v>контраст кислоты и жирной/горькой матрицы</x:v>
      </x:c>
      <x:c r="F8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8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85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85" s="28" t="str">
        <x:v>ганаш, плитка, крем, мусс, напиток, глазурь или соус с апельсин</x:v>
      </x:c>
      <x:c r="J85" s="28" t="str">
        <x:v>Высокая</x:v>
      </x:c>
      <x:c r="K85" s="28" t="str">
        <x:v>The Art &amp; Science of Foodpairing.pdf | Таблица сочетания(1).pdf | Тезариус вкусов (Ники Сегнит)(1).pdf</x:v>
      </x:c>
      <x:c r="L85" s="28" t="str">
        <x:v>The Art &amp; Science of Foodpairing.pdf: 236; Таблица сочетания(1).pdf: 5; Тезариус вкусов (Ники Сегнит)(1).pdf: 26, 783</x:v>
      </x:c>
    </x:row>
    <x:row r="86" ht="64" customHeight="1">
      <x:c r="A86" s="28" t="str">
        <x:v>NCT-0619</x:v>
      </x:c>
      <x:c r="B86" s="28" t="str">
        <x:v>шоколад</x:v>
      </x:c>
      <x:c r="C86" s="28" t="str">
        <x:v>арбуз</x:v>
      </x:c>
      <x:c r="D86" s="28" t="str">
        <x:v>Прочее</x:v>
      </x:c>
      <x:c r="E86" s="28" t="str">
        <x:v>сенсорная комплементарность</x:v>
      </x:c>
      <x:c r="F8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«арбуз»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8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86" s="28" t="str">
        <x:v>горечь и терпкость способны подавлять нежные продукты; содержит стимуляторы; аллергенные добавки возможны</x:v>
      </x:c>
      <x:c r="I86" s="28" t="str">
        <x:v>ганаш, плитка, крем, мусс, напиток, глазурь или соус с арбуз</x:v>
      </x:c>
      <x:c r="J86" s="28" t="str">
        <x:v>Средняя</x:v>
      </x:c>
      <x:c r="K86" s="28" t="str">
        <x:v>Тезариус вкусов (Ники Сегнит)(1).pdf</x:v>
      </x:c>
      <x:c r="L86" s="28" t="str">
        <x:v>Тезариус вкусов (Ники Сегнит)(1).pdf: 27, 662</x:v>
      </x:c>
    </x:row>
    <x:row r="87" ht="64" customHeight="1">
      <x:c r="A87" s="28" t="str">
        <x:v>NCT-0620</x:v>
      </x:c>
      <x:c r="B87" s="28" t="str">
        <x:v>шоколад</x:v>
      </x:c>
      <x:c r="C87" s="28" t="str">
        <x:v>бадьян</x:v>
      </x:c>
      <x:c r="D87" s="28" t="str">
        <x:v>Прочее</x:v>
      </x:c>
      <x:c r="E87" s="28" t="str">
        <x:v>сенсорная комплементарность</x:v>
      </x:c>
      <x:c r="F8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«бадьян»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8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87" s="28" t="str">
        <x:v>горечь и терпкость способны подавлять нежные продукты; содержит стимуляторы; аллергенные добавки возможны</x:v>
      </x:c>
      <x:c r="I87" s="28" t="str">
        <x:v>ганаш, плитка, крем, мусс, напиток, глазурь или соус с бадьян</x:v>
      </x:c>
      <x:c r="J87" s="28" t="str">
        <x:v>Гипотеза / практическая</x:v>
      </x:c>
      <x:c r="K87" s="28" t="str">
        <x:v>Таблица сочетания(1).pdf</x:v>
      </x:c>
      <x:c r="L87" s="28" t="str">
        <x:v>Таблица сочетания(1).pdf: 20</x:v>
      </x:c>
    </x:row>
    <x:row r="88" ht="64" customHeight="1">
      <x:c r="A88" s="28" t="str">
        <x:v>NCT-0621</x:v>
      </x:c>
      <x:c r="B88" s="28" t="str">
        <x:v>шоколад</x:v>
      </x:c>
      <x:c r="C88" s="28" t="str">
        <x:v>базилик</x:v>
      </x:c>
      <x:c r="D88" s="28" t="str">
        <x:v>Травы, цветы и листья</x:v>
      </x:c>
      <x:c r="E88" s="28" t="str">
        <x:v>сенсорная комплементарность</x:v>
      </x:c>
      <x:c r="F8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«базилик»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8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88" s="28" t="str">
        <x:v>горечь и терпкость способны подавлять нежные продукты; содержит стимуляторы; аллергенные добавки возможны</x:v>
      </x:c>
      <x:c r="I88" s="28" t="str">
        <x:v>ганаш, плитка, крем, мусс, напиток, глазурь или соус с базилик</x:v>
      </x:c>
      <x:c r="J88" s="28" t="str">
        <x:v>Средняя</x:v>
      </x:c>
      <x:c r="K88" s="28" t="str">
        <x:v>The Art &amp; Science of Foodpairing.pdf</x:v>
      </x:c>
      <x:c r="L88" s="28" t="str">
        <x:v>The Art &amp; Science of Foodpairing.pdf: 74</x:v>
      </x:c>
    </x:row>
    <x:row r="89" ht="64" customHeight="1">
      <x:c r="A89" s="28" t="str">
        <x:v>NCT-0622</x:v>
      </x:c>
      <x:c r="B89" s="28" t="str">
        <x:v>шоколад</x:v>
      </x:c>
      <x:c r="C89" s="28" t="str">
        <x:v>банан</x:v>
      </x:c>
      <x:c r="D89" s="28" t="str">
        <x:v>Фрукты и ягоды</x:v>
      </x:c>
      <x:c r="E89" s="28" t="str">
        <x:v>пересечение ароматических семейств, контраст кислоты и жирной/горькой матрицы</x:v>
      </x:c>
      <x:c r="F8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«банан» относится к группе «Фрукты и ягоды» и даёт сливочный, фруктовый. Профили пересекаются в семействах: фруктовый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механизм не следует сводить к одной общей молекуле.</x:v>
      </x:c>
      <x:c r="G8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89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89" s="28" t="str">
        <x:v>ганаш, плитка, крем, мусс, напиток, глазурь или соус с банан</x:v>
      </x:c>
      <x:c r="J89" s="28" t="str">
        <x:v>Высокая</x:v>
      </x:c>
      <x:c r="K89" s="28" t="str">
        <x:v>The Art &amp; Science of Foodpairing.pdf | Таблица сочетания(1).pdf | Тезариус вкусов (Ники Сегнит)(1).pdf</x:v>
      </x:c>
      <x:c r="L89" s="28" t="str">
        <x:v>The Art &amp; Science of Foodpairing.pdf: 62, 342; Таблица сочетания(1).pdf: 2, 5; Тезариус вкусов (Ники Сегнит)(1).pdf: 27, 734</x:v>
      </x:c>
    </x:row>
    <x:row r="90" ht="64" customHeight="1">
      <x:c r="A90" s="28" t="str">
        <x:v>NCT-0623</x:v>
      </x:c>
      <x:c r="B90" s="28" t="str">
        <x:v>шоколад</x:v>
      </x:c>
      <x:c r="C90" s="28" t="str">
        <x:v>бекон</x:v>
      </x:c>
      <x:c r="D90" s="28" t="str">
        <x:v>Мясо и птица</x:v>
      </x:c>
      <x:c r="E9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9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«бекон» относится к группе «Мясо и птица» и даёт дымный, жареный,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9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90" s="28" t="str">
        <x:v>горечь и терпкость способны подавлять нежные продукты; содержит стимуляторы; аллергенные добавки возможны</x:v>
      </x:c>
      <x:c r="I90" s="28" t="str">
        <x:v>ганаш, плитка, крем, мусс, напиток, глазурь или соус с бекон</x:v>
      </x:c>
      <x:c r="J90" s="28" t="str">
        <x:v>Средняя</x:v>
      </x:c>
      <x:c r="K90" s="28" t="str">
        <x:v>Тезариус вкусов (Ники Сегнит)(1).pdf</x:v>
      </x:c>
      <x:c r="L90" s="28" t="str">
        <x:v>Тезариус вкусов (Ники Сегнит)(1).pdf: 27, 449</x:v>
      </x:c>
    </x:row>
    <x:row r="91" ht="64" customHeight="1">
      <x:c r="A91" s="28" t="str">
        <x:v>NCT-0624</x:v>
      </x:c>
      <x:c r="B91" s="28" t="str">
        <x:v>шоколад</x:v>
      </x:c>
      <x:c r="C91" s="28" t="str">
        <x:v>белый шоколад</x:v>
      </x:c>
      <x:c r="D91" s="28" t="str">
        <x:v>Какао и шоколад</x:v>
      </x:c>
      <x:c r="E91" s="28" t="str">
        <x:v>жареная химия и реакции Майяра</x:v>
      </x:c>
      <x:c r="F9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«белый шоколад» относится к группе «Какао и шоколад» и даёт сливочный, ванильный, карамельный и маслянистый без выраженного какаового жареного профиля.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9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91" s="28" t="str">
        <x:v>горечь и терпкость способны подавлять нежные продукты; содержит стимуляторы; аллергенные добавки возможны</x:v>
      </x:c>
      <x:c r="I91" s="28" t="str">
        <x:v>ганаш, плитка, крем, мусс, напиток, глазурь или соус с белый шоколад</x:v>
      </x:c>
      <x:c r="J91" s="28" t="str">
        <x:v>Средняя</x:v>
      </x:c>
      <x:c r="K91" s="28" t="str">
        <x:v>Тезариус вкусов (Ники Сегнит)(1).pdf</x:v>
      </x:c>
      <x:c r="L91" s="28" t="str">
        <x:v>Тезариус вкусов (Ники Сегнит)(1).pdf: 926</x:v>
      </x:c>
    </x:row>
    <x:row r="92" ht="64" customHeight="1">
      <x:c r="A92" s="28" t="str">
        <x:v>NCT-0625</x:v>
      </x:c>
      <x:c r="B92" s="28" t="str">
        <x:v>шоколад</x:v>
      </x:c>
      <x:c r="C92" s="28" t="str">
        <x:v>брокколи</x:v>
      </x:c>
      <x:c r="D92" s="28" t="str">
        <x:v>Прочее</x:v>
      </x:c>
      <x:c r="E92" s="28" t="str">
        <x:v>сенсорная комплементарность</x:v>
      </x:c>
      <x:c r="F9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«брокколи»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9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92" s="28" t="str">
        <x:v>горечь и терпкость способны подавлять нежные продукты; содержит стимуляторы; аллергенные добавки возможны</x:v>
      </x:c>
      <x:c r="I92" s="28" t="str">
        <x:v>ганаш, плитка, крем, мусс, напиток, глазурь или соус с брокколи</x:v>
      </x:c>
      <x:c r="J92" s="28" t="str">
        <x:v>Высокая</x:v>
      </x:c>
      <x:c r="K92" s="28" t="str">
        <x:v>The Art &amp; Science of Foodpairing.pdf</x:v>
      </x:c>
      <x:c r="L92" s="28" t="str">
        <x:v>The Art &amp; Science of Foodpairing.pdf: 60</x:v>
      </x:c>
    </x:row>
    <x:row r="93" ht="64" customHeight="1">
      <x:c r="A93" s="28" t="str">
        <x:v>NCT-0626</x:v>
      </x:c>
      <x:c r="B93" s="28" t="str">
        <x:v>шоколад</x:v>
      </x:c>
      <x:c r="C93" s="28" t="str">
        <x:v>ваниль</x:v>
      </x:c>
      <x:c r="D93" s="28" t="str">
        <x:v>Специи</x:v>
      </x:c>
      <x:c r="E93" s="28" t="str">
        <x:v>сенсорная комплементарность</x:v>
      </x:c>
      <x:c r="F9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«ваниль» относится к группе «Специи» и даёт ванильный, цветочный.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9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93" s="28" t="str">
        <x:v>горечь и терпкость способны подавлять нежные продукты; содержит стимуляторы; аллергенные добавки возможны</x:v>
      </x:c>
      <x:c r="I93" s="28" t="str">
        <x:v>ганаш, плитка, крем, мусс, напиток, глазурь или соус с ваниль</x:v>
      </x:c>
      <x:c r="J93" s="28" t="str">
        <x:v>Высокая</x:v>
      </x:c>
      <x:c r="K93" s="28" t="str">
        <x:v>The Art &amp; Science of Foodpairing.pdf | Таблица сочетания(1).pdf | Тезариус вкусов (Ники Сегнит)(1).pdf</x:v>
      </x:c>
      <x:c r="L93" s="28" t="str">
        <x:v>The Art &amp; Science of Foodpairing.pdf: 57; Таблица сочетания(1).pdf: 5, 21; Тезариус вкусов (Ники Сегнит)(1).pdf: 27, 920</x:v>
      </x:c>
    </x:row>
    <x:row r="94" ht="64" customHeight="1">
      <x:c r="A94" s="28" t="str">
        <x:v>NCT-0627</x:v>
      </x:c>
      <x:c r="B94" s="28" t="str">
        <x:v>шоколад</x:v>
      </x:c>
      <x:c r="C94" s="28" t="str">
        <x:v>васаби</x:v>
      </x:c>
      <x:c r="D94" s="28" t="str">
        <x:v>Прочее</x:v>
      </x:c>
      <x:c r="E94" s="28" t="str">
        <x:v>сенсорная комплементарность</x:v>
      </x:c>
      <x:c r="F9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«васаби»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9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94" s="28" t="str">
        <x:v>горечь и терпкость способны подавлять нежные продукты; содержит стимуляторы; аллергенные добавки возможны</x:v>
      </x:c>
      <x:c r="I94" s="28" t="str">
        <x:v>ганаш, плитка, крем, мусс, напиток, глазурь или соус с васаби</x:v>
      </x:c>
      <x:c r="J94" s="28" t="str">
        <x:v>Высокая</x:v>
      </x:c>
      <x:c r="K94" s="28" t="str">
        <x:v>The Art &amp; Science of Foodpairing.pdf</x:v>
      </x:c>
      <x:c r="L94" s="28" t="str">
        <x:v>The Art &amp; Science of Foodpairing.pdf: 62</x:v>
      </x:c>
    </x:row>
    <x:row r="95" ht="64" customHeight="1">
      <x:c r="A95" s="28" t="str">
        <x:v>NCT-0628</x:v>
      </x:c>
      <x:c r="B95" s="28" t="str">
        <x:v>шоколад</x:v>
      </x:c>
      <x:c r="C95" s="28" t="str">
        <x:v>вишня</x:v>
      </x:c>
      <x:c r="D95" s="28" t="str">
        <x:v>Фрукты и ягоды</x:v>
      </x:c>
      <x:c r="E95" s="28" t="str">
        <x:v>общие ароматические соединения, пересечение ароматических семейств, контраст кислоты и жирной/горькой матрицы</x:v>
      </x:c>
      <x:c r="F9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«вишня» относится к группе «Фрукты и ягоды» и даёт миндальный, фруктовый. Молекулярный мост создают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эфиры.</x:v>
      </x:c>
      <x:c r="G9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95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95" s="28" t="str">
        <x:v>ганаш, плитка, крем, мусс, напиток, глазурь или соус с вишня</x:v>
      </x:c>
      <x:c r="J95" s="28" t="str">
        <x:v>Высокая</x:v>
      </x:c>
      <x:c r="K95" s="28" t="str">
        <x:v>Таблица сочетания(1).pdf | Тезариус вкусов (Ники Сегнит)(1).pdf</x:v>
      </x:c>
      <x:c r="L95" s="28" t="str">
        <x:v>Таблица сочетания(1).pdf: 4, 5; Тезариус вкусов (Ники Сегнит)(1).pdf: 28, 657</x:v>
      </x:c>
    </x:row>
    <x:row r="96" ht="64" customHeight="1">
      <x:c r="A96" s="28" t="str">
        <x:v>NCT-0629</x:v>
      </x:c>
      <x:c r="B96" s="28" t="str">
        <x:v>шоколад</x:v>
      </x:c>
      <x:c r="C96" s="28" t="str">
        <x:v>гвоздика</x:v>
      </x:c>
      <x:c r="D96" s="28" t="str">
        <x:v>Специи</x:v>
      </x:c>
      <x:c r="E96" s="28" t="str">
        <x:v>пересечение ароматических семейств</x:v>
      </x:c>
      <x:c r="F9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«гвоздика» относится к группе «Специи» и даёт древесный, пряный, фенольный.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G9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96" s="28" t="str">
        <x:v>горечь и терпкость способны подавлять нежные продукты; содержит стимуляторы; аллергенные добавки возможны</x:v>
      </x:c>
      <x:c r="I96" s="28" t="str">
        <x:v>ганаш, плитка, крем, мусс, напиток, глазурь или соус с гвоздика</x:v>
      </x:c>
      <x:c r="J96" s="28" t="str">
        <x:v>Гипотеза / практическая</x:v>
      </x:c>
      <x:c r="K96" s="28" t="str">
        <x:v>Таблица сочетания(1).pdf</x:v>
      </x:c>
      <x:c r="L96" s="28" t="str">
        <x:v>Таблица сочетания(1).pdf: 5</x:v>
      </x:c>
    </x:row>
    <x:row r="97" ht="64" customHeight="1">
      <x:c r="A97" s="28" t="str">
        <x:v>NCT-0630</x:v>
      </x:c>
      <x:c r="B97" s="28" t="str">
        <x:v>шоколад</x:v>
      </x:c>
      <x:c r="C97" s="28" t="str">
        <x:v>голубика</x:v>
      </x:c>
      <x:c r="D97" s="28" t="str">
        <x:v>Прочее</x:v>
      </x:c>
      <x:c r="E97" s="28" t="str">
        <x:v>сенсорная комплементарность</x:v>
      </x:c>
      <x:c r="F9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«голубика»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9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97" s="28" t="str">
        <x:v>горечь и терпкость способны подавлять нежные продукты; содержит стимуляторы; аллергенные добавки возможны</x:v>
      </x:c>
      <x:c r="I97" s="28" t="str">
        <x:v>ганаш, плитка, крем, мусс, напиток, глазурь или соус с голубика</x:v>
      </x:c>
      <x:c r="J97" s="28" t="str">
        <x:v>Высокая</x:v>
      </x:c>
      <x:c r="K97" s="28" t="str">
        <x:v>The Art &amp; Science of Foodpairing.pdf | Таблица сочетания(1).pdf</x:v>
      </x:c>
      <x:c r="L97" s="28" t="str">
        <x:v>The Art &amp; Science of Foodpairing.pdf: 62; Таблица сочетания(1).pdf: 5</x:v>
      </x:c>
    </x:row>
    <x:row r="98" ht="64" customHeight="1">
      <x:c r="A98" s="28" t="str">
        <x:v>NCT-0631</x:v>
      </x:c>
      <x:c r="B98" s="28" t="str">
        <x:v>шоколад</x:v>
      </x:c>
      <x:c r="C98" s="28" t="str">
        <x:v>грана падано</x:v>
      </x:c>
      <x:c r="D98" s="28" t="str">
        <x:v>Прочее</x:v>
      </x:c>
      <x:c r="E98" s="28" t="str">
        <x:v>сенсорная комплементарность</x:v>
      </x:c>
      <x:c r="F9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«грана падано»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9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98" s="28" t="str">
        <x:v>горечь и терпкость способны подавлять нежные продукты; содержит стимуляторы; аллергенные добавки возможны</x:v>
      </x:c>
      <x:c r="I98" s="28" t="str">
        <x:v>ганаш, плитка, крем, мусс, напиток, глазурь или соус с грана падано</x:v>
      </x:c>
      <x:c r="J98" s="28" t="str">
        <x:v>Средняя</x:v>
      </x:c>
      <x:c r="K98" s="28" t="str">
        <x:v>The Art &amp; Science of Foodpairing.pdf</x:v>
      </x:c>
      <x:c r="L98" s="28" t="str">
        <x:v>The Art &amp; Science of Foodpairing.pdf: 62</x:v>
      </x:c>
    </x:row>
    <x:row r="99" ht="64" customHeight="1">
      <x:c r="A99" s="28" t="str">
        <x:v>NCT-0632</x:v>
      </x:c>
      <x:c r="B99" s="28" t="str">
        <x:v>шоколад</x:v>
      </x:c>
      <x:c r="C99" s="28" t="str">
        <x:v>гранат</x:v>
      </x:c>
      <x:c r="D99" s="28" t="str">
        <x:v>Прочее</x:v>
      </x:c>
      <x:c r="E99" s="28" t="str">
        <x:v>сенсорная комплементарность</x:v>
      </x:c>
      <x:c r="F9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«гранат»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9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99" s="28" t="str">
        <x:v>горечь и терпкость способны подавлять нежные продукты; содержит стимуляторы; аллергенные добавки возможны</x:v>
      </x:c>
      <x:c r="I99" s="28" t="str">
        <x:v>ганаш, плитка, крем, мусс, напиток, глазурь или соус с гранат</x:v>
      </x:c>
      <x:c r="J99" s="28" t="str">
        <x:v>Гипотеза / практическая</x:v>
      </x:c>
      <x:c r="K99" s="28" t="str">
        <x:v>Таблица сочетания(1).pdf</x:v>
      </x:c>
      <x:c r="L99" s="28" t="str">
        <x:v>Таблица сочетания(1).pdf: 17</x:v>
      </x:c>
    </x:row>
    <x:row r="100" ht="64" customHeight="1">
      <x:c r="A100" s="28" t="str">
        <x:v>NCT-0633</x:v>
      </x:c>
      <x:c r="B100" s="28" t="str">
        <x:v>шоколад</x:v>
      </x:c>
      <x:c r="C100" s="28" t="str">
        <x:v>груша</x:v>
      </x:c>
      <x:c r="D100" s="28" t="str">
        <x:v>Фрукты и ягоды</x:v>
      </x:c>
      <x:c r="E100" s="28" t="str">
        <x:v>общие ароматические соединения, пересечение ароматических семейств, контраст кислоты и жирной/горькой матрицы</x:v>
      </x:c>
      <x:c r="F10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«груша»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G10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00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100" s="28" t="str">
        <x:v>ганаш, плитка, крем, мусс, напиток, глазурь или соус с груша</x:v>
      </x:c>
      <x:c r="J100" s="28" t="str">
        <x:v>Высокая</x:v>
      </x:c>
      <x:c r="K100" s="28" t="str">
        <x:v>Таблица сочетания(1).pdf | Тезариус вкусов (Ники Сегнит)(1).pdf</x:v>
      </x:c>
      <x:c r="L100" s="28" t="str">
        <x:v>Таблица сочетания(1).pdf: 16; Тезариус вкусов (Ники Сегнит)(1).pdf: 28, 727</x:v>
      </x:c>
    </x:row>
    <x:row r="101" ht="64" customHeight="1">
      <x:c r="A101" s="28" t="str">
        <x:v>NCT-0634</x:v>
      </x:c>
      <x:c r="B101" s="28" t="str">
        <x:v>шоколад</x:v>
      </x:c>
      <x:c r="C101" s="28" t="str">
        <x:v>дорадо</x:v>
      </x:c>
      <x:c r="D101" s="28" t="str">
        <x:v>Прочее</x:v>
      </x:c>
      <x:c r="E101" s="28" t="str">
        <x:v>сенсорная комплементарность</x:v>
      </x:c>
      <x:c r="F10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«дорадо»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0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01" s="28" t="str">
        <x:v>горечь и терпкость способны подавлять нежные продукты; содержит стимуляторы; аллергенные добавки возможны</x:v>
      </x:c>
      <x:c r="I101" s="28" t="str">
        <x:v>ганаш, плитка, крем, мусс, напиток, глазурь или соус с дорадо</x:v>
      </x:c>
      <x:c r="J101" s="28" t="str">
        <x:v>Средняя</x:v>
      </x:c>
      <x:c r="K101" s="28" t="str">
        <x:v>The Art &amp; Science of Foodpairing.pdf</x:v>
      </x:c>
      <x:c r="L101" s="28" t="str">
        <x:v>The Art &amp; Science of Foodpairing.pdf: 62</x:v>
      </x:c>
    </x:row>
    <x:row r="102" ht="64" customHeight="1">
      <x:c r="A102" s="28" t="str">
        <x:v>NCT-0635</x:v>
      </x:c>
      <x:c r="B102" s="28" t="str">
        <x:v>шоколад</x:v>
      </x:c>
      <x:c r="C102" s="28" t="str">
        <x:v>ежевика</x:v>
      </x:c>
      <x:c r="D102" s="28" t="str">
        <x:v>Прочее</x:v>
      </x:c>
      <x:c r="E102" s="28" t="str">
        <x:v>сенсорная комплементарность</x:v>
      </x:c>
      <x:c r="F10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«ежевика»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0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02" s="28" t="str">
        <x:v>горечь и терпкость способны подавлять нежные продукты; содержит стимуляторы; аллергенные добавки возможны</x:v>
      </x:c>
      <x:c r="I102" s="28" t="str">
        <x:v>ганаш, плитка, крем, мусс, напиток, глазурь или соус с ежевика</x:v>
      </x:c>
      <x:c r="J102" s="28" t="str">
        <x:v>Гипотеза / практическая</x:v>
      </x:c>
      <x:c r="K102" s="28" t="str">
        <x:v>Таблица сочетания(1).pdf</x:v>
      </x:c>
      <x:c r="L102" s="28" t="str">
        <x:v>Таблица сочетания(1).pdf: 2</x:v>
      </x:c>
    </x:row>
    <x:row r="103" ht="64" customHeight="1">
      <x:c r="A103" s="28" t="str">
        <x:v>NCT-0636</x:v>
      </x:c>
      <x:c r="B103" s="28" t="str">
        <x:v>шоколад</x:v>
      </x:c>
      <x:c r="C103" s="28" t="str">
        <x:v>запечённая свёкла</x:v>
      </x:c>
      <x:c r="D103" s="28" t="str">
        <x:v>Овощи, бобовые и грибы</x:v>
      </x:c>
      <x:c r="E103" s="28" t="str">
        <x:v>сенсорная комплементарность</x:v>
      </x:c>
      <x:c r="F10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«запечённая свёкла» относится к группе «Овощи, бобовые и грибы» и даёт землистый, сладкий.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0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03" s="28" t="str">
        <x:v>горечь и терпкость способны подавлять нежные продукты; содержит стимуляторы; аллергенные добавки возможны</x:v>
      </x:c>
      <x:c r="I103" s="28" t="str">
        <x:v>ганаш, плитка, крем, мусс, напиток, глазурь или соус с запечённая свёкла</x:v>
      </x:c>
      <x:c r="J103" s="28" t="str">
        <x:v>Средняя</x:v>
      </x:c>
      <x:c r="K103" s="28" t="str">
        <x:v>The Art &amp; Science of Foodpairing.pdf</x:v>
      </x:c>
      <x:c r="L103" s="28" t="str">
        <x:v>The Art &amp; Science of Foodpairing.pdf: 62</x:v>
      </x:c>
    </x:row>
    <x:row r="104" ht="64" customHeight="1">
      <x:c r="A104" s="28" t="str">
        <x:v>NCT-0637</x:v>
      </x:c>
      <x:c r="B104" s="28" t="str">
        <x:v>шоколад</x:v>
      </x:c>
      <x:c r="C104" s="28" t="str">
        <x:v>зелёный чай</x:v>
      </x:c>
      <x:c r="D104" s="28" t="str">
        <x:v>Чай</x:v>
      </x:c>
      <x:c r="E104" s="28" t="str">
        <x:v>сенсорная комплементарность</x:v>
      </x:c>
      <x:c r="F10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«зелёный чай» относится к группе «Чай» и даёт зелёный, морской, травянистый, цветочный и слегка жареный; у матча — умами.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0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04" s="28" t="str">
        <x:v>горечь и терпкость способны подавлять нежные продукты; содержит стимуляторы; аллергенные добавки возможны</x:v>
      </x:c>
      <x:c r="I104" s="28" t="str">
        <x:v>ганаш, плитка, крем, мусс, напиток, глазурь или соус с зелёный чай</x:v>
      </x:c>
      <x:c r="J104" s="28" t="str">
        <x:v>Средняя</x:v>
      </x:c>
      <x:c r="K104" s="28" t="str">
        <x:v>The Art &amp; Science of Foodpairing.pdf</x:v>
      </x:c>
      <x:c r="L104" s="28" t="str">
        <x:v>The Art &amp; Science of Foodpairing.pdf: 62</x:v>
      </x:c>
    </x:row>
    <x:row r="105" ht="64" customHeight="1">
      <x:c r="A105" s="28" t="str">
        <x:v>NCT-0638</x:v>
      </x:c>
      <x:c r="B105" s="28" t="str">
        <x:v>шоколад</x:v>
      </x:c>
      <x:c r="C105" s="28" t="str">
        <x:v>имбирь</x:v>
      </x:c>
      <x:c r="D105" s="28" t="str">
        <x:v>Специи</x:v>
      </x:c>
      <x:c r="E105" s="28" t="str">
        <x:v>сенсорная комплементарность</x:v>
      </x:c>
      <x:c r="F10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«имбирь» относится к группе «Специи» и даёт пряный, тёплый, цитрусовый.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0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05" s="28" t="str">
        <x:v>горечь и терпкость способны подавлять нежные продукты; содержит стимуляторы; аллергенные добавки возможны</x:v>
      </x:c>
      <x:c r="I105" s="28" t="str">
        <x:v>ганаш, плитка, крем, мусс, напиток, глазурь или соус с имбирь</x:v>
      </x:c>
      <x:c r="J105" s="28" t="str">
        <x:v>Средняя</x:v>
      </x:c>
      <x:c r="K105" s="28" t="str">
        <x:v>Тезариус вкусов (Ники Сегнит)(1).pdf</x:v>
      </x:c>
      <x:c r="L105" s="28" t="str">
        <x:v>Тезариус вкусов (Ники Сегнит)(1).pdf: 29, 822</x:v>
      </x:c>
    </x:row>
    <x:row r="106" ht="64" customHeight="1">
      <x:c r="A106" s="28" t="str">
        <x:v>NCT-0639</x:v>
      </x:c>
      <x:c r="B106" s="28" t="str">
        <x:v>шоколад</x:v>
      </x:c>
      <x:c r="C106" s="28" t="str">
        <x:v>инжир</x:v>
      </x:c>
      <x:c r="D106" s="28" t="str">
        <x:v>Фрукты и ягоды</x:v>
      </x:c>
      <x:c r="E106" s="28" t="str">
        <x:v>общие ароматические соединения, пересечение ароматических семейств, контраст кислоты и жирной/горькой матрицы</x:v>
      </x:c>
      <x:c r="F10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«инжир»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G10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06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106" s="28" t="str">
        <x:v>ганаш, плитка, крем, мусс, напиток, глазурь или соус с инжир</x:v>
      </x:c>
      <x:c r="J106" s="28" t="str">
        <x:v>Средняя</x:v>
      </x:c>
      <x:c r="K106" s="28" t="str">
        <x:v>Тезариус вкусов (Ники Сегнит)(1).pdf</x:v>
      </x:c>
      <x:c r="L106" s="28" t="str">
        <x:v>Тезариус вкусов (Ники Сегнит)(1).pdf: 29, 896</x:v>
      </x:c>
    </x:row>
    <x:row r="107" ht="64" customHeight="1">
      <x:c r="A107" s="28" t="str">
        <x:v>NCT-0640</x:v>
      </x:c>
      <x:c r="B107" s="28" t="str">
        <x:v>шоколад</x:v>
      </x:c>
      <x:c r="C107" s="28" t="str">
        <x:v>кабачок</x:v>
      </x:c>
      <x:c r="D107" s="28" t="str">
        <x:v>Овощи, бобовые и грибы</x:v>
      </x:c>
      <x:c r="E107" s="28" t="str">
        <x:v>общие ароматические соединения</x:v>
      </x:c>
      <x:c r="F10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«кабачок»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0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07" s="28" t="str">
        <x:v>горечь и терпкость способны подавлять нежные продукты; содержит стимуляторы; аллергенные добавки возможны</x:v>
      </x:c>
      <x:c r="I107" s="28" t="str">
        <x:v>ганаш, плитка, крем, мусс, напиток, глазурь или соус с кабачок</x:v>
      </x:c>
      <x:c r="J107" s="28" t="str">
        <x:v>Средняя</x:v>
      </x:c>
      <x:c r="K107" s="28" t="str">
        <x:v>The Art &amp; Science of Foodpairing.pdf</x:v>
      </x:c>
      <x:c r="L107" s="28" t="str">
        <x:v>The Art &amp; Science of Foodpairing.pdf: 62</x:v>
      </x:c>
    </x:row>
    <x:row r="108" ht="64" customHeight="1">
      <x:c r="A108" s="28" t="str">
        <x:v>NCT-0641</x:v>
      </x:c>
      <x:c r="B108" s="28" t="str">
        <x:v>шоколад</x:v>
      </x:c>
      <x:c r="C108" s="28" t="str">
        <x:v>карамель</x:v>
      </x:c>
      <x:c r="D108" s="28" t="str">
        <x:v>Выпечка, сахара и десерты</x:v>
      </x:c>
      <x:c r="E108" s="28" t="str">
        <x:v>общие ароматические соединения, пересечение ароматических семейств, жареная химия и реакции Майяра</x:v>
      </x:c>
      <x:c r="F10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«карамель» относится к группе «Выпечка, сахара и десерты» и даёт жареный, карамельный. Молекулярный мост создают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жареный; фураны.</x:v>
      </x:c>
      <x:c r="G10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08" s="28" t="str">
        <x:v>горечь и терпкость способны подавлять нежные продукты; содержит стимуляторы; аллергенные добавки возможны</x:v>
      </x:c>
      <x:c r="I108" s="28" t="str">
        <x:v>ганаш, плитка, крем, мусс, напиток, глазурь или соус с карамель</x:v>
      </x:c>
      <x:c r="J108" s="28" t="str">
        <x:v>Гипотеза / практическая</x:v>
      </x:c>
      <x:c r="K108" s="28" t="str">
        <x:v>Таблица сочетания(1).pdf</x:v>
      </x:c>
      <x:c r="L108" s="28" t="str">
        <x:v>Таблица сочетания(1).pdf: 3, 5</x:v>
      </x:c>
    </x:row>
    <x:row r="109" ht="64" customHeight="1">
      <x:c r="A109" s="28" t="str">
        <x:v>NCT-0642</x:v>
      </x:c>
      <x:c r="B109" s="28" t="str">
        <x:v>шоколад</x:v>
      </x:c>
      <x:c r="C109" s="28" t="str">
        <x:v>кардамон</x:v>
      </x:c>
      <x:c r="D109" s="28" t="str">
        <x:v>Специи</x:v>
      </x:c>
      <x:c r="E109" s="28" t="str">
        <x:v>сенсорная комплементарность</x:v>
      </x:c>
      <x:c r="F10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«кардамон» относится к группе «Специи» и даёт камфорный, цветочный, цитрусовый.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0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09" s="28" t="str">
        <x:v>горечь и терпкость способны подавлять нежные продукты; содержит стимуляторы; аллергенные добавки возможны</x:v>
      </x:c>
      <x:c r="I109" s="28" t="str">
        <x:v>ганаш, плитка, крем, мусс, напиток, глазурь или соус с кардамон</x:v>
      </x:c>
      <x:c r="J109" s="28" t="str">
        <x:v>Средняя</x:v>
      </x:c>
      <x:c r="K109" s="28" t="str">
        <x:v>Тезариус вкусов (Ники Сегнит)(1).pdf</x:v>
      </x:c>
      <x:c r="L109" s="28" t="str">
        <x:v>Тезариус вкусов (Ники Сегнит)(1).pdf: 29, 830</x:v>
      </x:c>
    </x:row>
    <x:row r="110" ht="64" customHeight="1">
      <x:c r="A110" s="28" t="str">
        <x:v>NCT-0643</x:v>
      </x:c>
      <x:c r="B110" s="28" t="str">
        <x:v>шоколад</x:v>
      </x:c>
      <x:c r="C110" s="28" t="str">
        <x:v>кленовый сироп</x:v>
      </x:c>
      <x:c r="D110" s="28" t="str">
        <x:v>Выпечка, сахара и десерты</x:v>
      </x:c>
      <x:c r="E110" s="28" t="str">
        <x:v>общие ароматические соединения, пересечение ароматических семейств, жареная химия и реакции Майяра</x:v>
      </x:c>
      <x:c r="F11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жареный; пиразины, фураны.</x:v>
      </x:c>
      <x:c r="G11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10" s="28" t="str">
        <x:v>горечь и терпкость способны подавлять нежные продукты; содержит стимуляторы; аллергенные добавки возможны</x:v>
      </x:c>
      <x:c r="I110" s="28" t="str">
        <x:v>ганаш, плитка, крем, мусс, напиток, глазурь или соус с кленовый сироп</x:v>
      </x:c>
      <x:c r="J110" s="28" t="str">
        <x:v>Гипотеза / практическая</x:v>
      </x:c>
      <x:c r="K110" s="28" t="str">
        <x:v>Таблица сочетания(1).pdf</x:v>
      </x:c>
      <x:c r="L110" s="28" t="str">
        <x:v>Таблица сочетания(1).pdf: 5, 13</x:v>
      </x:c>
    </x:row>
    <x:row r="111" ht="64" customHeight="1">
      <x:c r="A111" s="28" t="str">
        <x:v>NCT-0644</x:v>
      </x:c>
      <x:c r="B111" s="28" t="str">
        <x:v>шоколад</x:v>
      </x:c>
      <x:c r="C111" s="28" t="str">
        <x:v>клубника</x:v>
      </x:c>
      <x:c r="D111" s="28" t="str">
        <x:v>Прочее</x:v>
      </x:c>
      <x:c r="E111" s="28" t="str">
        <x:v>общие ароматические соединения, пересечение ароматических семейств</x:v>
      </x:c>
      <x:c r="F11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«клубника» относится к группе «Прочее» и даёт зелёный, карамельный, фруктовый. Молекулярный мост создают эфиры Какао-масло медленно высвобождает липофильные ароматы, а сахар и соль изменяют воспринимаемую горечь. Итог: фруктовый; эфиры.</x:v>
      </x:c>
      <x:c r="G11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11" s="28" t="str">
        <x:v>горечь и терпкость способны подавлять нежные продукты; содержит стимуляторы; аллергенные добавки возможны</x:v>
      </x:c>
      <x:c r="I111" s="28" t="str">
        <x:v>ганаш, плитка, крем, мусс, напиток, глазурь или соус с клубника</x:v>
      </x:c>
      <x:c r="J111" s="28" t="str">
        <x:v>Высокая</x:v>
      </x:c>
      <x:c r="K111" s="28" t="str">
        <x:v>Таблица сочетания(1).pdf | Тезариус вкусов (Ники Сегнит)(1).pdf</x:v>
      </x:c>
      <x:c r="L111" s="28" t="str">
        <x:v>Таблица сочетания(1).pdf: 5, 20; Тезариус вкусов (Ники Сегнит)(1).pdf: 31, 699</x:v>
      </x:c>
    </x:row>
    <x:row r="112" ht="64" customHeight="1">
      <x:c r="A112" s="28" t="str">
        <x:v>NCT-0645</x:v>
      </x:c>
      <x:c r="B112" s="28" t="str">
        <x:v>шоколад</x:v>
      </x:c>
      <x:c r="C112" s="28" t="str">
        <x:v>клюква</x:v>
      </x:c>
      <x:c r="D112" s="28" t="str">
        <x:v>Прочее</x:v>
      </x:c>
      <x:c r="E112" s="28" t="str">
        <x:v>сенсорная комплементарность</x:v>
      </x:c>
      <x:c r="F11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«клюква»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1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12" s="28" t="str">
        <x:v>горечь и терпкость способны подавлять нежные продукты; содержит стимуляторы; аллергенные добавки возможны</x:v>
      </x:c>
      <x:c r="I112" s="28" t="str">
        <x:v>ганаш, плитка, крем, мусс, напиток, глазурь или соус с клюква</x:v>
      </x:c>
      <x:c r="J112" s="28" t="str">
        <x:v>Средняя</x:v>
      </x:c>
      <x:c r="K112" s="28" t="str">
        <x:v>The Art &amp; Science of Foodpairing.pdf</x:v>
      </x:c>
      <x:c r="L112" s="28" t="str">
        <x:v>The Art &amp; Science of Foodpairing.pdf: 62</x:v>
      </x:c>
    </x:row>
    <x:row r="113" ht="64" customHeight="1">
      <x:c r="A113" s="28" t="str">
        <x:v>NCT-0646</x:v>
      </x:c>
      <x:c r="B113" s="28" t="str">
        <x:v>шоколад</x:v>
      </x:c>
      <x:c r="C113" s="28" t="str">
        <x:v>козий сыр</x:v>
      </x:c>
      <x:c r="D113" s="28" t="str">
        <x:v>Молочные продукты и сыры</x:v>
      </x:c>
      <x:c r="E113" s="28" t="str">
        <x:v>жировая экстракция и связывание полифенолов белком</x:v>
      </x:c>
      <x:c r="F11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«козий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1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13" s="28" t="str">
        <x:v>горечь и терпкость способны подавлять нежные продукты; содержит стимуляторы; аллергенные добавки возможны; жир способен приглушить тонкую ароматику; белок связывает полифенолы</x:v>
      </x:c>
      <x:c r="I113" s="28" t="str">
        <x:v>ганаш, плитка, крем, мусс, напиток, глазурь или соус с козий сыр</x:v>
      </x:c>
      <x:c r="J113" s="28" t="str">
        <x:v>Средняя</x:v>
      </x:c>
      <x:c r="K113" s="28" t="str">
        <x:v>Тезариус вкусов (Ники Сегнит)(1).pdf</x:v>
      </x:c>
      <x:c r="L113" s="28" t="str">
        <x:v>Тезариус вкусов (Ники Сегнит)(1).pdf: 31, 145</x:v>
      </x:c>
    </x:row>
    <x:row r="114" ht="64" customHeight="1">
      <x:c r="A114" s="28" t="str">
        <x:v>NCT-0647</x:v>
      </x:c>
      <x:c r="B114" s="28" t="str">
        <x:v>шоколад</x:v>
      </x:c>
      <x:c r="C114" s="28" t="str">
        <x:v>кокос</x:v>
      </x:c>
      <x:c r="D114" s="28" t="str">
        <x:v>Прочее</x:v>
      </x:c>
      <x:c r="E114" s="28" t="str">
        <x:v>сенсорная комплементарность</x:v>
      </x:c>
      <x:c r="F11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«кокос» относится к группе «Прочее» и даёт лактонный, сливочный.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1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14" s="28" t="str">
        <x:v>горечь и терпкость способны подавлять нежные продукты; содержит стимуляторы; аллергенные добавки возможны</x:v>
      </x:c>
      <x:c r="I114" s="28" t="str">
        <x:v>ганаш, плитка, крем, мусс, напиток, глазурь или соус с кокос</x:v>
      </x:c>
      <x:c r="J114" s="28" t="str">
        <x:v>Высокая</x:v>
      </x:c>
      <x:c r="K114" s="28" t="str">
        <x:v>Таблица сочетания(1).pdf | Тезариус вкусов (Ники Сегнит)(1).pdf</x:v>
      </x:c>
      <x:c r="L114" s="28" t="str">
        <x:v>Таблица сочетания(1).pdf: 5; Тезариус вкусов (Ники Сегнит)(1).pdf: 31, 761</x:v>
      </x:c>
    </x:row>
    <x:row r="115" ht="64" customHeight="1">
      <x:c r="A115" s="28" t="str">
        <x:v>NCT-0648</x:v>
      </x:c>
      <x:c r="B115" s="28" t="str">
        <x:v>шоколад</x:v>
      </x:c>
      <x:c r="C115" s="28" t="str">
        <x:v>кокосовая вода</x:v>
      </x:c>
      <x:c r="D115" s="28" t="str">
        <x:v>Прочее</x:v>
      </x:c>
      <x:c r="E115" s="28" t="str">
        <x:v>сенсорная комплементарность</x:v>
      </x:c>
      <x:c r="F11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«кокосовая вода» относится к группе «Прочее» и даёт лактонный, сливочный.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1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15" s="28" t="str">
        <x:v>горечь и терпкость способны подавлять нежные продукты; содержит стимуляторы; аллергенные добавки возможны</x:v>
      </x:c>
      <x:c r="I115" s="28" t="str">
        <x:v>ганаш, плитка, крем, мусс, напиток, глазурь или соус с кокосовая вода</x:v>
      </x:c>
      <x:c r="J115" s="28" t="str">
        <x:v>Средняя</x:v>
      </x:c>
      <x:c r="K115" s="28" t="str">
        <x:v>The Art &amp; Science of Foodpairing.pdf</x:v>
      </x:c>
      <x:c r="L115" s="28" t="str">
        <x:v>The Art &amp; Science of Foodpairing.pdf: 62</x:v>
      </x:c>
    </x:row>
    <x:row r="116" ht="64" customHeight="1">
      <x:c r="A116" s="28" t="str">
        <x:v>NCT-0649</x:v>
      </x:c>
      <x:c r="B116" s="28" t="str">
        <x:v>шоколад</x:v>
      </x:c>
      <x:c r="C116" s="28" t="str">
        <x:v>кольраби</x:v>
      </x:c>
      <x:c r="D116" s="28" t="str">
        <x:v>Прочее</x:v>
      </x:c>
      <x:c r="E116" s="28" t="str">
        <x:v>сенсорная комплементарность</x:v>
      </x:c>
      <x:c r="F11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«кольраби»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1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16" s="28" t="str">
        <x:v>горечь и терпкость способны подавлять нежные продукты; содержит стимуляторы; аллергенные добавки возможны</x:v>
      </x:c>
      <x:c r="I116" s="28" t="str">
        <x:v>ганаш, плитка, крем, мусс, напиток, глазурь или соус с кольраби</x:v>
      </x:c>
      <x:c r="J116" s="28" t="str">
        <x:v>Средняя</x:v>
      </x:c>
      <x:c r="K116" s="28" t="str">
        <x:v>The Art &amp; Science of Foodpairing.pdf</x:v>
      </x:c>
      <x:c r="L116" s="28" t="str">
        <x:v>The Art &amp; Science of Foodpairing.pdf: 62</x:v>
      </x:c>
    </x:row>
    <x:row r="117" ht="64" customHeight="1">
      <x:c r="A117" s="28" t="str">
        <x:v>NCT-0650</x:v>
      </x:c>
      <x:c r="B117" s="28" t="str">
        <x:v>шоколад</x:v>
      </x:c>
      <x:c r="C117" s="28" t="str">
        <x:v>корица</x:v>
      </x:c>
      <x:c r="D117" s="28" t="str">
        <x:v>Специи</x:v>
      </x:c>
      <x:c r="E117" s="28" t="str">
        <x:v>пересечение ароматических семейств</x:v>
      </x:c>
      <x:c r="F11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«корица» относится к группе «Специи» и даёт древесный, пряный.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G11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17" s="28" t="str">
        <x:v>горечь и терпкость способны подавлять нежные продукты; содержит стимуляторы; аллергенные добавки возможны</x:v>
      </x:c>
      <x:c r="I117" s="28" t="str">
        <x:v>ганаш, плитка, крем, мусс, напиток, глазурь или соус с корица</x:v>
      </x:c>
      <x:c r="J117" s="28" t="str">
        <x:v>Высокая</x:v>
      </x:c>
      <x:c r="K117" s="28" t="str">
        <x:v>The Art &amp; Science of Foodpairing.pdf | Таблица сочетания(1).pdf | Тезариус вкусов (Ники Сегнит)(1).pdf</x:v>
      </x:c>
      <x:c r="L117" s="28" t="str">
        <x:v>The Art &amp; Science of Foodpairing.pdf: 62; Таблица сочетания(1).pdf: 5; Тезариус вкусов (Ники Сегнит)(1).pdf: 32, 580</x:v>
      </x:c>
    </x:row>
    <x:row r="118" ht="64" customHeight="1">
      <x:c r="A118" s="28" t="str">
        <x:v>NCT-0651</x:v>
      </x:c>
      <x:c r="B118" s="28" t="str">
        <x:v>шоколад</x:v>
      </x:c>
      <x:c r="C118" s="28" t="str">
        <x:v>корица и кассия</x:v>
      </x:c>
      <x:c r="D118" s="28" t="str">
        <x:v>Специи</x:v>
      </x:c>
      <x:c r="E118" s="28" t="str">
        <x:v>пересечение ароматических семейств</x:v>
      </x:c>
      <x:c r="F11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«корица и кассия» относится к группе «Специи» и даёт древесный, пряный.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G11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18" s="28" t="str">
        <x:v>горечь и терпкость способны подавлять нежные продукты; содержит стимуляторы; аллергенные добавки возможны</x:v>
      </x:c>
      <x:c r="I118" s="28" t="str">
        <x:v>ганаш, плитка, крем, мусс, напиток, глазурь или соус с корица и кассия</x:v>
      </x:c>
      <x:c r="J118" s="28" t="str">
        <x:v>Средняя</x:v>
      </x:c>
      <x:c r="K118" s="28" t="str">
        <x:v>The Art &amp; Science of Foodpairing.pdf</x:v>
      </x:c>
      <x:c r="L118" s="28" t="str">
        <x:v>The Art &amp; Science of Foodpairing.pdf: 130</x:v>
      </x:c>
    </x:row>
    <x:row r="119" ht="64" customHeight="1">
      <x:c r="A119" s="28" t="str">
        <x:v>NCT-0652</x:v>
      </x:c>
      <x:c r="B119" s="28" t="str">
        <x:v>шоколад</x:v>
      </x:c>
      <x:c r="C119" s="28" t="str">
        <x:v>кофе</x:v>
      </x:c>
      <x:c r="D119" s="28" t="str">
        <x:v>Кофе</x:v>
      </x:c>
      <x:c r="E119" s="28" t="str">
        <x:v>общие ароматические соединения, пересечение ароматических семейств, жареная химия и реакции Майяра</x:v>
      </x:c>
      <x:c r="F11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жареный; пиразины, фураны.</x:v>
      </x:c>
      <x:c r="G11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19" s="28" t="str">
        <x:v>горечь и терпкость способны подавлять нежные продукты; содержит стимуляторы; аллергенные добавки возможны</x:v>
      </x:c>
      <x:c r="I119" s="28" t="str">
        <x:v>ганаш, плитка, крем, мусс, напиток, глазурь или соус с кофе</x:v>
      </x:c>
      <x:c r="J119" s="28" t="str">
        <x:v>Высокая</x:v>
      </x:c>
      <x:c r="K119" s="28" t="str">
        <x:v>The Art &amp; Science of Foodpairing.pdf | Таблица сочетания(1).pdf | Тезариус вкусов (Ники Сегнит)(1).pdf</x:v>
      </x:c>
      <x:c r="L119" s="28" t="str">
        <x:v>The Art &amp; Science of Foodpairing.pdf: 62, 296, 297; Таблица сочетания(1).pdf: 5, 6; Тезариус вкусов (Ники Сегнит)(1).pdf: 32, 48</x:v>
      </x:c>
    </x:row>
    <x:row r="120" ht="64" customHeight="1">
      <x:c r="A120" s="28" t="str">
        <x:v>NCT-0653</x:v>
      </x:c>
      <x:c r="B120" s="28" t="str">
        <x:v>шоколад</x:v>
      </x:c>
      <x:c r="C120" s="28" t="str">
        <x:v>красный апельсин</x:v>
      </x:c>
      <x:c r="D120" s="28" t="str">
        <x:v>Фрукты и ягоды</x:v>
      </x:c>
      <x:c r="E120" s="28" t="str">
        <x:v>контраст кислоты и жирной/горькой матрицы</x:v>
      </x:c>
      <x:c r="F12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«красный 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2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0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120" s="28" t="str">
        <x:v>ганаш, плитка, крем, мусс, напиток, глазурь или соус с красный апельсин</x:v>
      </x:c>
      <x:c r="J120" s="28" t="str">
        <x:v>Гипотеза / практическая</x:v>
      </x:c>
      <x:c r="K120" s="28" t="str">
        <x:v>Таблица сочетания(1).pdf</x:v>
      </x:c>
      <x:c r="L120" s="28" t="str">
        <x:v>Таблица сочетания(1).pdf: 3</x:v>
      </x:c>
    </x:row>
    <x:row r="121" ht="64" customHeight="1">
      <x:c r="A121" s="28" t="str">
        <x:v>NCT-0654</x:v>
      </x:c>
      <x:c r="B121" s="28" t="str">
        <x:v>шоколад</x:v>
      </x:c>
      <x:c r="C121" s="28" t="str">
        <x:v>лайм</x:v>
      </x:c>
      <x:c r="D121" s="28" t="str">
        <x:v>Фрукты и ягоды</x:v>
      </x:c>
      <x:c r="E121" s="28" t="str">
        <x:v>контраст кислоты и жирной/горькой матрицы</x:v>
      </x:c>
      <x:c r="F12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«лайм» относится к группе «Фрукты и ягоды» и даёт зелёный, цитрусовый.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2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1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121" s="28" t="str">
        <x:v>ганаш, плитка, крем, мусс, напиток, глазурь или соус с лайм</x:v>
      </x:c>
      <x:c r="J121" s="28" t="str">
        <x:v>Средняя</x:v>
      </x:c>
      <x:c r="K121" s="28" t="str">
        <x:v>Тезариус вкусов (Ники Сегнит)(1).pdf</x:v>
      </x:c>
      <x:c r="L121" s="28" t="str">
        <x:v>Тезариус вкусов (Ники Сегнит)(1).pdf: 32, 798</x:v>
      </x:c>
    </x:row>
    <x:row r="122" ht="64" customHeight="1">
      <x:c r="A122" s="28" t="str">
        <x:v>NCT-0655</x:v>
      </x:c>
      <x:c r="B122" s="28" t="str">
        <x:v>шоколад</x:v>
      </x:c>
      <x:c r="C122" s="28" t="str">
        <x:v>лимон</x:v>
      </x:c>
      <x:c r="D122" s="28" t="str">
        <x:v>Фрукты и ягоды</x:v>
      </x:c>
      <x:c r="E122" s="28" t="str">
        <x:v>контраст кислоты и жирной/горькой матрицы</x:v>
      </x:c>
      <x:c r="F12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2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2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122" s="28" t="str">
        <x:v>ганаш, плитка, крем, мусс, напиток, глазурь или соус с лимон</x:v>
      </x:c>
      <x:c r="J122" s="28" t="str">
        <x:v>Средняя</x:v>
      </x:c>
      <x:c r="K122" s="28" t="str">
        <x:v>Тезариус вкусов (Ники Сегнит)(1).pdf</x:v>
      </x:c>
      <x:c r="L122" s="28" t="str">
        <x:v>Тезариус вкусов (Ники Сегнит)(1).pdf: 33, 811</x:v>
      </x:c>
    </x:row>
    <x:row r="123" ht="64" customHeight="1">
      <x:c r="A123" s="28" t="str">
        <x:v>NCT-0656</x:v>
      </x:c>
      <x:c r="B123" s="28" t="str">
        <x:v>шоколад</x:v>
      </x:c>
      <x:c r="C123" s="28" t="str">
        <x:v>лист макрут-лайма</x:v>
      </x:c>
      <x:c r="D123" s="28" t="str">
        <x:v>Фрукты и ягоды</x:v>
      </x:c>
      <x:c r="E123" s="28" t="str">
        <x:v>контраст кислоты и жирной/горькой матрицы</x:v>
      </x:c>
      <x:c r="F12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«лист макрут-лайма» относится к группе «Фрукты и ягоды» и даёт зелёный, цитрусовый.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2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3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123" s="28" t="str">
        <x:v>ганаш, плитка, крем, мусс, напиток, глазурь или соус с лист макрут-лайма</x:v>
      </x:c>
      <x:c r="J123" s="28" t="str">
        <x:v>Средняя</x:v>
      </x:c>
      <x:c r="K123" s="28" t="str">
        <x:v>The Art &amp; Science of Foodpairing.pdf</x:v>
      </x:c>
      <x:c r="L123" s="28" t="str">
        <x:v>The Art &amp; Science of Foodpairing.pdf: 62</x:v>
      </x:c>
    </x:row>
    <x:row r="124" ht="64" customHeight="1">
      <x:c r="A124" s="28" t="str">
        <x:v>NCT-0657</x:v>
      </x:c>
      <x:c r="B124" s="28" t="str">
        <x:v>шоколад</x:v>
      </x:c>
      <x:c r="C124" s="28" t="str">
        <x:v>мадрасская паста карри</x:v>
      </x:c>
      <x:c r="D124" s="28" t="str">
        <x:v>Прочее</x:v>
      </x:c>
      <x:c r="E124" s="28" t="str">
        <x:v>сенсорная комплементарность</x:v>
      </x:c>
      <x:c r="F12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«мадрасская паста карри»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2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4" s="28" t="str">
        <x:v>горечь и терпкость способны подавлять нежные продукты; содержит стимуляторы; аллергенные добавки возможны</x:v>
      </x:c>
      <x:c r="I124" s="28" t="str">
        <x:v>ганаш, плитка, крем, мусс, напиток, глазурь или соус с мадрасская паста карри</x:v>
      </x:c>
      <x:c r="J124" s="28" t="str">
        <x:v>Средняя</x:v>
      </x:c>
      <x:c r="K124" s="28" t="str">
        <x:v>The Art &amp; Science of Foodpairing.pdf</x:v>
      </x:c>
      <x:c r="L124" s="28" t="str">
        <x:v>The Art &amp; Science of Foodpairing.pdf: 62</x:v>
      </x:c>
    </x:row>
    <x:row r="125" ht="64" customHeight="1">
      <x:c r="A125" s="28" t="str">
        <x:v>NCT-0658</x:v>
      </x:c>
      <x:c r="B125" s="28" t="str">
        <x:v>шоколад</x:v>
      </x:c>
      <x:c r="C125" s="28" t="str">
        <x:v>малина</x:v>
      </x:c>
      <x:c r="D125" s="28" t="str">
        <x:v>Прочее</x:v>
      </x:c>
      <x:c r="E125" s="28" t="str">
        <x:v>сенсорная комплементарность</x:v>
      </x:c>
      <x:c r="F12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«малина» относится к группе «Прочее» и даёт цветочный, ягодный.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2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5" s="28" t="str">
        <x:v>горечь и терпкость способны подавлять нежные продукты; содержит стимуляторы; аллергенные добавки возможны</x:v>
      </x:c>
      <x:c r="I125" s="28" t="str">
        <x:v>ганаш, плитка, крем, мусс, напиток, глазурь или соус с малина</x:v>
      </x:c>
      <x:c r="J125" s="28" t="str">
        <x:v>Высокая</x:v>
      </x:c>
      <x:c r="K125" s="28" t="str">
        <x:v>Таблица сочетания(1).pdf | Тезариус вкусов (Ники Сегнит)(1).pdf</x:v>
      </x:c>
      <x:c r="L125" s="28" t="str">
        <x:v>Таблица сочетания(1).pdf: 5; Тезариус вкусов (Ники Сегнит)(1).pdf: 33, 890</x:v>
      </x:c>
    </x:row>
    <x:row r="126" ht="64" customHeight="1">
      <x:c r="A126" s="28" t="str">
        <x:v>NCT-0659</x:v>
      </x:c>
      <x:c r="B126" s="28" t="str">
        <x:v>шоколад</x:v>
      </x:c>
      <x:c r="C126" s="28" t="str">
        <x:v>мандарин</x:v>
      </x:c>
      <x:c r="D126" s="28" t="str">
        <x:v>Прочее</x:v>
      </x:c>
      <x:c r="E126" s="28" t="str">
        <x:v>сенсорная комплементарность</x:v>
      </x:c>
      <x:c r="F12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«мандарин»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2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6" s="28" t="str">
        <x:v>горечь и терпкость способны подавлять нежные продукты; содержит стимуляторы; аллергенные добавки возможны</x:v>
      </x:c>
      <x:c r="I126" s="28" t="str">
        <x:v>ганаш, плитка, крем, мусс, напиток, глазурь или соус с мандарин</x:v>
      </x:c>
      <x:c r="J126" s="28" t="str">
        <x:v>Гипотеза / практическая</x:v>
      </x:c>
      <x:c r="K126" s="28" t="str">
        <x:v>Таблица сочетания(1).pdf</x:v>
      </x:c>
      <x:c r="L126" s="28" t="str">
        <x:v>Таблица сочетания(1).pdf: 12</x:v>
      </x:c>
    </x:row>
    <x:row r="127" ht="64" customHeight="1">
      <x:c r="A127" s="28" t="str">
        <x:v>NCT-0660</x:v>
      </x:c>
      <x:c r="B127" s="28" t="str">
        <x:v>шоколад</x:v>
      </x:c>
      <x:c r="C127" s="28" t="str">
        <x:v>морской фенхель</x:v>
      </x:c>
      <x:c r="D127" s="28" t="str">
        <x:v>Прочее</x:v>
      </x:c>
      <x:c r="E127" s="28" t="str">
        <x:v>сенсорная комплементарность</x:v>
      </x:c>
      <x:c r="F12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«морской фенхель»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2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7" s="28" t="str">
        <x:v>горечь и терпкость способны подавлять нежные продукты; содержит стимуляторы; аллергенные добавки возможны</x:v>
      </x:c>
      <x:c r="I127" s="28" t="str">
        <x:v>ганаш, плитка, крем, мусс, напиток, глазурь или соус с морской фенхель</x:v>
      </x:c>
      <x:c r="J127" s="28" t="str">
        <x:v>Средняя</x:v>
      </x:c>
      <x:c r="K127" s="28" t="str">
        <x:v>The Art &amp; Science of Foodpairing.pdf</x:v>
      </x:c>
      <x:c r="L127" s="28" t="str">
        <x:v>The Art &amp; Science of Foodpairing.pdf: 62</x:v>
      </x:c>
    </x:row>
    <x:row r="128" ht="64" customHeight="1">
      <x:c r="A128" s="28" t="str">
        <x:v>NCT-0661</x:v>
      </x:c>
      <x:c r="B128" s="28" t="str">
        <x:v>шоколад</x:v>
      </x:c>
      <x:c r="C128" s="28" t="str">
        <x:v>мускатный орех</x:v>
      </x:c>
      <x:c r="D128" s="28" t="str">
        <x:v>Орехи и семена</x:v>
      </x:c>
      <x:c r="E128" s="28" t="str">
        <x:v>жареная химия и реакции Майяра</x:v>
      </x:c>
      <x:c r="F12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«мускатный орех» относится к группе «Орехи и семена» и даёт камфорный, ореховый, пряный.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2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8" s="28" t="str">
        <x:v>горечь и терпкость способны подавлять нежные продукты; содержит стимуляторы; аллергенные добавки возможны</x:v>
      </x:c>
      <x:c r="I128" s="28" t="str">
        <x:v>ганаш, плитка, крем, мусс, напиток, глазурь или соус с мускатный орех</x:v>
      </x:c>
      <x:c r="J128" s="28" t="str">
        <x:v>Средняя</x:v>
      </x:c>
      <x:c r="K128" s="28" t="str">
        <x:v>Тезариус вкусов (Ники Сегнит)(1).pdf</x:v>
      </x:c>
      <x:c r="L128" s="28" t="str">
        <x:v>Тезариус вкусов (Ники Сегнит)(1).pdf: 34, 592</x:v>
      </x:c>
    </x:row>
    <x:row r="129" ht="64" customHeight="1">
      <x:c r="A129" s="28" t="str">
        <x:v>NCT-0662</x:v>
      </x:c>
      <x:c r="B129" s="28" t="str">
        <x:v>шоколад</x:v>
      </x:c>
      <x:c r="C129" s="28" t="str">
        <x:v>мята</x:v>
      </x:c>
      <x:c r="D129" s="28" t="str">
        <x:v>Травы, цветы и листья</x:v>
      </x:c>
      <x:c r="E129" s="28" t="str">
        <x:v>сенсорная комплементарность</x:v>
      </x:c>
      <x:c r="F12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«мята» относится к группе «Травы, цветы и листья» и даёт зелёный, холодящий.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2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9" s="28" t="str">
        <x:v>горечь и терпкость способны подавлять нежные продукты; содержит стимуляторы; аллергенные добавки возможны</x:v>
      </x:c>
      <x:c r="I129" s="28" t="str">
        <x:v>ганаш, плитка, крем, мусс, напиток, глазурь или соус с мята</x:v>
      </x:c>
      <x:c r="J129" s="28" t="str">
        <x:v>Высокая</x:v>
      </x:c>
      <x:c r="K129" s="28" t="str">
        <x:v>Таблица сочетания(1).pdf | Тезариус вкусов (Ники Сегнит)(1).pdf</x:v>
      </x:c>
      <x:c r="L129" s="28" t="str">
        <x:v>Таблица сочетания(1).pdf: 5; Тезариус вкусов (Ники Сегнит)(1).pdf: 35, 871</x:v>
      </x:c>
    </x:row>
    <x:row r="130" ht="64" customHeight="1">
      <x:c r="A130" s="28" t="str">
        <x:v>NCT-0663</x:v>
      </x:c>
      <x:c r="B130" s="28" t="str">
        <x:v>шоколад</x:v>
      </x:c>
      <x:c r="C130" s="28" t="str">
        <x:v>мёд</x:v>
      </x:c>
      <x:c r="D130" s="28" t="str">
        <x:v>Выпечка, сахара и десерты</x:v>
      </x:c>
      <x:c r="E130" s="28" t="str">
        <x:v>жареная химия и реакции Майяра</x:v>
      </x:c>
      <x:c r="F13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«мёд» относится к группе «Выпечка, сахара и десерты» и даёт медовый, цветочный.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3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0" s="28" t="str">
        <x:v>горечь и терпкость способны подавлять нежные продукты; содержит стимуляторы; аллергенные добавки возможны</x:v>
      </x:c>
      <x:c r="I130" s="28" t="str">
        <x:v>ганаш, плитка, крем, мусс, напиток, глазурь или соус с мёд</x:v>
      </x:c>
      <x:c r="J130" s="28" t="str">
        <x:v>Гипотеза / практическая</x:v>
      </x:c>
      <x:c r="K130" s="28" t="str">
        <x:v>Таблица сочетания(1).pdf</x:v>
      </x:c>
      <x:c r="L130" s="28" t="str">
        <x:v>Таблица сочетания(1).pdf: 5, 9</x:v>
      </x:c>
    </x:row>
    <x:row r="131" ht="64" customHeight="1">
      <x:c r="A131" s="28" t="str">
        <x:v>NCT-0664</x:v>
      </x:c>
      <x:c r="B131" s="28" t="str">
        <x:v>шоколад</x:v>
      </x:c>
      <x:c r="C131" s="28" t="str">
        <x:v>нектарин</x:v>
      </x:c>
      <x:c r="D131" s="28" t="str">
        <x:v>Прочее</x:v>
      </x:c>
      <x:c r="E131" s="28" t="str">
        <x:v>сенсорная комплементарность</x:v>
      </x:c>
      <x:c r="F13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«нектарин»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3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1" s="28" t="str">
        <x:v>горечь и терпкость способны подавлять нежные продукты; содержит стимуляторы; аллергенные добавки возможны</x:v>
      </x:c>
      <x:c r="I131" s="28" t="str">
        <x:v>ганаш, плитка, крем, мусс, напиток, глазурь или соус с нектарин</x:v>
      </x:c>
      <x:c r="J131" s="28" t="str">
        <x:v>Гипотеза / практическая</x:v>
      </x:c>
      <x:c r="K131" s="28" t="str">
        <x:v>Таблица сочетания(1).pdf</x:v>
      </x:c>
      <x:c r="L131" s="28" t="str">
        <x:v>Таблица сочетания(1).pdf: 14</x:v>
      </x:c>
    </x:row>
    <x:row r="132" ht="64" customHeight="1">
      <x:c r="A132" s="28" t="str">
        <x:v>NCT-0665</x:v>
      </x:c>
      <x:c r="B132" s="28" t="str">
        <x:v>шоколад</x:v>
      </x:c>
      <x:c r="C132" s="28" t="str">
        <x:v>оливковое масло</x:v>
      </x:c>
      <x:c r="D132" s="28" t="str">
        <x:v>Масла и жиры</x:v>
      </x:c>
      <x:c r="E132" s="28" t="str">
        <x:v>общие ароматические соединения, пересечение ароматических семейств</x:v>
      </x:c>
      <x:c r="F13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«оливковое масло» относится к группе «Масла и жиры» и даёт жирный и мягкий. Молекулярный мост создают альдегиды Какао-масло медленно высвобождает липофильные ароматы, а сахар и соль изменяют воспринимаемую горечь. Итог: фруктовый; альдегиды.</x:v>
      </x:c>
      <x:c r="G13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2" s="28" t="str">
        <x:v>горечь и терпкость способны подавлять нежные продукты; содержит стимуляторы; аллергенные добавки возможны</x:v>
      </x:c>
      <x:c r="I132" s="28" t="str">
        <x:v>ганаш, плитка, крем, мусс, напиток, глазурь или соус с оливковое масло</x:v>
      </x:c>
      <x:c r="J132" s="28" t="str">
        <x:v>Высокая</x:v>
      </x:c>
      <x:c r="K132" s="28" t="str">
        <x:v>The Art &amp; Science of Foodpairing.pdf</x:v>
      </x:c>
      <x:c r="L132" s="28" t="str">
        <x:v>The Art &amp; Science of Foodpairing.pdf: 171, 172</x:v>
      </x:c>
    </x:row>
    <x:row r="133" ht="64" customHeight="1">
      <x:c r="A133" s="28" t="str">
        <x:v>NCT-0666</x:v>
      </x:c>
      <x:c r="B133" s="28" t="str">
        <x:v>шоколад</x:v>
      </x:c>
      <x:c r="C133" s="28" t="str">
        <x:v>оливковое масло арбекина</x:v>
      </x:c>
      <x:c r="D133" s="28" t="str">
        <x:v>Масла и жиры</x:v>
      </x:c>
      <x:c r="E133" s="28" t="str">
        <x:v>общие ароматические соединения, пересечение ароматических семейств</x:v>
      </x:c>
      <x:c r="F13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«оливковое масло арбекина» относится к группе «Масла и жиры» и даёт жирный и мягкий. Молекулярный мост создают альдегиды Какао-масло медленно высвобождает липофильные ароматы, а сахар и соль изменяют воспринимаемую горечь. Итог: фруктовый; альдегиды.</x:v>
      </x:c>
      <x:c r="G13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3" s="28" t="str">
        <x:v>горечь и терпкость способны подавлять нежные продукты; содержит стимуляторы; аллергенные добавки возможны</x:v>
      </x:c>
      <x:c r="I133" s="28" t="str">
        <x:v>ганаш, плитка, крем, мусс, напиток, глазурь или соус с оливковое масло арбекина</x:v>
      </x:c>
      <x:c r="J133" s="28" t="str">
        <x:v>Средняя</x:v>
      </x:c>
      <x:c r="K133" s="28" t="str">
        <x:v>The Art &amp; Science of Foodpairing.pdf</x:v>
      </x:c>
      <x:c r="L133" s="28" t="str">
        <x:v>The Art &amp; Science of Foodpairing.pdf: 62</x:v>
      </x:c>
    </x:row>
    <x:row r="134" ht="64" customHeight="1">
      <x:c r="A134" s="28" t="str">
        <x:v>NCT-0667</x:v>
      </x:c>
      <x:c r="B134" s="28" t="str">
        <x:v>шоколад</x:v>
      </x:c>
      <x:c r="C134" s="28" t="str">
        <x:v>пак-чой</x:v>
      </x:c>
      <x:c r="D134" s="28" t="str">
        <x:v>Прочее</x:v>
      </x:c>
      <x:c r="E134" s="28" t="str">
        <x:v>сенсорная комплементарность</x:v>
      </x:c>
      <x:c r="F13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«пак-чой»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3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4" s="28" t="str">
        <x:v>горечь и терпкость способны подавлять нежные продукты; содержит стимуляторы; аллергенные добавки возможны</x:v>
      </x:c>
      <x:c r="I134" s="28" t="str">
        <x:v>ганаш, плитка, крем, мусс, напиток, глазурь или соус с пак-чой</x:v>
      </x:c>
      <x:c r="J134" s="28" t="str">
        <x:v>Средняя</x:v>
      </x:c>
      <x:c r="K134" s="28" t="str">
        <x:v>The Art &amp; Science of Foodpairing.pdf</x:v>
      </x:c>
      <x:c r="L134" s="28" t="str">
        <x:v>The Art &amp; Science of Foodpairing.pdf: 62</x:v>
      </x:c>
    </x:row>
    <x:row r="135" ht="64" customHeight="1">
      <x:c r="A135" s="28" t="str">
        <x:v>NCT-0668</x:v>
      </x:c>
      <x:c r="B135" s="28" t="str">
        <x:v>шоколад</x:v>
      </x:c>
      <x:c r="C135" s="28" t="str">
        <x:v>персик</x:v>
      </x:c>
      <x:c r="D135" s="28" t="str">
        <x:v>Фрукты и ягоды</x:v>
      </x:c>
      <x:c r="E135" s="28" t="str">
        <x:v>пересечение ароматических семейств, контраст кислоты и жирной/горькой матрицы</x:v>
      </x:c>
      <x:c r="F13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«персик» относится к группе «Фрукты и ягоды» и даёт лактонный, фруктовый, цветочный. Профили пересекаются в семействах: фруктовый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механизм не следует сводить к одной общей молекуле.</x:v>
      </x:c>
      <x:c r="G13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5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135" s="28" t="str">
        <x:v>ганаш, плитка, крем, мусс, напиток, глазурь или соус с персик</x:v>
      </x:c>
      <x:c r="J135" s="28" t="str">
        <x:v>Высокая</x:v>
      </x:c>
      <x:c r="K135" s="28" t="str">
        <x:v>The Art &amp; Science of Foodpairing.pdf | Таблица сочетания(1).pdf</x:v>
      </x:c>
      <x:c r="L135" s="28" t="str">
        <x:v>The Art &amp; Science of Foodpairing.pdf: 62; Таблица сочетания(1).pdf: 15</x:v>
      </x:c>
    </x:row>
    <x:row r="136" ht="64" customHeight="1">
      <x:c r="A136" s="28" t="str">
        <x:v>NCT-0669</x:v>
      </x:c>
      <x:c r="B136" s="28" t="str">
        <x:v>шоколад</x:v>
      </x:c>
      <x:c r="C136" s="28" t="str">
        <x:v>портвейн</x:v>
      </x:c>
      <x:c r="D136" s="28" t="str">
        <x:v>Алкогольные напитки</x:v>
      </x:c>
      <x:c r="E136" s="28" t="str">
        <x:v>общие ароматические соединения, пересечение ароматических семейств</x:v>
      </x:c>
      <x:c r="F13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«портвейн» относится к группе «Алкогольные напитки» и даёт спиртовой, фруктовый или древесный. Молекулярный мост создают альдегиды, эфиры Какао-масло медленно высвобождает липофильные ароматы, а сахар и соль изменяют воспринимаемую горечь. Итог: древесный, фруктовый; альдегиды, эфиры.</x:v>
      </x:c>
      <x:c r="G13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6" s="28" t="str">
        <x:v>горечь и терпкость способны подавлять нежные продукты; содержит стимуляторы; аллергенные добавки возможны</x:v>
      </x:c>
      <x:c r="I136" s="28" t="str">
        <x:v>ганаш, плитка, крем, мусс, напиток, глазурь или соус с портвейн</x:v>
      </x:c>
      <x:c r="J136" s="28" t="str">
        <x:v>Средняя</x:v>
      </x:c>
      <x:c r="K136" s="28" t="str">
        <x:v>The Art &amp; Science of Foodpairing.pdf</x:v>
      </x:c>
      <x:c r="L136" s="28" t="str">
        <x:v>The Art &amp; Science of Foodpairing.pdf: 62</x:v>
      </x:c>
    </x:row>
    <x:row r="137" ht="64" customHeight="1">
      <x:c r="A137" s="28" t="str">
        <x:v>NCT-0670</x:v>
      </x:c>
      <x:c r="B137" s="28" t="str">
        <x:v>шоколад</x:v>
      </x:c>
      <x:c r="C137" s="28" t="str">
        <x:v>пулькоги</x:v>
      </x:c>
      <x:c r="D137" s="28" t="str">
        <x:v>Прочее</x:v>
      </x:c>
      <x:c r="E137" s="28" t="str">
        <x:v>сенсорная комплементарность</x:v>
      </x:c>
      <x:c r="F13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«пулькоги»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3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7" s="28" t="str">
        <x:v>горечь и терпкость способны подавлять нежные продукты; содержит стимуляторы; аллергенные добавки возможны</x:v>
      </x:c>
      <x:c r="I137" s="28" t="str">
        <x:v>ганаш, плитка, крем, мусс, напиток, глазурь или соус с пулькоги</x:v>
      </x:c>
      <x:c r="J137" s="28" t="str">
        <x:v>Средняя</x:v>
      </x:c>
      <x:c r="K137" s="28" t="str">
        <x:v>The Art &amp; Science of Foodpairing.pdf</x:v>
      </x:c>
      <x:c r="L137" s="28" t="str">
        <x:v>The Art &amp; Science of Foodpairing.pdf: 62</x:v>
      </x:c>
    </x:row>
    <x:row r="138" ht="64" customHeight="1">
      <x:c r="A138" s="28" t="str">
        <x:v>NCT-0671</x:v>
      </x:c>
      <x:c r="B138" s="28" t="str">
        <x:v>шоколад</x:v>
      </x:c>
      <x:c r="C138" s="28" t="str">
        <x:v>роза</x:v>
      </x:c>
      <x:c r="D138" s="28" t="str">
        <x:v>Травы, цветы и листья</x:v>
      </x:c>
      <x:c r="E138" s="28" t="str">
        <x:v>сенсорная комплементарность</x:v>
      </x:c>
      <x:c r="F13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«роза» относится к группе «Травы, цветы и листья» и даёт цветочный.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3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8" s="28" t="str">
        <x:v>горечь и терпкость способны подавлять нежные продукты; содержит стимуляторы; аллергенные добавки возможны</x:v>
      </x:c>
      <x:c r="I138" s="28" t="str">
        <x:v>ганаш, плитка, крем, мусс, напиток, глазурь или соус с роза</x:v>
      </x:c>
      <x:c r="J138" s="28" t="str">
        <x:v>Средняя</x:v>
      </x:c>
      <x:c r="K138" s="28" t="str">
        <x:v>Тезариус вкусов (Ники Сегнит)(1).pdf</x:v>
      </x:c>
      <x:c r="L138" s="28" t="str">
        <x:v>Тезариус вкусов (Ники Сегнит)(1).pdf: 35, 901</x:v>
      </x:c>
    </x:row>
    <x:row r="139" ht="64" customHeight="1">
      <x:c r="A139" s="28" t="str">
        <x:v>NCT-0672</x:v>
      </x:c>
      <x:c r="B139" s="28" t="str">
        <x:v>шоколад</x:v>
      </x:c>
      <x:c r="C139" s="28" t="str">
        <x:v>розмарин</x:v>
      </x:c>
      <x:c r="D139" s="28" t="str">
        <x:v>Травы, цветы и листья</x:v>
      </x:c>
      <x:c r="E139" s="28" t="str">
        <x:v>сенсорная комплементарность</x:v>
      </x:c>
      <x:c r="F13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«розмарин»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3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9" s="28" t="str">
        <x:v>горечь и терпкость способны подавлять нежные продукты; содержит стимуляторы; аллергенные добавки возможны</x:v>
      </x:c>
      <x:c r="I139" s="28" t="str">
        <x:v>ганаш, плитка, крем, мусс, напиток, глазурь или соус с розмарин</x:v>
      </x:c>
      <x:c r="J139" s="28" t="str">
        <x:v>Высокая</x:v>
      </x:c>
      <x:c r="K139" s="28" t="str">
        <x:v>Таблица сочетания(1).pdf | Тезариус вкусов (Ники Сегнит)(1).pdf</x:v>
      </x:c>
      <x:c r="L139" s="28" t="str">
        <x:v>Таблица сочетания(1).pdf: 5; Тезариус вкусов (Ники Сегнит)(1).pdf: 35, 840</x:v>
      </x:c>
    </x:row>
    <x:row r="140" ht="64" customHeight="1">
      <x:c r="A140" s="28" t="str">
        <x:v>NCT-0673</x:v>
      </x:c>
      <x:c r="B140" s="28" t="str">
        <x:v>шоколад</x:v>
      </x:c>
      <x:c r="C140" s="28" t="str">
        <x:v>руккола</x:v>
      </x:c>
      <x:c r="D140" s="28" t="str">
        <x:v>Прочее</x:v>
      </x:c>
      <x:c r="E140" s="28" t="str">
        <x:v>сенсорная комплементарность</x:v>
      </x:c>
      <x:c r="F14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«руккола»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4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0" s="28" t="str">
        <x:v>горечь и терпкость способны подавлять нежные продукты; содержит стимуляторы; аллергенные добавки возможны</x:v>
      </x:c>
      <x:c r="I140" s="28" t="str">
        <x:v>ганаш, плитка, крем, мусс, напиток, глазурь или соус с руккола</x:v>
      </x:c>
      <x:c r="J140" s="28" t="str">
        <x:v>Средняя</x:v>
      </x:c>
      <x:c r="K140" s="28" t="str">
        <x:v>The Art &amp; Science of Foodpairing.pdf</x:v>
      </x:c>
      <x:c r="L140" s="28" t="str">
        <x:v>The Art &amp; Science of Foodpairing.pdf: 62</x:v>
      </x:c>
    </x:row>
    <x:row r="141" ht="64" customHeight="1">
      <x:c r="A141" s="28" t="str">
        <x:v>NCT-0674</x:v>
      </x:c>
      <x:c r="B141" s="28" t="str">
        <x:v>шоколад</x:v>
      </x:c>
      <x:c r="C141" s="28" t="str">
        <x:v>саке</x:v>
      </x:c>
      <x:c r="D141" s="28" t="str">
        <x:v>Алкогольные напитки</x:v>
      </x:c>
      <x:c r="E141" s="28" t="str">
        <x:v>общие ароматические соединения, пересечение ароматических семейств</x:v>
      </x:c>
      <x:c r="F14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«саке» относится к группе «Алкогольные напитки» и даёт спиртовой, фруктовый или древесный. Молекулярный мост создают альдегиды, эфиры Какао-масло медленно высвобождает липофильные ароматы, а сахар и соль изменяют воспринимаемую горечь. Итог: древесный, фруктовый; альдегиды, эфиры.</x:v>
      </x:c>
      <x:c r="G14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1" s="28" t="str">
        <x:v>горечь и терпкость способны подавлять нежные продукты; содержит стимуляторы; аллергенные добавки возможны</x:v>
      </x:c>
      <x:c r="I141" s="28" t="str">
        <x:v>ганаш, плитка, крем, мусс, напиток, глазурь или соус с саке</x:v>
      </x:c>
      <x:c r="J141" s="28" t="str">
        <x:v>Средняя</x:v>
      </x:c>
      <x:c r="K141" s="28" t="str">
        <x:v>The Art &amp; Science of Foodpairing.pdf</x:v>
      </x:c>
      <x:c r="L141" s="28" t="str">
        <x:v>The Art &amp; Science of Foodpairing.pdf: 62</x:v>
      </x:c>
    </x:row>
    <x:row r="142" ht="64" customHeight="1">
      <x:c r="A142" s="28" t="str">
        <x:v>NCT-0675</x:v>
      </x:c>
      <x:c r="B142" s="28" t="str">
        <x:v>шоколад</x:v>
      </x:c>
      <x:c r="C142" s="28" t="str">
        <x:v>свекла</x:v>
      </x:c>
      <x:c r="D142" s="28" t="str">
        <x:v>Овощи, бобовые и грибы</x:v>
      </x:c>
      <x:c r="E142" s="28" t="str">
        <x:v>сенсорная комплементарность</x:v>
      </x:c>
      <x:c r="F14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«свекла» относится к группе «Овощи, бобовые и грибы» и даёт землистый, сладкий.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4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2" s="28" t="str">
        <x:v>горечь и терпкость способны подавлять нежные продукты; содержит стимуляторы; аллергенные добавки возможны</x:v>
      </x:c>
      <x:c r="I142" s="28" t="str">
        <x:v>ганаш, плитка, крем, мусс, напиток, глазурь или соус с свекла</x:v>
      </x:c>
      <x:c r="J142" s="28" t="str">
        <x:v>Средняя</x:v>
      </x:c>
      <x:c r="K142" s="28" t="str">
        <x:v>Тезариус вкусов (Ники Сегнит)(1).pdf</x:v>
      </x:c>
      <x:c r="L142" s="28" t="str">
        <x:v>Тезариус вкусов (Ники Сегнит)(1).pdf: 35, 227</x:v>
      </x:c>
    </x:row>
    <x:row r="143" ht="64" customHeight="1">
      <x:c r="A143" s="28" t="str">
        <x:v>NCT-0676</x:v>
      </x:c>
      <x:c r="B143" s="28" t="str">
        <x:v>шоколад</x:v>
      </x:c>
      <x:c r="C143" s="28" t="str">
        <x:v>слива</x:v>
      </x:c>
      <x:c r="D143" s="28" t="str">
        <x:v>Фрукты и ягоды</x:v>
      </x:c>
      <x:c r="E143" s="28" t="str">
        <x:v>общие ароматические соединения, пересечение ароматических семейств, контраст кислоты и жирной/горькой матрицы</x:v>
      </x:c>
      <x:c r="F14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«слива»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G14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3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143" s="28" t="str">
        <x:v>ганаш, плитка, крем, мусс, напиток, глазурь или соус с слива</x:v>
      </x:c>
      <x:c r="J143" s="28" t="str">
        <x:v>Гипотеза / практическая</x:v>
      </x:c>
      <x:c r="K143" s="28" t="str">
        <x:v>Таблица сочетания(1).pdf</x:v>
      </x:c>
      <x:c r="L143" s="28" t="str">
        <x:v>Таблица сочетания(1).pdf: 17</x:v>
      </x:c>
    </x:row>
    <x:row r="144" ht="64" customHeight="1">
      <x:c r="A144" s="28" t="str">
        <x:v>NCT-0677</x:v>
      </x:c>
      <x:c r="B144" s="28" t="str">
        <x:v>шоколад</x:v>
      </x:c>
      <x:c r="C144" s="28" t="str">
        <x:v>сливочное масло</x:v>
      </x:c>
      <x:c r="D144" s="28" t="str">
        <x:v>Фрукты и ягоды</x:v>
      </x:c>
      <x:c r="E144" s="28" t="str">
        <x:v>общие ароматические соединения, пересечение ароматических семейств, контраст кислоты и жирной/горькой матрицы</x:v>
      </x:c>
      <x:c r="F14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«сливочное масло»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G14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4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144" s="28" t="str">
        <x:v>ганаш, плитка, крем, мусс, напиток, глазурь или соус с сливочное масло</x:v>
      </x:c>
      <x:c r="J144" s="28" t="str">
        <x:v>Средняя</x:v>
      </x:c>
      <x:c r="K144" s="28" t="str">
        <x:v>The Art &amp; Science of Foodpairing.pdf</x:v>
      </x:c>
      <x:c r="L144" s="28" t="str">
        <x:v>The Art &amp; Science of Foodpairing.pdf: 62</x:v>
      </x:c>
    </x:row>
    <x:row r="145" ht="64" customHeight="1">
      <x:c r="A145" s="28" t="str">
        <x:v>NCT-0678</x:v>
      </x:c>
      <x:c r="B145" s="28" t="str">
        <x:v>шоколад</x:v>
      </x:c>
      <x:c r="C145" s="28" t="str">
        <x:v>соевые продукты</x:v>
      </x:c>
      <x:c r="D145" s="28" t="str">
        <x:v>Прочее</x:v>
      </x:c>
      <x:c r="E145" s="28" t="str">
        <x:v>сенсорная комплементарность</x:v>
      </x:c>
      <x:c r="F14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«соевые продукты»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4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5" s="28" t="str">
        <x:v>горечь и терпкость способны подавлять нежные продукты; содержит стимуляторы; аллергенные добавки возможны</x:v>
      </x:c>
      <x:c r="I145" s="28" t="str">
        <x:v>ганаш, плитка, крем, мусс, напиток, глазурь или соус с соевые продукты</x:v>
      </x:c>
      <x:c r="J145" s="28" t="str">
        <x:v>Средняя</x:v>
      </x:c>
      <x:c r="K145" s="28" t="str">
        <x:v>The Art &amp; Science of Foodpairing.pdf</x:v>
      </x:c>
      <x:c r="L145" s="28" t="str">
        <x:v>The Art &amp; Science of Foodpairing.pdf: 62</x:v>
      </x:c>
    </x:row>
    <x:row r="146" ht="64" customHeight="1">
      <x:c r="A146" s="28" t="str">
        <x:v>NCT-0679</x:v>
      </x:c>
      <x:c r="B146" s="28" t="str">
        <x:v>шоколад</x:v>
      </x:c>
      <x:c r="C146" s="28" t="str">
        <x:v>соевый соус</x:v>
      </x:c>
      <x:c r="D146" s="28" t="str">
        <x:v>Ферментированные продукты и соусы</x:v>
      </x:c>
      <x:c r="E146" s="28" t="str">
        <x:v>общие ароматические соединения, пересечение ароматических семейств, солёно-умами контраст</x:v>
      </x:c>
      <x:c r="F14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фураны, эфиры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пиразины, фураны, эфиры.</x:v>
      </x:c>
      <x:c r="G14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6" s="28" t="str">
        <x:v>горечь и терпкость способны подавлять нежные продукты; содержит стимуляторы; аллергенные добавки возможны</x:v>
      </x:c>
      <x:c r="I146" s="28" t="str">
        <x:v>ганаш, плитка, крем, мусс, напиток, глазурь или соус с соевый соус</x:v>
      </x:c>
      <x:c r="J146" s="28" t="str">
        <x:v>Высокая</x:v>
      </x:c>
      <x:c r="K146" s="28" t="str">
        <x:v>The Art &amp; Science of Foodpairing.pdf</x:v>
      </x:c>
      <x:c r="L146" s="28" t="str">
        <x:v>The Art &amp; Science of Foodpairing.pdf: 301</x:v>
      </x:c>
    </x:row>
    <x:row r="147" ht="64" customHeight="1">
      <x:c r="A147" s="28" t="str">
        <x:v>NCT-0680</x:v>
      </x:c>
      <x:c r="B147" s="28" t="str">
        <x:v>шоколад</x:v>
      </x:c>
      <x:c r="C147" s="28" t="str">
        <x:v>тимьян</x:v>
      </x:c>
      <x:c r="D147" s="28" t="str">
        <x:v>Травы, цветы и листья</x:v>
      </x:c>
      <x:c r="E147" s="28" t="str">
        <x:v>сенсорная комплементарность</x:v>
      </x:c>
      <x:c r="F14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«тимьян»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4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7" s="28" t="str">
        <x:v>горечь и терпкость способны подавлять нежные продукты; содержит стимуляторы; аллергенные добавки возможны</x:v>
      </x:c>
      <x:c r="I147" s="28" t="str">
        <x:v>ганаш, плитка, крем, мусс, напиток, глазурь или соус с тимьян</x:v>
      </x:c>
      <x:c r="J147" s="28" t="str">
        <x:v>Средняя</x:v>
      </x:c>
      <x:c r="K147" s="28" t="str">
        <x:v>Тезариус вкусов (Ники Сегнит)(1).pdf</x:v>
      </x:c>
      <x:c r="L147" s="28" t="str">
        <x:v>Тезариус вкусов (Ники Сегнит)(1).pdf: 35, 862</x:v>
      </x:c>
    </x:row>
    <x:row r="148" ht="64" customHeight="1">
      <x:c r="A148" s="28" t="str">
        <x:v>NCT-0681</x:v>
      </x:c>
      <x:c r="B148" s="28" t="str">
        <x:v>шоколад</x:v>
      </x:c>
      <x:c r="C148" s="28" t="str">
        <x:v>томат черри</x:v>
      </x:c>
      <x:c r="D148" s="28" t="str">
        <x:v>Овощи, бобовые и грибы</x:v>
      </x:c>
      <x:c r="E148" s="28" t="str">
        <x:v>пересечение ароматических семейств</x:v>
      </x:c>
      <x:c r="F14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«томат черри» относится к группе «Овощи, бобовые и грибы» и даёт зелёный, умами, фруктовый. Профили пересекаются в семействах: фруктовый Какао-масло медленно высвобождает липофильные ароматы, а сахар и соль изменяют воспринимаемую горечь. Итог: фруктовый; механизм не следует сводить к одной общей молекуле.</x:v>
      </x:c>
      <x:c r="G14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8" s="28" t="str">
        <x:v>горечь и терпкость способны подавлять нежные продукты; содержит стимуляторы; аллергенные добавки возможны</x:v>
      </x:c>
      <x:c r="I148" s="28" t="str">
        <x:v>ганаш, плитка, крем, мусс, напиток, глазурь или соус с томат черри</x:v>
      </x:c>
      <x:c r="J148" s="28" t="str">
        <x:v>Средняя</x:v>
      </x:c>
      <x:c r="K148" s="28" t="str">
        <x:v>The Art &amp; Science of Foodpairing.pdf</x:v>
      </x:c>
      <x:c r="L148" s="28" t="str">
        <x:v>The Art &amp; Science of Foodpairing.pdf: 62</x:v>
      </x:c>
    </x:row>
    <x:row r="149" ht="64" customHeight="1">
      <x:c r="A149" s="28" t="str">
        <x:v>NCT-0682</x:v>
      </x:c>
      <x:c r="B149" s="28" t="str">
        <x:v>шоколад</x:v>
      </x:c>
      <x:c r="C149" s="28" t="str">
        <x:v>томаты</x:v>
      </x:c>
      <x:c r="D149" s="28" t="str">
        <x:v>Овощи, бобовые и грибы</x:v>
      </x:c>
      <x:c r="E149" s="28" t="str">
        <x:v>пересечение ароматических семейств</x:v>
      </x:c>
      <x:c r="F14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«томаты» относится к группе «Овощи, бобовые и грибы» и даёт зелёный, умами, фруктовый. Профили пересекаются в семействах: фруктовый Какао-масло медленно высвобождает липофильные ароматы, а сахар и соль изменяют воспринимаемую горечь. Итог: фруктовый; механизм не следует сводить к одной общей молекуле.</x:v>
      </x:c>
      <x:c r="G14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9" s="28" t="str">
        <x:v>горечь и терпкость способны подавлять нежные продукты; содержит стимуляторы; аллергенные добавки возможны</x:v>
      </x:c>
      <x:c r="I149" s="28" t="str">
        <x:v>ганаш, плитка, крем, мусс, напиток, глазурь или соус с томаты</x:v>
      </x:c>
      <x:c r="J149" s="28" t="str">
        <x:v>Средняя</x:v>
      </x:c>
      <x:c r="K149" s="28" t="str">
        <x:v>Тезариус вкусов (Ники Сегнит)(1).pdf</x:v>
      </x:c>
      <x:c r="L149" s="28" t="str">
        <x:v>Тезариус вкусов (Ники Сегнит)(1).pdf: 35, 691</x:v>
      </x:c>
    </x:row>
    <x:row r="150" ht="64" customHeight="1">
      <x:c r="A150" s="28" t="str">
        <x:v>NCT-0683</x:v>
      </x:c>
      <x:c r="B150" s="28" t="str">
        <x:v>шоколад</x:v>
      </x:c>
      <x:c r="C150" s="28" t="str">
        <x:v>трюфель</x:v>
      </x:c>
      <x:c r="D150" s="28" t="str">
        <x:v>Прочее</x:v>
      </x:c>
      <x:c r="E150" s="28" t="str">
        <x:v>сенсорная комплементарность</x:v>
      </x:c>
      <x:c r="F15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«трюфель»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5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0" s="28" t="str">
        <x:v>горечь и терпкость способны подавлять нежные продукты; содержит стимуляторы; аллергенные добавки возможны</x:v>
      </x:c>
      <x:c r="I150" s="28" t="str">
        <x:v>ганаш, плитка, крем, мусс, напиток, глазурь или соус с трюфель</x:v>
      </x:c>
      <x:c r="J150" s="28" t="str">
        <x:v>Средняя</x:v>
      </x:c>
      <x:c r="K150" s="28" t="str">
        <x:v>The Art &amp; Science of Foodpairing.pdf</x:v>
      </x:c>
      <x:c r="L150" s="28" t="str">
        <x:v>The Art &amp; Science of Foodpairing.pdf: 192</x:v>
      </x:c>
    </x:row>
    <x:row r="151" ht="64" customHeight="1">
      <x:c r="A151" s="28" t="str">
        <x:v>NCT-0684</x:v>
      </x:c>
      <x:c r="B151" s="28" t="str">
        <x:v>шоколад</x:v>
      </x:c>
      <x:c r="C151" s="28" t="str">
        <x:v>тыква</x:v>
      </x:c>
      <x:c r="D151" s="28" t="str">
        <x:v>Овощи, бобовые и грибы</x:v>
      </x:c>
      <x:c r="E151" s="28" t="str">
        <x:v>общие ароматические соединения</x:v>
      </x:c>
      <x:c r="F15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«тыква»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5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1" s="28" t="str">
        <x:v>горечь и терпкость способны подавлять нежные продукты; содержит стимуляторы; аллергенные добавки возможны</x:v>
      </x:c>
      <x:c r="I151" s="28" t="str">
        <x:v>ганаш, плитка, крем, мусс, напиток, глазурь или соус с тыква</x:v>
      </x:c>
      <x:c r="J151" s="28" t="str">
        <x:v>Гипотеза / практическая</x:v>
      </x:c>
      <x:c r="K151" s="28" t="str">
        <x:v>Таблица сочетания(1).pdf</x:v>
      </x:c>
      <x:c r="L151" s="28" t="str">
        <x:v>Таблица сочетания(1).pdf: 18</x:v>
      </x:c>
    </x:row>
    <x:row r="152" ht="64" customHeight="1">
      <x:c r="A152" s="28" t="str">
        <x:v>NCT-0685</x:v>
      </x:c>
      <x:c r="B152" s="28" t="str">
        <x:v>шоколад</x:v>
      </x:c>
      <x:c r="C152" s="28" t="str">
        <x:v>финик</x:v>
      </x:c>
      <x:c r="D152" s="28" t="str">
        <x:v>Прочее</x:v>
      </x:c>
      <x:c r="E152" s="28" t="str">
        <x:v>сенсорная комплементарность</x:v>
      </x:c>
      <x:c r="F15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«финик»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5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2" s="28" t="str">
        <x:v>горечь и терпкость способны подавлять нежные продукты; содержит стимуляторы; аллергенные добавки возможны</x:v>
      </x:c>
      <x:c r="I152" s="28" t="str">
        <x:v>ганаш, плитка, крем, мусс, напиток, глазурь или соус с финик</x:v>
      </x:c>
      <x:c r="J152" s="28" t="str">
        <x:v>Гипотеза / практическая</x:v>
      </x:c>
      <x:c r="K152" s="28" t="str">
        <x:v>Таблица сочетания(1).pdf</x:v>
      </x:c>
      <x:c r="L152" s="28" t="str">
        <x:v>Таблица сочетания(1).pdf: 7</x:v>
      </x:c>
    </x:row>
    <x:row r="153" ht="64" customHeight="1">
      <x:c r="A153" s="28" t="str">
        <x:v>NCT-0686</x:v>
      </x:c>
      <x:c r="B153" s="28" t="str">
        <x:v>шоколад</x:v>
      </x:c>
      <x:c r="C153" s="28" t="str">
        <x:v>цветная капуста</x:v>
      </x:c>
      <x:c r="D153" s="28" t="str">
        <x:v>Овощи, бобовые и грибы</x:v>
      </x:c>
      <x:c r="E153" s="28" t="str">
        <x:v>общие ароматические соединения</x:v>
      </x:c>
      <x:c r="F15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«цветная капуста»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5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3" s="28" t="str">
        <x:v>горечь и терпкость способны подавлять нежные продукты; содержит стимуляторы; аллергенные добавки возможны</x:v>
      </x:c>
      <x:c r="I153" s="28" t="str">
        <x:v>ганаш, плитка, крем, мусс, напиток, глазурь или соус с цветная капуста</x:v>
      </x:c>
      <x:c r="J153" s="28" t="str">
        <x:v>Высокая</x:v>
      </x:c>
      <x:c r="K153" s="28" t="str">
        <x:v>The Art &amp; Science of Foodpairing.pdf | Тезариус вкусов (Ники Сегнит)(1).pdf</x:v>
      </x:c>
      <x:c r="L153" s="28" t="str">
        <x:v>The Art &amp; Science of Foodpairing.pdf: 63; Тезариус вкусов (Ники Сегнит)(1).pdf: 37, 327</x:v>
      </x:c>
    </x:row>
    <x:row r="154" ht="64" customHeight="1">
      <x:c r="A154" s="28" t="str">
        <x:v>NCT-0687</x:v>
      </x:c>
      <x:c r="B154" s="28" t="str">
        <x:v>шоколад</x:v>
      </x:c>
      <x:c r="C154" s="28" t="str">
        <x:v>цветы бузины</x:v>
      </x:c>
      <x:c r="D154" s="28" t="str">
        <x:v>Травы, цветы и листья</x:v>
      </x:c>
      <x:c r="E154" s="28" t="str">
        <x:v>сенсорная комплементарность</x:v>
      </x:c>
      <x:c r="F15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«цветы бузины»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5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4" s="28" t="str">
        <x:v>горечь и терпкость способны подавлять нежные продукты; содержит стимуляторы; аллергенные добавки возможны</x:v>
      </x:c>
      <x:c r="I154" s="28" t="str">
        <x:v>ганаш, плитка, крем, мусс, напиток, глазурь или соус с цветы бузины</x:v>
      </x:c>
      <x:c r="J154" s="28" t="str">
        <x:v>Средняя</x:v>
      </x:c>
      <x:c r="K154" s="28" t="str">
        <x:v>The Art &amp; Science of Foodpairing.pdf</x:v>
      </x:c>
      <x:c r="L154" s="28" t="str">
        <x:v>The Art &amp; Science of Foodpairing.pdf: 62</x:v>
      </x:c>
    </x:row>
    <x:row r="155" ht="64" customHeight="1">
      <x:c r="A155" s="28" t="str">
        <x:v>NCT-0688</x:v>
      </x:c>
      <x:c r="B155" s="28" t="str">
        <x:v>шоколад</x:v>
      </x:c>
      <x:c r="C155" s="28" t="str">
        <x:v>цитрусовые</x:v>
      </x:c>
      <x:c r="D155" s="28" t="str">
        <x:v>Прочее</x:v>
      </x:c>
      <x:c r="E155" s="28" t="str">
        <x:v>сенсорная комплементарность</x:v>
      </x:c>
      <x:c r="F15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«цитрусовые»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5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5" s="28" t="str">
        <x:v>горечь и терпкость способны подавлять нежные продукты; содержит стимуляторы; аллергенные добавки возможны</x:v>
      </x:c>
      <x:c r="I155" s="28" t="str">
        <x:v>ганаш, плитка, крем, мусс, напиток, глазурь или соус с цитрусовые</x:v>
      </x:c>
      <x:c r="J155" s="28" t="str">
        <x:v>Высокая</x:v>
      </x:c>
      <x:c r="K155" s="28" t="str">
        <x:v>The Art &amp; Science of Foodpairing.pdf</x:v>
      </x:c>
      <x:c r="L155" s="28" t="str">
        <x:v>The Art &amp; Science of Foodpairing.pdf: 63</x:v>
      </x:c>
    </x:row>
    <x:row r="156" ht="64" customHeight="1">
      <x:c r="A156" s="28" t="str">
        <x:v>NCT-0689</x:v>
      </x:c>
      <x:c r="B156" s="28" t="str">
        <x:v>шоколад</x:v>
      </x:c>
      <x:c r="C156" s="28" t="str">
        <x:v>черная смородина</x:v>
      </x:c>
      <x:c r="D156" s="28" t="str">
        <x:v>Прочее</x:v>
      </x:c>
      <x:c r="E156" s="28" t="str">
        <x:v>сенсорная комплементарность</x:v>
      </x:c>
      <x:c r="F15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«черная смородина»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5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6" s="28" t="str">
        <x:v>горечь и терпкость способны подавлять нежные продукты; содержит стимуляторы; аллергенные добавки возможны</x:v>
      </x:c>
      <x:c r="I156" s="28" t="str">
        <x:v>ганаш, плитка, крем, мусс, напиток, глазурь или соус с черная смородина</x:v>
      </x:c>
      <x:c r="J156" s="28" t="str">
        <x:v>Средняя</x:v>
      </x:c>
      <x:c r="K156" s="28" t="str">
        <x:v>Тезариус вкусов (Ники Сегнит)(1).pdf</x:v>
      </x:c>
      <x:c r="L156" s="28" t="str">
        <x:v>Тезариус вкусов (Ники Сегнит)(1).pdf: 37, 878</x:v>
      </x:c>
    </x:row>
    <x:row r="157" ht="64" customHeight="1">
      <x:c r="A157" s="28" t="str">
        <x:v>NCT-0690</x:v>
      </x:c>
      <x:c r="B157" s="28" t="str">
        <x:v>шоколад</x:v>
      </x:c>
      <x:c r="C157" s="28" t="str">
        <x:v>чернослив</x:v>
      </x:c>
      <x:c r="D157" s="28" t="str">
        <x:v>Фрукты и ягоды</x:v>
      </x:c>
      <x:c r="E157" s="28" t="str">
        <x:v>общие ароматические соединения, пересечение ароматических семейств, контраст кислоты и жирной/горькой матрицы</x:v>
      </x:c>
      <x:c r="F15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«чернослив»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G15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7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157" s="28" t="str">
        <x:v>ганаш, плитка, крем, мусс, напиток, глазурь или соус с чернослив</x:v>
      </x:c>
      <x:c r="J157" s="28" t="str">
        <x:v>Гипотеза / практическая</x:v>
      </x:c>
      <x:c r="K157" s="28" t="str">
        <x:v>Таблица сочетания(1).pdf</x:v>
      </x:c>
      <x:c r="L157" s="28" t="str">
        <x:v>Таблица сочетания(1).pdf: 18</x:v>
      </x:c>
    </x:row>
    <x:row r="158" ht="64" customHeight="1">
      <x:c r="A158" s="28" t="str">
        <x:v>NCT-0691</x:v>
      </x:c>
      <x:c r="B158" s="28" t="str">
        <x:v>шоколад</x:v>
      </x:c>
      <x:c r="C158" s="28" t="str">
        <x:v>чернослив ажен</x:v>
      </x:c>
      <x:c r="D158" s="28" t="str">
        <x:v>Фрукты и ягоды</x:v>
      </x:c>
      <x:c r="E158" s="28" t="str">
        <x:v>общие ароматические соединения, пересечение ароматических семейств, контраст кислоты и жирной/горькой матрицы</x:v>
      </x:c>
      <x:c r="F15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«чернослив ажен»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G15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8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158" s="28" t="str">
        <x:v>ганаш, плитка, крем, мусс, напиток, глазурь или соус с чернослив ажен</x:v>
      </x:c>
      <x:c r="J158" s="28" t="str">
        <x:v>Средняя</x:v>
      </x:c>
      <x:c r="K158" s="28" t="str">
        <x:v>The Art &amp; Science of Foodpairing.pdf</x:v>
      </x:c>
      <x:c r="L158" s="28" t="str">
        <x:v>The Art &amp; Science of Foodpairing.pdf: 62</x:v>
      </x:c>
    </x:row>
    <x:row r="159" ht="64" customHeight="1">
      <x:c r="A159" s="28" t="str">
        <x:v>NCT-0692</x:v>
      </x:c>
      <x:c r="B159" s="28" t="str">
        <x:v>шоколад</x:v>
      </x:c>
      <x:c r="C159" s="28" t="str">
        <x:v>чили</x:v>
      </x:c>
      <x:c r="D159" s="28" t="str">
        <x:v>Специи</x:v>
      </x:c>
      <x:c r="E159" s="28" t="str">
        <x:v>пересечение ароматических семейств</x:v>
      </x:c>
      <x:c r="F15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«чили» относится к группе «Специи» и даёт пряный и древесный.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G15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9" s="28" t="str">
        <x:v>горечь и терпкость способны подавлять нежные продукты; содержит стимуляторы; аллергенные добавки возможны</x:v>
      </x:c>
      <x:c r="I159" s="28" t="str">
        <x:v>ганаш, плитка, крем, мусс, напиток, глазурь или соус с чили</x:v>
      </x:c>
      <x:c r="J159" s="28" t="str">
        <x:v>Средняя</x:v>
      </x:c>
      <x:c r="K159" s="28" t="str">
        <x:v>Тезариус вкусов (Ники Сегнит)(1).pdf</x:v>
      </x:c>
      <x:c r="L159" s="28" t="str">
        <x:v>Тезариус вкусов (Ники Сегнит)(1).pdf: 38, 562</x:v>
      </x:c>
    </x:row>
    <x:row r="160" ht="64" customHeight="1">
      <x:c r="A160" s="28" t="str">
        <x:v>NCT-0693</x:v>
      </x:c>
      <x:c r="B160" s="28" t="str">
        <x:v>шоколад</x:v>
      </x:c>
      <x:c r="C160" s="28" t="str">
        <x:v>чили (перцы)</x:v>
      </x:c>
      <x:c r="D160" s="28" t="str">
        <x:v>Специи</x:v>
      </x:c>
      <x:c r="E160" s="28" t="str">
        <x:v>пересечение ароматических семейств</x:v>
      </x:c>
      <x:c r="F16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«чили (перцы)» относится к группе «Специи» и даёт пряный и древесный.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G16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60" s="28" t="str">
        <x:v>горечь и терпкость способны подавлять нежные продукты; содержит стимуляторы; аллергенные добавки возможны</x:v>
      </x:c>
      <x:c r="I160" s="28" t="str">
        <x:v>ганаш, плитка, крем, мусс, напиток, глазурь или соус с чили (перцы)</x:v>
      </x:c>
      <x:c r="J160" s="28" t="str">
        <x:v>Гипотеза / практическая</x:v>
      </x:c>
      <x:c r="K160" s="28" t="str">
        <x:v>Таблица сочетания(1).pdf</x:v>
      </x:c>
      <x:c r="L160" s="28" t="str">
        <x:v>Таблица сочетания(1).pdf: 5</x:v>
      </x:c>
    </x:row>
    <x:row r="161" ht="64" customHeight="1">
      <x:c r="A161" s="28" t="str">
        <x:v>NCT-0694</x:v>
      </x:c>
      <x:c r="B161" s="28" t="str">
        <x:v>шоколад</x:v>
      </x:c>
      <x:c r="C161" s="28" t="str">
        <x:v>чёрная оливка пикваль</x:v>
      </x:c>
      <x:c r="D161" s="28" t="str">
        <x:v>Прочее</x:v>
      </x:c>
      <x:c r="E161" s="28" t="str">
        <x:v>сенсорная комплементарность</x:v>
      </x:c>
      <x:c r="F16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«чёрная оливка пикваль»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6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61" s="28" t="str">
        <x:v>горечь и терпкость способны подавлять нежные продукты; содержит стимуляторы; аллергенные добавки возможны</x:v>
      </x:c>
      <x:c r="I161" s="28" t="str">
        <x:v>ганаш, плитка, крем, мусс, напиток, глазурь или соус с чёрная оливка пикваль</x:v>
      </x:c>
      <x:c r="J161" s="28" t="str">
        <x:v>Средняя</x:v>
      </x:c>
      <x:c r="K161" s="28" t="str">
        <x:v>The Art &amp; Science of Foodpairing.pdf</x:v>
      </x:c>
      <x:c r="L161" s="28" t="str">
        <x:v>The Art &amp; Science of Foodpairing.pdf: 62</x:v>
      </x:c>
    </x:row>
    <x:row r="162" ht="64" customHeight="1">
      <x:c r="A162" s="28" t="str">
        <x:v>NCT-0695</x:v>
      </x:c>
      <x:c r="B162" s="28" t="str">
        <x:v>шоколад</x:v>
      </x:c>
      <x:c r="C162" s="28" t="str">
        <x:v>шалфей</x:v>
      </x:c>
      <x:c r="D162" s="28" t="str">
        <x:v>Травы, цветы и листья</x:v>
      </x:c>
      <x:c r="E162" s="28" t="str">
        <x:v>сенсорная комплементарность</x:v>
      </x:c>
      <x:c r="F16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«шалфей»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6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62" s="28" t="str">
        <x:v>горечь и терпкость способны подавлять нежные продукты; содержит стимуляторы; аллергенные добавки возможны</x:v>
      </x:c>
      <x:c r="I162" s="28" t="str">
        <x:v>ганаш, плитка, крем, мусс, напиток, глазурь или соус с шалфей</x:v>
      </x:c>
      <x:c r="J162" s="28" t="str">
        <x:v>Гипотеза / практическая</x:v>
      </x:c>
      <x:c r="K162" s="28" t="str">
        <x:v>Таблица сочетания(1).pdf</x:v>
      </x:c>
      <x:c r="L162" s="28" t="str">
        <x:v>Таблица сочетания(1).pdf: 5</x:v>
      </x:c>
    </x:row>
    <x:row r="163" ht="64" customHeight="1">
      <x:c r="A163" s="28" t="str">
        <x:v>NCT-0696</x:v>
      </x:c>
      <x:c r="B163" s="28" t="str">
        <x:v>шоколад</x:v>
      </x:c>
      <x:c r="C163" s="28" t="str">
        <x:v>шисо</x:v>
      </x:c>
      <x:c r="D163" s="28" t="str">
        <x:v>Травы, цветы и листья</x:v>
      </x:c>
      <x:c r="E163" s="28" t="str">
        <x:v>сенсорная комплементарность</x:v>
      </x:c>
      <x:c r="F16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«шисо»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6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63" s="28" t="str">
        <x:v>горечь и терпкость способны подавлять нежные продукты; содержит стимуляторы; аллергенные добавки возможны</x:v>
      </x:c>
      <x:c r="I163" s="28" t="str">
        <x:v>ганаш, плитка, крем, мусс, напиток, глазурь или соус с шисо</x:v>
      </x:c>
      <x:c r="J163" s="28" t="str">
        <x:v>Средняя</x:v>
      </x:c>
      <x:c r="K163" s="28" t="str">
        <x:v>The Art &amp; Science of Foodpairing.pdf</x:v>
      </x:c>
      <x:c r="L163" s="28" t="str">
        <x:v>The Art &amp; Science of Foodpairing.pdf: 62</x:v>
      </x:c>
    </x:row>
    <x:row r="164" ht="64" customHeight="1">
      <x:c r="A164" s="28" t="str">
        <x:v>NCT-0697</x:v>
      </x:c>
      <x:c r="B164" s="28" t="str">
        <x:v>шоколад</x:v>
      </x:c>
      <x:c r="C164" s="28" t="str">
        <x:v>ягоды годжи</x:v>
      </x:c>
      <x:c r="D164" s="28" t="str">
        <x:v>Фрукты и ягоды</x:v>
      </x:c>
      <x:c r="E164" s="28" t="str">
        <x:v>общие ароматические соединения, пересечение ароматических семейств, контраст кислоты и жирной/горькой матрицы</x:v>
      </x:c>
      <x:c r="F16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«ягоды годжи»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G16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64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164" s="28" t="str">
        <x:v>ганаш, плитка, крем, мусс, напиток, глазурь или соус с ягоды годжи</x:v>
      </x:c>
      <x:c r="J164" s="28" t="str">
        <x:v>Гипотеза / практическая</x:v>
      </x:c>
      <x:c r="K164" s="28" t="str">
        <x:v>Таблица сочетания(1).pdf</x:v>
      </x:c>
      <x:c r="L164" s="28" t="str">
        <x:v>Таблица сочетания(1).pdf: 8</x:v>
      </x:c>
    </x:row>
    <x:row r="165" ht="64" customHeight="1">
      <x:c r="A165" s="28" t="str">
        <x:v>NCT-0698</x:v>
      </x:c>
      <x:c r="B165" s="28" t="str">
        <x:v>шоколад</x:v>
      </x:c>
      <x:c r="C165" s="28" t="str">
        <x:v>японский соевый соус</x:v>
      </x:c>
      <x:c r="D165" s="28" t="str">
        <x:v>Ферментированные продукты и соусы</x:v>
      </x:c>
      <x:c r="E165" s="28" t="str">
        <x:v>общие ароматические соединения, пересечение ароматических семейств, солёно-умами контраст</x:v>
      </x:c>
      <x:c r="F16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«японский 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фураны, эфиры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пиразины, фураны, эфиры.</x:v>
      </x:c>
      <x:c r="G16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65" s="28" t="str">
        <x:v>горечь и терпкость способны подавлять нежные продукты; содержит стимуляторы; аллергенные добавки возможны</x:v>
      </x:c>
      <x:c r="I165" s="28" t="str">
        <x:v>ганаш, плитка, крем, мусс, напиток, глазурь или соус с японский соевый соус</x:v>
      </x:c>
      <x:c r="J165" s="28" t="str">
        <x:v>Средняя</x:v>
      </x:c>
      <x:c r="K165" s="28" t="str">
        <x:v>The Art &amp; Science of Foodpairing.pdf</x:v>
      </x:c>
      <x:c r="L165" s="28" t="str">
        <x:v>The Art &amp; Science of Foodpairing.pdf: 62</x:v>
      </x:c>
    </x:row>
  </x:sheetData>
  <x:conditionalFormatting sqref="J2:J165">
    <x:cfRule type="expression" dxfId="6" priority="1">
      <x:formula>J2="Высокая"</x:formula>
    </x:cfRule>
    <x:cfRule type="expression" dxfId="7" priority="2">
      <x:formula>J2="Средняя"</x:formula>
    </x:cfRule>
    <x:cfRule type="expression" dxfId="8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fc464bc7594d0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31" hidden="0" customWidth="1"/>
    <x:col min="4" max="4" width="29" hidden="0" customWidth="1"/>
    <x:col min="5" max="5" width="39" hidden="0" customWidth="1"/>
    <x:col min="6" max="6" width="68" hidden="0" customWidth="1"/>
    <x:col min="7" max="7" width="55" hidden="0" customWidth="1"/>
    <x:col min="8" max="8" width="55" hidden="0" customWidth="1"/>
    <x:col min="9" max="9" width="49" hidden="0" customWidth="1"/>
    <x:col min="10" max="10" width="22" hidden="0" customWidth="1"/>
    <x:col min="11" max="11" width="40" hidden="0" customWidth="1"/>
    <x:col min="12" max="12" width="48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Подробное 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Практическое 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4" customHeight="1">
      <x:c r="A2" s="28" t="str">
        <x:v>NCT-0201</x:v>
      </x:c>
      <x:c r="B2" s="28" t="str">
        <x:v>кофе</x:v>
      </x:c>
      <x:c r="C2" s="28" t="str">
        <x:v>apple and apple sauce</x:v>
      </x:c>
      <x:c r="D2" s="28" t="str">
        <x:v>Фрукты и ягоды</x:v>
      </x:c>
      <x:c r="E2" s="28" t="str">
        <x:v>пересечение ароматических семейств, контраст кислоты и жирной/горькой матрицы</x:v>
      </x:c>
      <x:c r="F2" s="28" t="str">
        <x:v>Кофе имеет профиль «жареный, ореховый, карамельный, цветочный, фруктовый, фенольный и древесный». Партнёр «apple and apple sauce»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2" s="28" t="str">
        <x:v>кофейный напиток, холодный кофе, крем, сироп, десерт или соус с apple and apple sauce</x:v>
      </x:c>
      <x:c r="J2" s="28" t="str">
        <x:v>Средняя</x:v>
      </x:c>
      <x:c r="K2" s="28" t="str">
        <x:v>The Art &amp; Science of Foodpairing.pdf</x:v>
      </x:c>
      <x:c r="L2" s="28" t="str">
        <x:v>The Art &amp; Science of Foodpairing.pdf: 47</x:v>
      </x:c>
    </x:row>
    <x:row r="3" ht="64" customHeight="1">
      <x:c r="A3" s="28" t="str">
        <x:v>NCT-0202</x:v>
      </x:c>
      <x:c r="B3" s="28" t="str">
        <x:v>кофе</x:v>
      </x:c>
      <x:c r="C3" s="28" t="str">
        <x:v>bayonne ham</x:v>
      </x:c>
      <x:c r="D3" s="28" t="str">
        <x:v>Мясо и птица</x:v>
      </x:c>
      <x:c r="E3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" s="28" t="str">
        <x:v>Кофе имеет профиль «жареный, ореховый, карамельный, цветочный, фруктовый, фенольный и древесный». Партнёр «bayonne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3" s="28" t="str">
        <x:v>кофейный напиток, холодный кофе, крем, сироп, десерт или соус с bayonne ham</x:v>
      </x:c>
      <x:c r="J3" s="28" t="str">
        <x:v>Средняя</x:v>
      </x:c>
      <x:c r="K3" s="28" t="str">
        <x:v>The Art &amp; Science of Foodpairing.pdf</x:v>
      </x:c>
      <x:c r="L3" s="28" t="str">
        <x:v>The Art &amp; Science of Foodpairing.pdf: 297</x:v>
      </x:c>
    </x:row>
    <x:row r="4" ht="64" customHeight="1">
      <x:c r="A4" s="28" t="str">
        <x:v>NCT-0203</x:v>
      </x:c>
      <x:c r="B4" s="28" t="str">
        <x:v>кофе</x:v>
      </x:c>
      <x:c r="C4" s="28" t="str">
        <x:v>boiled carrot</x:v>
      </x:c>
      <x:c r="D4" s="28" t="str">
        <x:v>Овощи, бобовые и грибы</x:v>
      </x:c>
      <x:c r="E4" s="28" t="str">
        <x:v>сенсорная комплементарность</x:v>
      </x:c>
      <x:c r="F4" s="28" t="str">
        <x:v>Кофе имеет профиль «жареный, ореховый, карамельный, цветочный, фруктовый, фенольный и древесный». Партнёр «boiled carrot»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" s="28" t="str">
        <x:v>кофейный напиток, холодный кофе, крем, сироп, десерт или соус с boiled carrot</x:v>
      </x:c>
      <x:c r="J4" s="28" t="str">
        <x:v>Средняя</x:v>
      </x:c>
      <x:c r="K4" s="28" t="str">
        <x:v>The Art &amp; Science of Foodpairing.pdf</x:v>
      </x:c>
      <x:c r="L4" s="28" t="str">
        <x:v>The Art &amp; Science of Foodpairing.pdf: 297</x:v>
      </x:c>
    </x:row>
    <x:row r="5" ht="64" customHeight="1">
      <x:c r="A5" s="28" t="str">
        <x:v>NCT-0204</x:v>
      </x:c>
      <x:c r="B5" s="28" t="str">
        <x:v>кофе</x:v>
      </x:c>
      <x:c r="C5" s="28" t="str">
        <x:v>boiled tomatillo</x:v>
      </x:c>
      <x:c r="D5" s="28" t="str">
        <x:v>Масла и жиры</x:v>
      </x:c>
      <x:c r="E5" s="28" t="str">
        <x:v>сенсорная комплементарность</x:v>
      </x:c>
      <x:c r="F5" s="28" t="str">
        <x:v>Кофе имеет профиль «жареный, ореховый, карамельный, цветочный, фруктовый, фенольный и древесный». Партнёр «boiled tomatillo» относится к группе «Масла и жиры» и даёт жирный и мягкий.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" s="28" t="str">
        <x:v>кофейный напиток, холодный кофе, крем, сироп, десерт или соус с boiled tomatillo</x:v>
      </x:c>
      <x:c r="J5" s="28" t="str">
        <x:v>Средняя</x:v>
      </x:c>
      <x:c r="K5" s="28" t="str">
        <x:v>The Art &amp; Science of Foodpairing.pdf</x:v>
      </x:c>
      <x:c r="L5" s="28" t="str">
        <x:v>The Art &amp; Science of Foodpairing.pdf: 297</x:v>
      </x:c>
    </x:row>
    <x:row r="6" ht="64" customHeight="1">
      <x:c r="A6" s="28" t="str">
        <x:v>NCT-0205</x:v>
      </x:c>
      <x:c r="B6" s="28" t="str">
        <x:v>кофе</x:v>
      </x:c>
      <x:c r="C6" s="28" t="str">
        <x:v>buckwheat bread</x:v>
      </x:c>
      <x:c r="D6" s="28" t="str">
        <x:v>Выпечка, сахара и десерты</x:v>
      </x:c>
      <x:c r="E6" s="28" t="str">
        <x:v>общие ароматические соединения, пересечение ароматических семейств, жареная химия и реакции Майяра</x:v>
      </x:c>
      <x:c r="F6" s="28" t="str">
        <x:v>Кофе имеет профиль «жареный, ореховый, карамельный, цветочный, фруктовый, фенольный и древесный». Партнёр «buckwheat bread»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жареный, карамельный; пиразины, фураны.</x:v>
      </x:c>
      <x:c r="G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" s="28" t="str">
        <x:v>кофейный напиток, холодный кофе, крем, сироп, десерт или соус с buckwheat bread</x:v>
      </x:c>
      <x:c r="J6" s="28" t="str">
        <x:v>Средняя</x:v>
      </x:c>
      <x:c r="K6" s="28" t="str">
        <x:v>The Art &amp; Science of Foodpairing.pdf</x:v>
      </x:c>
      <x:c r="L6" s="28" t="str">
        <x:v>The Art &amp; Science of Foodpairing.pdf: 297</x:v>
      </x:c>
    </x:row>
    <x:row r="7" ht="64" customHeight="1">
      <x:c r="A7" s="28" t="str">
        <x:v>NCT-0206</x:v>
      </x:c>
      <x:c r="B7" s="28" t="str">
        <x:v>кофе</x:v>
      </x:c>
      <x:c r="C7" s="28" t="str">
        <x:v>buffalo mozzarella</x:v>
      </x:c>
      <x:c r="D7" s="28" t="str">
        <x:v>Молочные продукты и сыры</x:v>
      </x:c>
      <x:c r="E7" s="28" t="str">
        <x:v>общие ароматические соединения, жировая экстракция и связывание полифенолов белком</x:v>
      </x:c>
      <x:c r="F7" s="28" t="str">
        <x:v>Кофе имеет профиль «жареный, ореховый, карамельный, цветочный, фруктовый, фенольный и древесный». Партнёр «buffalo mozzarella»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7" s="28" t="str">
        <x:v>кофейный напиток, холодный кофе, крем, сироп, десерт или соус с buffalo mozzarella</x:v>
      </x:c>
      <x:c r="J7" s="28" t="str">
        <x:v>Средняя</x:v>
      </x:c>
      <x:c r="K7" s="28" t="str">
        <x:v>The Art &amp; Science of Foodpairing.pdf</x:v>
      </x:c>
      <x:c r="L7" s="28" t="str">
        <x:v>The Art &amp; Science of Foodpairing.pdf: 297</x:v>
      </x:c>
    </x:row>
    <x:row r="8" ht="64" customHeight="1">
      <x:c r="A8" s="28" t="str">
        <x:v>NCT-0207</x:v>
      </x:c>
      <x:c r="B8" s="28" t="str">
        <x:v>кофе</x:v>
      </x:c>
      <x:c r="C8" s="28" t="str">
        <x:v>camembert</x:v>
      </x:c>
      <x:c r="D8" s="28" t="str">
        <x:v>Молочные продукты и сыры</x:v>
      </x:c>
      <x:c r="E8" s="28" t="str">
        <x:v>общие ароматические соединения, жировая экстракция и связывание полифенолов белком</x:v>
      </x:c>
      <x:c r="F8" s="28" t="str">
        <x:v>Кофе имеет профиль «жареный, ореховый, карамельный, цветочный, фруктовый, фенольный и древесный». Партнёр «camembert»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8" s="28" t="str">
        <x:v>кофейный напиток, холодный кофе, крем, сироп, десерт или соус с camembert</x:v>
      </x:c>
      <x:c r="J8" s="28" t="str">
        <x:v>Средняя</x:v>
      </x:c>
      <x:c r="K8" s="28" t="str">
        <x:v>The Art &amp; Science of Foodpairing.pdf</x:v>
      </x:c>
      <x:c r="L8" s="28" t="str">
        <x:v>The Art &amp; Science of Foodpairing.pdf: 297</x:v>
      </x:c>
    </x:row>
    <x:row r="9" ht="64" customHeight="1">
      <x:c r="A9" s="28" t="str">
        <x:v>NCT-0208</x:v>
      </x:c>
      <x:c r="B9" s="28" t="str">
        <x:v>кофе</x:v>
      </x:c>
      <x:c r="C9" s="28" t="str">
        <x:v>cottage cheese</x:v>
      </x:c>
      <x:c r="D9" s="28" t="str">
        <x:v>Молочные продукты и сыры</x:v>
      </x:c>
      <x:c r="E9" s="28" t="str">
        <x:v>общие ароматические соединения, жировая экстракция и связывание полифенолов белком</x:v>
      </x:c>
      <x:c r="F9" s="28" t="str">
        <x:v>Кофе имеет профиль «жареный, ореховый, карамельный, цветочный, фруктовый, фенольный и древесный». Партнёр «cottage cheese»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9" s="28" t="str">
        <x:v>кофейный напиток, холодный кофе, крем, сироп, десерт или соус с cottage cheese</x:v>
      </x:c>
      <x:c r="J9" s="28" t="str">
        <x:v>Средняя</x:v>
      </x:c>
      <x:c r="K9" s="28" t="str">
        <x:v>The Art &amp; Science of Foodpairing.pdf</x:v>
      </x:c>
      <x:c r="L9" s="28" t="str">
        <x:v>The Art &amp; Science of Foodpairing.pdf: 297</x:v>
      </x:c>
    </x:row>
    <x:row r="10" ht="64" customHeight="1">
      <x:c r="A10" s="28" t="str">
        <x:v>NCT-0209</x:v>
      </x:c>
      <x:c r="B10" s="28" t="str">
        <x:v>кофе</x:v>
      </x:c>
      <x:c r="C10" s="28" t="str">
        <x:v>douchi</x:v>
      </x:c>
      <x:c r="D10" s="28" t="str">
        <x:v>Ферментированные продукты и соусы</x:v>
      </x:c>
      <x:c r="E10" s="28" t="str">
        <x:v>общие ароматические соединения, пересечение ароматических семейств, солёно-умами контраст</x:v>
      </x:c>
      <x:c r="F10" s="28" t="str">
        <x:v>Кофе имеет профиль «жареный, ореховый, карамельный, цветочный, фруктовый, фенольный и древесный». Партнёр «douchi»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пиразины, фураны.</x:v>
      </x:c>
      <x:c r="G1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0" s="28" t="str">
        <x:v>кофейный напиток, холодный кофе, крем, сироп, десерт или соус с douchi</x:v>
      </x:c>
      <x:c r="J10" s="28" t="str">
        <x:v>Средняя</x:v>
      </x:c>
      <x:c r="K10" s="28" t="str">
        <x:v>The Art &amp; Science of Foodpairing.pdf</x:v>
      </x:c>
      <x:c r="L10" s="28" t="str">
        <x:v>The Art &amp; Science of Foodpairing.pdf: 297</x:v>
      </x:c>
    </x:row>
    <x:row r="11" ht="64" customHeight="1">
      <x:c r="A11" s="28" t="str">
        <x:v>NCT-0210</x:v>
      </x:c>
      <x:c r="B11" s="28" t="str">
        <x:v>кофе</x:v>
      </x:c>
      <x:c r="C11" s="28" t="str">
        <x:v>flat-leaf parsley</x:v>
      </x:c>
      <x:c r="D11" s="28" t="str">
        <x:v>Травы, цветы и листья</x:v>
      </x:c>
      <x:c r="E11" s="28" t="str">
        <x:v>пересечение ароматических семейств</x:v>
      </x:c>
      <x:c r="F11" s="28" t="str">
        <x:v>Кофе имеет профиль «жареный, ореховый, карамельный, цветочный, фруктовый, фенольный и древесный». Партнёр «flat-leaf parsley» относится к группе «Травы, цветы и листья» и даёт зелёный, цветочный и терпеновый. Профили пересекаются в семействах: цветочный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1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1" s="28" t="str">
        <x:v>кофейный напиток, холодный кофе, крем, сироп, десерт или соус с flat-leaf parsley</x:v>
      </x:c>
      <x:c r="J11" s="28" t="str">
        <x:v>Средняя</x:v>
      </x:c>
      <x:c r="K11" s="28" t="str">
        <x:v>The Art &amp; Science of Foodpairing.pdf</x:v>
      </x:c>
      <x:c r="L11" s="28" t="str">
        <x:v>The Art &amp; Science of Foodpairing.pdf: 297</x:v>
      </x:c>
    </x:row>
    <x:row r="12" ht="64" customHeight="1">
      <x:c r="A12" s="28" t="str">
        <x:v>NCT-0211</x:v>
      </x:c>
      <x:c r="B12" s="28" t="str">
        <x:v>кофе</x:v>
      </x:c>
      <x:c r="C12" s="28" t="str">
        <x:v>fried chilli paste</x:v>
      </x:c>
      <x:c r="D12" s="28" t="str">
        <x:v>Специи</x:v>
      </x:c>
      <x:c r="E12" s="28" t="str">
        <x:v>сенсорная комплементарность</x:v>
      </x:c>
      <x:c r="F12" s="28" t="str">
        <x:v>Кофе имеет профиль «жареный, ореховый, карамельный, цветочный, фруктовый, фенольный и древесный». Партнёр «fried chilli paste» относится к группе «Специи» и даёт пряный и древесный.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2" s="28" t="str">
        <x:v>кофейный напиток, холодный кофе, крем, сироп, десерт или соус с fried chilli paste</x:v>
      </x:c>
      <x:c r="J12" s="28" t="str">
        <x:v>Средняя</x:v>
      </x:c>
      <x:c r="K12" s="28" t="str">
        <x:v>The Art &amp; Science of Foodpairing.pdf</x:v>
      </x:c>
      <x:c r="L12" s="28" t="str">
        <x:v>The Art &amp; Science of Foodpairing.pdf: 297</x:v>
      </x:c>
    </x:row>
    <x:row r="13" ht="64" customHeight="1">
      <x:c r="A13" s="28" t="str">
        <x:v>NCT-0212</x:v>
      </x:c>
      <x:c r="B13" s="28" t="str">
        <x:v>кофе</x:v>
      </x:c>
      <x:c r="C13" s="28" t="str">
        <x:v>garlic</x:v>
      </x:c>
      <x:c r="D13" s="28" t="str">
        <x:v>Овощи, бобовые и грибы</x:v>
      </x:c>
      <x:c r="E13" s="28" t="str">
        <x:v>сенсорная комплементарность</x:v>
      </x:c>
      <x:c r="F13" s="28" t="str">
        <x:v>Кофе имеет профиль «жареный, ореховый, карамельный, цветочный, фруктовый, фенольный и древесный». Партнёр «garlic»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3" s="28" t="str">
        <x:v>кофейный напиток, холодный кофе, крем, сироп, десерт или соус с garlic</x:v>
      </x:c>
      <x:c r="J13" s="28" t="str">
        <x:v>Средняя</x:v>
      </x:c>
      <x:c r="K13" s="28" t="str">
        <x:v>The Art &amp; Science of Foodpairing.pdf</x:v>
      </x:c>
      <x:c r="L13" s="28" t="str">
        <x:v>The Art &amp; Science of Foodpairing.pdf: 113</x:v>
      </x:c>
    </x:row>
    <x:row r="14" ht="64" customHeight="1">
      <x:c r="A14" s="28" t="str">
        <x:v>NCT-0213</x:v>
      </x:c>
      <x:c r="B14" s="28" t="str">
        <x:v>кофе</x:v>
      </x:c>
      <x:c r="C14" s="28" t="str">
        <x:v>gorgonzola</x:v>
      </x:c>
      <x:c r="D14" s="28" t="str">
        <x:v>Молочные продукты и сыры</x:v>
      </x:c>
      <x:c r="E14" s="28" t="str">
        <x:v>общие ароматические соединения, жировая экстракция и связывание полифенолов белком</x:v>
      </x:c>
      <x:c r="F14" s="28" t="str">
        <x:v>Кофе имеет профиль «жареный, ореховый, карамельный, цветочный, фруктовый, фенольный и древесный». Партнёр «gorgonzola»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1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14" s="28" t="str">
        <x:v>кофейный напиток, холодный кофе, крем, сироп, десерт или соус с gorgonzola</x:v>
      </x:c>
      <x:c r="J14" s="28" t="str">
        <x:v>Средняя</x:v>
      </x:c>
      <x:c r="K14" s="28" t="str">
        <x:v>The Art &amp; Science of Foodpairing.pdf</x:v>
      </x:c>
      <x:c r="L14" s="28" t="str">
        <x:v>The Art &amp; Science of Foodpairing.pdf: 297</x:v>
      </x:c>
    </x:row>
    <x:row r="15" ht="64" customHeight="1">
      <x:c r="A15" s="28" t="str">
        <x:v>NCT-0214</x:v>
      </x:c>
      <x:c r="B15" s="28" t="str">
        <x:v>кофе</x:v>
      </x:c>
      <x:c r="C15" s="28" t="str">
        <x:v>grilled turbot</x:v>
      </x:c>
      <x:c r="D15" s="28" t="str">
        <x:v>Рыба и морепродукты</x:v>
      </x:c>
      <x:c r="E15" s="28" t="str">
        <x:v>солёно-умами контраст</x:v>
      </x:c>
      <x:c r="F15" s="28" t="str">
        <x:v>Кофе имеет профиль «жареный, ореховый, карамельный, цветочный, фруктовый, фенольный и древесный». Партнёр «grilled turbot»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15" s="28" t="str">
        <x:v>кофейный напиток, холодный кофе, крем, сироп, десерт или соус с grilled turbot</x:v>
      </x:c>
      <x:c r="J15" s="28" t="str">
        <x:v>Средняя</x:v>
      </x:c>
      <x:c r="K15" s="28" t="str">
        <x:v>The Art &amp; Science of Foodpairing.pdf</x:v>
      </x:c>
      <x:c r="L15" s="28" t="str">
        <x:v>The Art &amp; Science of Foodpairing.pdf: 297</x:v>
      </x:c>
    </x:row>
    <x:row r="16" ht="64" customHeight="1">
      <x:c r="A16" s="28" t="str">
        <x:v>NCT-0215</x:v>
      </x:c>
      <x:c r="B16" s="28" t="str">
        <x:v>кофе</x:v>
      </x:c>
      <x:c r="C16" s="28" t="str">
        <x:v>isot pepper (urfa chilli flakes)</x:v>
      </x:c>
      <x:c r="D16" s="28" t="str">
        <x:v>Специи</x:v>
      </x:c>
      <x:c r="E16" s="28" t="str">
        <x:v>сенсорная комплементарность</x:v>
      </x:c>
      <x:c r="F16" s="28" t="str">
        <x:v>Кофе имеет профиль «жареный, ореховый, карамельный, цветочный, фруктовый, фенольный и древесный». Партнёр «isot pepper (urfa chilli flakes)» относится к группе «Специи» и даёт пряный и древесный.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6" s="28" t="str">
        <x:v>кофейный напиток, холодный кофе, крем, сироп, десерт или соус с isot pepper (urfa chilli flakes)</x:v>
      </x:c>
      <x:c r="J16" s="28" t="str">
        <x:v>Средняя</x:v>
      </x:c>
      <x:c r="K16" s="28" t="str">
        <x:v>The Art &amp; Science of Foodpairing.pdf</x:v>
      </x:c>
      <x:c r="L16" s="28" t="str">
        <x:v>The Art &amp; Science of Foodpairing.pdf: 297</x:v>
      </x:c>
    </x:row>
    <x:row r="17" ht="64" customHeight="1">
      <x:c r="A17" s="28" t="str">
        <x:v>NCT-0216</x:v>
      </x:c>
      <x:c r="B17" s="28" t="str">
        <x:v>кофе</x:v>
      </x:c>
      <x:c r="C17" s="28" t="str">
        <x:v>korean fish sauce</x:v>
      </x:c>
      <x:c r="D17" s="28" t="str">
        <x:v>Рыба и морепродукты</x:v>
      </x:c>
      <x:c r="E17" s="28" t="str">
        <x:v>солёно-умами контраст</x:v>
      </x:c>
      <x:c r="F17" s="28" t="str">
        <x:v>Кофе имеет профиль «жареный, ореховый, карамельный, цветочный, фруктовый, фенольный и древесный». Партнёр «korean fish sauce»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17" s="28" t="str">
        <x:v>кофейный напиток, холодный кофе, крем, сироп, десерт или соус с korean fish sauce</x:v>
      </x:c>
      <x:c r="J17" s="28" t="str">
        <x:v>Средняя</x:v>
      </x:c>
      <x:c r="K17" s="28" t="str">
        <x:v>The Art &amp; Science of Foodpairing.pdf</x:v>
      </x:c>
      <x:c r="L17" s="28" t="str">
        <x:v>The Art &amp; Science of Foodpairing.pdf: 297</x:v>
      </x:c>
    </x:row>
    <x:row r="18" ht="64" customHeight="1">
      <x:c r="A18" s="28" t="str">
        <x:v>NCT-0217</x:v>
      </x:c>
      <x:c r="B18" s="28" t="str">
        <x:v>кофе</x:v>
      </x:c>
      <x:c r="C18" s="28" t="str">
        <x:v>lberico ham (jam6n 100% lberico</x:v>
      </x:c>
      <x:c r="D18" s="28" t="str">
        <x:v>Мясо и птица</x:v>
      </x:c>
      <x:c r="E1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8" s="28" t="str">
        <x:v>Кофе имеет профиль «жареный, ореховый, карамельный, цветочный, фруктовый, фенольный и древесный». Партнёр «lberico ham (jam6n 100% lberico»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1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8" s="28" t="str">
        <x:v>кофейный напиток, холодный кофе, крем, сироп, десерт или соус с lberico ham (jam6n 100% lberico</x:v>
      </x:c>
      <x:c r="J18" s="28" t="str">
        <x:v>Средняя</x:v>
      </x:c>
      <x:c r="K18" s="28" t="str">
        <x:v>The Art &amp; Science of Foodpairing.pdf</x:v>
      </x:c>
      <x:c r="L18" s="28" t="str">
        <x:v>The Art &amp; Science of Foodpairing.pdf: 297</x:v>
      </x:c>
    </x:row>
    <x:row r="19" ht="64" customHeight="1">
      <x:c r="A19" s="28" t="str">
        <x:v>NCT-0218</x:v>
      </x:c>
      <x:c r="B19" s="28" t="str">
        <x:v>кофе</x:v>
      </x:c>
      <x:c r="C19" s="28" t="str">
        <x:v>lobster</x:v>
      </x:c>
      <x:c r="D19" s="28" t="str">
        <x:v>Рыба и морепродукты</x:v>
      </x:c>
      <x:c r="E19" s="28" t="str">
        <x:v>солёно-умами контраст</x:v>
      </x:c>
      <x:c r="F19" s="28" t="str">
        <x:v>Кофе имеет профиль «жареный, ореховый, карамельный, цветочный, фруктовый, фенольный и древесный». Партнёр «lobster»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19" s="28" t="str">
        <x:v>кофейный напиток, холодный кофе, крем, сироп, десерт или соус с lobster</x:v>
      </x:c>
      <x:c r="J19" s="28" t="str">
        <x:v>Высокая</x:v>
      </x:c>
      <x:c r="K19" s="28" t="str">
        <x:v>The Art &amp; Science of Foodpairing.pdf</x:v>
      </x:c>
      <x:c r="L19" s="28" t="str">
        <x:v>The Art &amp; Science of Foodpairing.pdf: 296</x:v>
      </x:c>
    </x:row>
    <x:row r="20" ht="64" customHeight="1">
      <x:c r="A20" s="28" t="str">
        <x:v>NCT-0219</x:v>
      </x:c>
      <x:c r="B20" s="28" t="str">
        <x:v>кофе</x:v>
      </x:c>
      <x:c r="C20" s="28" t="str">
        <x:v>pan-fried duck breast</x:v>
      </x:c>
      <x:c r="D20" s="28" t="str">
        <x:v>Мясо и птица</x:v>
      </x:c>
      <x:c r="E2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20" s="28" t="str">
        <x:v>Кофе имеет профиль «жареный, ореховый, карамельный, цветочный, фруктовый, фенольный и древесный». Партнёр «pan-fried duck breast»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2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20" s="28" t="str">
        <x:v>кофейный напиток, холодный кофе, крем, сироп, десерт или соус с pan-fried duck breast</x:v>
      </x:c>
      <x:c r="J20" s="28" t="str">
        <x:v>Средняя</x:v>
      </x:c>
      <x:c r="K20" s="28" t="str">
        <x:v>The Art &amp; Science of Foodpairing.pdf</x:v>
      </x:c>
      <x:c r="L20" s="28" t="str">
        <x:v>The Art &amp; Science of Foodpairing.pdf: 297</x:v>
      </x:c>
    </x:row>
    <x:row r="21" ht="64" customHeight="1">
      <x:c r="A21" s="28" t="str">
        <x:v>NCT-0220</x:v>
      </x:c>
      <x:c r="B21" s="28" t="str">
        <x:v>кофе</x:v>
      </x:c>
      <x:c r="C21" s="28" t="str">
        <x:v>pan-fried quail</x:v>
      </x:c>
      <x:c r="D21" s="28" t="str">
        <x:v>Мясо и птица</x:v>
      </x:c>
      <x:c r="E21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21" s="28" t="str">
        <x:v>Кофе имеет профиль «жареный, ореховый, карамельный, цветочный, фруктовый, фенольный и древесный». Партнёр «pan-fried quail»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2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21" s="28" t="str">
        <x:v>кофейный напиток, холодный кофе, крем, сироп, десерт или соус с pan-fried quail</x:v>
      </x:c>
      <x:c r="J21" s="28" t="str">
        <x:v>Средняя</x:v>
      </x:c>
      <x:c r="K21" s="28" t="str">
        <x:v>The Art &amp; Science of Foodpairing.pdf</x:v>
      </x:c>
      <x:c r="L21" s="28" t="str">
        <x:v>The Art &amp; Science of Foodpairing.pdf: 297</x:v>
      </x:c>
    </x:row>
    <x:row r="22" ht="64" customHeight="1">
      <x:c r="A22" s="28" t="str">
        <x:v>NCT-0221</x:v>
      </x:c>
      <x:c r="B22" s="28" t="str">
        <x:v>кофе</x:v>
      </x:c>
      <x:c r="C22" s="28" t="str">
        <x:v>parmesan-style cheese</x:v>
      </x:c>
      <x:c r="D22" s="28" t="str">
        <x:v>Молочные продукты и сыры</x:v>
      </x:c>
      <x:c r="E22" s="28" t="str">
        <x:v>общие ароматические соединения, жировая экстракция и связывание полифенолов белком</x:v>
      </x:c>
      <x:c r="F22" s="28" t="str">
        <x:v>Кофе имеет профиль «жареный, ореховый, карамельный, цветочный, фруктовый, фенольный и древесный». Партнёр «parmesan-style cheese»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2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22" s="28" t="str">
        <x:v>кофейный напиток, холодный кофе, крем, сироп, десерт или соус с parmesan-style cheese</x:v>
      </x:c>
      <x:c r="J22" s="28" t="str">
        <x:v>Средняя</x:v>
      </x:c>
      <x:c r="K22" s="28" t="str">
        <x:v>The Art &amp; Science of Foodpairing.pdf</x:v>
      </x:c>
      <x:c r="L22" s="28" t="str">
        <x:v>The Art &amp; Science of Foodpairing.pdf: 297</x:v>
      </x:c>
    </x:row>
    <x:row r="23" ht="64" customHeight="1">
      <x:c r="A23" s="28" t="str">
        <x:v>NCT-0222</x:v>
      </x:c>
      <x:c r="B23" s="28" t="str">
        <x:v>кофе</x:v>
      </x:c>
      <x:c r="C23" s="28" t="str">
        <x:v>peppercorns</x:v>
      </x:c>
      <x:c r="D23" s="28" t="str">
        <x:v>Специи</x:v>
      </x:c>
      <x:c r="E23" s="28" t="str">
        <x:v>сенсорная комплементарность</x:v>
      </x:c>
      <x:c r="F23" s="28" t="str">
        <x:v>Кофе имеет профиль «жареный, ореховый, карамельный, цветочный, фруктовый, фенольный и древесный». Партнёр «peppercorns» относится к группе «Специи» и даёт пряный и древесный.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2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23" s="28" t="str">
        <x:v>кофейный напиток, холодный кофе, крем, сироп, десерт или соус с peppercorns</x:v>
      </x:c>
      <x:c r="J23" s="28" t="str">
        <x:v>Средняя</x:v>
      </x:c>
      <x:c r="K23" s="28" t="str">
        <x:v>The Art &amp; Science of Foodpairing.pdf</x:v>
      </x:c>
      <x:c r="L23" s="28" t="str">
        <x:v>The Art &amp; Science of Foodpairing.pdf: 274</x:v>
      </x:c>
    </x:row>
    <x:row r="24" ht="64" customHeight="1">
      <x:c r="A24" s="28" t="str">
        <x:v>NCT-0223</x:v>
      </x:c>
      <x:c r="B24" s="28" t="str">
        <x:v>кофе</x:v>
      </x:c>
      <x:c r="C24" s="28" t="str">
        <x:v>poached grey mullet</x:v>
      </x:c>
      <x:c r="D24" s="28" t="str">
        <x:v>Рыба и морепродукты</x:v>
      </x:c>
      <x:c r="E24" s="28" t="str">
        <x:v>солёно-умами контраст</x:v>
      </x:c>
      <x:c r="F24" s="28" t="str">
        <x:v>Кофе имеет профиль «жареный, ореховый, карамельный, цветочный, фруктовый, фенольный и древесный». Партнёр «poached grey mullet»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2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24" s="28" t="str">
        <x:v>кофейный напиток, холодный кофе, крем, сироп, десерт или соус с poached grey mullet</x:v>
      </x:c>
      <x:c r="J24" s="28" t="str">
        <x:v>Средняя</x:v>
      </x:c>
      <x:c r="K24" s="28" t="str">
        <x:v>The Art &amp; Science of Foodpairing.pdf</x:v>
      </x:c>
      <x:c r="L24" s="28" t="str">
        <x:v>The Art &amp; Science of Foodpairing.pdf: 297</x:v>
      </x:c>
    </x:row>
    <x:row r="25" ht="64" customHeight="1">
      <x:c r="A25" s="28" t="str">
        <x:v>NCT-0224</x:v>
      </x:c>
      <x:c r="B25" s="28" t="str">
        <x:v>кофе</x:v>
      </x:c>
      <x:c r="C25" s="28" t="str">
        <x:v>rainbow trout</x:v>
      </x:c>
      <x:c r="D25" s="28" t="str">
        <x:v>Рыба и морепродукты</x:v>
      </x:c>
      <x:c r="E25" s="28" t="str">
        <x:v>солёно-умами контраст</x:v>
      </x:c>
      <x:c r="F25" s="28" t="str">
        <x:v>Кофе имеет профиль «жареный, ореховый, карамельный, цветочный, фруктовый, фенольный и древесный». Партнёр «rainbow trout»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2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25" s="28" t="str">
        <x:v>кофейный напиток, холодный кофе, крем, сироп, десерт или соус с rainbow trout</x:v>
      </x:c>
      <x:c r="J25" s="28" t="str">
        <x:v>Средняя</x:v>
      </x:c>
      <x:c r="K25" s="28" t="str">
        <x:v>The Art &amp; Science of Foodpairing.pdf</x:v>
      </x:c>
      <x:c r="L25" s="28" t="str">
        <x:v>The Art &amp; Science of Foodpairing.pdf: 297</x:v>
      </x:c>
    </x:row>
    <x:row r="26" ht="64" customHeight="1">
      <x:c r="A26" s="28" t="str">
        <x:v>NCT-0225</x:v>
      </x:c>
      <x:c r="B26" s="28" t="str">
        <x:v>кофе</x:v>
      </x:c>
      <x:c r="C26" s="28" t="str">
        <x:v>rapeseed oil</x:v>
      </x:c>
      <x:c r="D26" s="28" t="str">
        <x:v>Масла и жиры</x:v>
      </x:c>
      <x:c r="E26" s="28" t="str">
        <x:v>сенсорная комплементарность</x:v>
      </x:c>
      <x:c r="F26" s="28" t="str">
        <x:v>Кофе имеет профиль «жареный, ореховый, карамельный, цветочный, фруктовый, фенольный и древесный». Партнёр «rapeseed oil» относится к группе «Масла и жиры» и даёт жирный и мягкий.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2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26" s="28" t="str">
        <x:v>кофейный напиток, холодный кофе, крем, сироп, десерт или соус с rapeseed oil</x:v>
      </x:c>
      <x:c r="J26" s="28" t="str">
        <x:v>Средняя</x:v>
      </x:c>
      <x:c r="K26" s="28" t="str">
        <x:v>The Art &amp; Science of Foodpairing.pdf</x:v>
      </x:c>
      <x:c r="L26" s="28" t="str">
        <x:v>The Art &amp; Science of Foodpairing.pdf: 297</x:v>
      </x:c>
    </x:row>
    <x:row r="27" ht="64" customHeight="1">
      <x:c r="A27" s="28" t="str">
        <x:v>NCT-0226</x:v>
      </x:c>
      <x:c r="B27" s="28" t="str">
        <x:v>кофе</x:v>
      </x:c>
      <x:c r="C27" s="28" t="str">
        <x:v>red bell pepper and paprika</x:v>
      </x:c>
      <x:c r="D27" s="28" t="str">
        <x:v>Специи</x:v>
      </x:c>
      <x:c r="E27" s="28" t="str">
        <x:v>сенсорная комплементарность</x:v>
      </x:c>
      <x:c r="F27" s="28" t="str">
        <x:v>Кофе имеет профиль «жареный, ореховый, карамельный, цветочный, фруктовый, фенольный и древесный». Партнёр «red bell pepper and paprika» относится к группе «Специи» и даёт пряный и древесный.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2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27" s="28" t="str">
        <x:v>кофейный напиток, холодный кофе, крем, сироп, десерт или соус с red bell pepper and paprika</x:v>
      </x:c>
      <x:c r="J27" s="28" t="str">
        <x:v>Средняя</x:v>
      </x:c>
      <x:c r="K27" s="28" t="str">
        <x:v>The Art &amp; Science of Foodpairing.pdf</x:v>
      </x:c>
      <x:c r="L27" s="28" t="str">
        <x:v>The Art &amp; Science of Foodpairing.pdf: 108</x:v>
      </x:c>
    </x:row>
    <x:row r="28" ht="64" customHeight="1">
      <x:c r="A28" s="28" t="str">
        <x:v>NCT-0227</x:v>
      </x:c>
      <x:c r="B28" s="28" t="str">
        <x:v>кофе</x:v>
      </x:c>
      <x:c r="C28" s="28" t="str">
        <x:v>roasted veal sweetbreads</x:v>
      </x:c>
      <x:c r="D28" s="28" t="str">
        <x:v>Мясо и птица</x:v>
      </x:c>
      <x:c r="E2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28" s="28" t="str">
        <x:v>Кофе имеет профиль «жареный, ореховый, карамельный, цветочный, фруктовый, фенольный и древесный». Партнёр «roasted veal sweetbreads»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2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28" s="28" t="str">
        <x:v>кофейный напиток, холодный кофе, крем, сироп, десерт или соус с roasted veal sweetbreads</x:v>
      </x:c>
      <x:c r="J28" s="28" t="str">
        <x:v>Средняя</x:v>
      </x:c>
      <x:c r="K28" s="28" t="str">
        <x:v>The Art &amp; Science of Foodpairing.pdf</x:v>
      </x:c>
      <x:c r="L28" s="28" t="str">
        <x:v>The Art &amp; Science of Foodpairing.pdf: 297</x:v>
      </x:c>
    </x:row>
    <x:row r="29" ht="64" customHeight="1">
      <x:c r="A29" s="28" t="str">
        <x:v>NCT-0228</x:v>
      </x:c>
      <x:c r="B29" s="28" t="str">
        <x:v>кофе</x:v>
      </x:c>
      <x:c r="C29" s="28" t="str">
        <x:v>roastedarabica coffeebean</x:v>
      </x:c>
      <x:c r="D29" s="28" t="str">
        <x:v>Кофе</x:v>
      </x:c>
      <x:c r="E29" s="28" t="str">
        <x:v>общие ароматические соединения, пересечение ароматических семейств, жареная химия и реакции Майяра</x:v>
      </x:c>
      <x:c r="F29" s="28" t="str">
        <x:v>Кофе имеет профиль «жареный, ореховый, карамельный, цветочный, фруктовый, фенольный и древесный». Партнёр «roastedarabica coffeebean» относится к группе «Кофе» и даёт жареный, ореховый и карамельный. Молекулярный мост создают гваякол, пиразины, фураны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жареный, карамельный, ореховый; гваякол, пиразины, фураны.</x:v>
      </x:c>
      <x:c r="G2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29" s="28" t="str">
        <x:v>кофейный напиток, холодный кофе, крем, сироп, десерт или соус с roastedarabica coffeebean</x:v>
      </x:c>
      <x:c r="J29" s="28" t="str">
        <x:v>Средняя</x:v>
      </x:c>
      <x:c r="K29" s="28" t="str">
        <x:v>The Art &amp; Science of Foodpairing.pdf</x:v>
      </x:c>
      <x:c r="L29" s="28" t="str">
        <x:v>The Art &amp; Science of Foodpairing.pdf: 297</x:v>
      </x:c>
    </x:row>
    <x:row r="30" ht="64" customHeight="1">
      <x:c r="A30" s="28" t="str">
        <x:v>NCT-0229</x:v>
      </x:c>
      <x:c r="B30" s="28" t="str">
        <x:v>кофе</x:v>
      </x:c>
      <x:c r="C30" s="28" t="str">
        <x:v>rocoto chilli</x:v>
      </x:c>
      <x:c r="D30" s="28" t="str">
        <x:v>Специи</x:v>
      </x:c>
      <x:c r="E30" s="28" t="str">
        <x:v>сенсорная комплементарность</x:v>
      </x:c>
      <x:c r="F30" s="28" t="str">
        <x:v>Кофе имеет профиль «жареный, ореховый, карамельный, цветочный, фруктовый, фенольный и древесный». Партнёр «rocoto chilli» относится к группе «Специи» и даёт пряный и древесный.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3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30" s="28" t="str">
        <x:v>кофейный напиток, холодный кофе, крем, сироп, десерт или соус с rocoto chilli</x:v>
      </x:c>
      <x:c r="J30" s="28" t="str">
        <x:v>Средняя</x:v>
      </x:c>
      <x:c r="K30" s="28" t="str">
        <x:v>The Art &amp; Science of Foodpairing.pdf</x:v>
      </x:c>
      <x:c r="L30" s="28" t="str">
        <x:v>The Art &amp; Science of Foodpairing.pdf: 297</x:v>
      </x:c>
    </x:row>
    <x:row r="31" ht="64" customHeight="1">
      <x:c r="A31" s="28" t="str">
        <x:v>NCT-0230</x:v>
      </x:c>
      <x:c r="B31" s="28" t="str">
        <x:v>кофе</x:v>
      </x:c>
      <x:c r="C31" s="28" t="str">
        <x:v>sheep's milk yogurt</x:v>
      </x:c>
      <x:c r="D31" s="28" t="str">
        <x:v>Молочные продукты и сыры</x:v>
      </x:c>
      <x:c r="E31" s="28" t="str">
        <x:v>общие ароматические соединения, жировая экстракция и связывание полифенолов белком</x:v>
      </x:c>
      <x:c r="F31" s="28" t="str">
        <x:v>Кофе имеет профиль «жареный, ореховый, карамельный, цветочный, фруктовый, фенольный и древесный». Партнёр «sheep's milk yogurt»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3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31" s="28" t="str">
        <x:v>кофейный напиток, холодный кофе, крем, сироп, десерт или соус с sheep's milk yogurt</x:v>
      </x:c>
      <x:c r="J31" s="28" t="str">
        <x:v>Средняя</x:v>
      </x:c>
      <x:c r="K31" s="28" t="str">
        <x:v>The Art &amp; Science of Foodpairing.pdf</x:v>
      </x:c>
      <x:c r="L31" s="28" t="str">
        <x:v>The Art &amp; Science of Foodpairing.pdf: 297</x:v>
      </x:c>
    </x:row>
    <x:row r="32" ht="64" customHeight="1">
      <x:c r="A32" s="28" t="str">
        <x:v>NCT-0231</x:v>
      </x:c>
      <x:c r="B32" s="28" t="str">
        <x:v>кофе</x:v>
      </x:c>
      <x:c r="C32" s="28" t="str">
        <x:v>smoked atlantic salmon</x:v>
      </x:c>
      <x:c r="D32" s="28" t="str">
        <x:v>Рыба и морепродукты</x:v>
      </x:c>
      <x:c r="E32" s="28" t="str">
        <x:v>солёно-умами контраст</x:v>
      </x:c>
      <x:c r="F32" s="28" t="str">
        <x:v>Кофе имеет профиль «жареный, ореховый, карамельный, цветочный, фруктовый, фенольный и древесный». Партнёр «smoked atlantic salmon»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3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32" s="28" t="str">
        <x:v>кофейный напиток, холодный кофе, крем, сироп, десерт или соус с smoked atlantic salmon</x:v>
      </x:c>
      <x:c r="J32" s="28" t="str">
        <x:v>Средняя</x:v>
      </x:c>
      <x:c r="K32" s="28" t="str">
        <x:v>The Art &amp; Science of Foodpairing.pdf</x:v>
      </x:c>
      <x:c r="L32" s="28" t="str">
        <x:v>The Art &amp; Science of Foodpairing.pdf: 297</x:v>
      </x:c>
    </x:row>
    <x:row r="33" ht="64" customHeight="1">
      <x:c r="A33" s="28" t="str">
        <x:v>NCT-0232</x:v>
      </x:c>
      <x:c r="B33" s="28" t="str">
        <x:v>кофе</x:v>
      </x:c>
      <x:c r="C33" s="28" t="str">
        <x:v>sprouted chickpea</x:v>
      </x:c>
      <x:c r="D33" s="28" t="str">
        <x:v>Овощи, бобовые и грибы</x:v>
      </x:c>
      <x:c r="E33" s="28" t="str">
        <x:v>сенсорная комплементарность</x:v>
      </x:c>
      <x:c r="F33" s="28" t="str">
        <x:v>Кофе имеет профиль «жареный, ореховый, карамельный, цветочный, фруктовый, фенольный и древесный». Партнёр «sprouted chickpea»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3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33" s="28" t="str">
        <x:v>кофейный напиток, холодный кофе, крем, сироп, десерт или соус с sprouted chickpea</x:v>
      </x:c>
      <x:c r="J33" s="28" t="str">
        <x:v>Средняя</x:v>
      </x:c>
      <x:c r="K33" s="28" t="str">
        <x:v>The Art &amp; Science of Foodpairing.pdf</x:v>
      </x:c>
      <x:c r="L33" s="28" t="str">
        <x:v>The Art &amp; Science of Foodpairing.pdf: 297</x:v>
      </x:c>
    </x:row>
    <x:row r="34" ht="64" customHeight="1">
      <x:c r="A34" s="28" t="str">
        <x:v>NCT-0233</x:v>
      </x:c>
      <x:c r="B34" s="28" t="str">
        <x:v>кофе</x:v>
      </x:c>
      <x:c r="C34" s="28" t="str">
        <x:v>stewed pork gravy</x:v>
      </x:c>
      <x:c r="D34" s="28" t="str">
        <x:v>Мясо и птица</x:v>
      </x:c>
      <x:c r="E3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4" s="28" t="str">
        <x:v>Кофе имеет профиль «жареный, ореховый, карамельный, цветочный, фруктовый, фенольный и древесный». Партнёр «stewed pork gravy»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3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34" s="28" t="str">
        <x:v>кофейный напиток, холодный кофе, крем, сироп, десерт или соус с stewed pork gravy</x:v>
      </x:c>
      <x:c r="J34" s="28" t="str">
        <x:v>Средняя</x:v>
      </x:c>
      <x:c r="K34" s="28" t="str">
        <x:v>The Art &amp; Science of Foodpairing.pdf</x:v>
      </x:c>
      <x:c r="L34" s="28" t="str">
        <x:v>The Art &amp; Science of Foodpairing.pdf: 297</x:v>
      </x:c>
    </x:row>
    <x:row r="35" ht="64" customHeight="1">
      <x:c r="A35" s="28" t="str">
        <x:v>NCT-0234</x:v>
      </x:c>
      <x:c r="B35" s="28" t="str">
        <x:v>кофе</x:v>
      </x:c>
      <x:c r="C35" s="28" t="str">
        <x:v>strawberry jam</x:v>
      </x:c>
      <x:c r="D35" s="28" t="str">
        <x:v>Выпечка, сахара и десерты</x:v>
      </x:c>
      <x:c r="E35" s="28" t="str">
        <x:v>общие ароматические соединения, пересечение ароматических семейств, жареная химия и реакции Майяра</x:v>
      </x:c>
      <x:c r="F35" s="28" t="str">
        <x:v>Кофе имеет профиль «жареный, ореховый, карамельный, цветочный, фруктовый, фенольный и древесный». Партнёр «strawberry jam»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жареный, карамельный; пиразины, фураны.</x:v>
      </x:c>
      <x:c r="G3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35" s="28" t="str">
        <x:v>кофейный напиток, холодный кофе, крем, сироп, десерт или соус с strawberry jam</x:v>
      </x:c>
      <x:c r="J35" s="28" t="str">
        <x:v>Средняя</x:v>
      </x:c>
      <x:c r="K35" s="28" t="str">
        <x:v>The Art &amp; Science of Foodpairing.pdf</x:v>
      </x:c>
      <x:c r="L35" s="28" t="str">
        <x:v>The Art &amp; Science of Foodpairing.pdf: 297</x:v>
      </x:c>
    </x:row>
    <x:row r="36" ht="64" customHeight="1">
      <x:c r="A36" s="28" t="str">
        <x:v>NCT-0235</x:v>
      </x:c>
      <x:c r="B36" s="28" t="str">
        <x:v>кофе</x:v>
      </x:c>
      <x:c r="C36" s="28" t="str">
        <x:v>sweet potato</x:v>
      </x:c>
      <x:c r="D36" s="28" t="str">
        <x:v>Овощи, бобовые и грибы</x:v>
      </x:c>
      <x:c r="E36" s="28" t="str">
        <x:v>сенсорная комплементарность</x:v>
      </x:c>
      <x:c r="F36" s="28" t="str">
        <x:v>Кофе имеет профиль «жареный, ореховый, карамельный, цветочный, фруктовый, фенольный и древесный». Партнёр «sweet potato»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3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36" s="28" t="str">
        <x:v>кофейный напиток, холодный кофе, крем, сироп, десерт или соус с sweet potato</x:v>
      </x:c>
      <x:c r="J36" s="28" t="str">
        <x:v>Средняя</x:v>
      </x:c>
      <x:c r="K36" s="28" t="str">
        <x:v>The Art &amp; Science of Foodpairing.pdf</x:v>
      </x:c>
      <x:c r="L36" s="28" t="str">
        <x:v>The Art &amp; Science of Foodpairing.pdf: 119</x:v>
      </x:c>
    </x:row>
    <x:row r="37" ht="64" customHeight="1">
      <x:c r="A37" s="28" t="str">
        <x:v>NCT-0236</x:v>
      </x:c>
      <x:c r="B37" s="28" t="str">
        <x:v>кофе</x:v>
      </x:c>
      <x:c r="C37" s="28" t="str">
        <x:v>white toastingbread</x:v>
      </x:c>
      <x:c r="D37" s="28" t="str">
        <x:v>Выпечка, сахара и десерты</x:v>
      </x:c>
      <x:c r="E37" s="28" t="str">
        <x:v>общие ароматические соединения, пересечение ароматических семейств, жареная химия и реакции Майяра</x:v>
      </x:c>
      <x:c r="F37" s="28" t="str">
        <x:v>Кофе имеет профиль «жареный, ореховый, карамельный, цветочный, фруктовый, фенольный и древесный». Партнёр «white toastingbread»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жареный, карамельный; пиразины, фураны.</x:v>
      </x:c>
      <x:c r="G3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37" s="28" t="str">
        <x:v>кофейный напиток, холодный кофе, крем, сироп, десерт или соус с white toastingbread</x:v>
      </x:c>
      <x:c r="J37" s="28" t="str">
        <x:v>Средняя</x:v>
      </x:c>
      <x:c r="K37" s="28" t="str">
        <x:v>The Art &amp; Science of Foodpairing.pdf</x:v>
      </x:c>
      <x:c r="L37" s="28" t="str">
        <x:v>The Art &amp; Science of Foodpairing.pdf: 297</x:v>
      </x:c>
    </x:row>
    <x:row r="38" ht="64" customHeight="1">
      <x:c r="A38" s="28" t="str">
        <x:v>NCT-0237</x:v>
      </x:c>
      <x:c r="B38" s="28" t="str">
        <x:v>кофе</x:v>
      </x:c>
      <x:c r="C38" s="28" t="str">
        <x:v>абрикос</x:v>
      </x:c>
      <x:c r="D38" s="28" t="str">
        <x:v>Фрукты и ягоды</x:v>
      </x:c>
      <x:c r="E38" s="28" t="str">
        <x:v>контраст кислоты и жирной/горькой матрицы</x:v>
      </x:c>
      <x:c r="F38" s="28" t="str">
        <x:v>Кофе имеет профиль «жареный, ореховый, карамельный, цветочный, фруктовый, фенольный и древесный». Партнёр «абрикос» относится к группе «Фрукты и ягоды» и даёт лактонный, миндальный, фруктовый.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3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38" s="28" t="str">
        <x:v>кофейный напиток, холодный кофе, крем, сироп, десерт или соус с абрикос</x:v>
      </x:c>
      <x:c r="J38" s="28" t="str">
        <x:v>Гипотеза / практическая</x:v>
      </x:c>
      <x:c r="K38" s="28" t="str">
        <x:v>Таблица сочетания(1).pdf</x:v>
      </x:c>
      <x:c r="L38" s="28" t="str">
        <x:v>Таблица сочетания(1).pdf: 6</x:v>
      </x:c>
    </x:row>
    <x:row r="39" ht="64" customHeight="1">
      <x:c r="A39" s="28" t="str">
        <x:v>NCT-0238</x:v>
      </x:c>
      <x:c r="B39" s="28" t="str">
        <x:v>кофе</x:v>
      </x:c>
      <x:c r="C39" s="28" t="str">
        <x:v>авокадо</x:v>
      </x:c>
      <x:c r="D39" s="28" t="str">
        <x:v>Прочее</x:v>
      </x:c>
      <x:c r="E39" s="28" t="str">
        <x:v>сенсорная комплементарность</x:v>
      </x:c>
      <x:c r="F39" s="28" t="str">
        <x:v>Кофе имеет профиль «жареный, ореховый, карамельный, цветочный, фруктовый, фенольный и древесный». Партнёр «авокадо»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3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39" s="28" t="str">
        <x:v>кофейный напиток, холодный кофе, крем, сироп, десерт или соус с авокадо</x:v>
      </x:c>
      <x:c r="J39" s="28" t="str">
        <x:v>Средняя</x:v>
      </x:c>
      <x:c r="K39" s="28" t="str">
        <x:v>Тезариус вкусов (Ники Сегнит)(1).pdf</x:v>
      </x:c>
      <x:c r="L39" s="28" t="str">
        <x:v>Тезариус вкусов (Ники Сегнит)(1).pdf: 42, 527</x:v>
      </x:c>
    </x:row>
    <x:row r="40" ht="64" customHeight="1">
      <x:c r="A40" s="28" t="str">
        <x:v>NCT-0239</x:v>
      </x:c>
      <x:c r="B40" s="28" t="str">
        <x:v>кофе</x:v>
      </x:c>
      <x:c r="C40" s="28" t="str">
        <x:v>агава</x:v>
      </x:c>
      <x:c r="D40" s="28" t="str">
        <x:v>Прочее</x:v>
      </x:c>
      <x:c r="E40" s="28" t="str">
        <x:v>сенсорная комплементарность</x:v>
      </x:c>
      <x:c r="F40" s="28" t="str">
        <x:v>Кофе имеет профиль «жареный, ореховый, карамельный, цветочный, фруктовый, фенольный и древесный». Партнёр «агава»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0" s="28" t="str">
        <x:v>кофейный напиток, холодный кофе, крем, сироп, десерт или соус с агава</x:v>
      </x:c>
      <x:c r="J40" s="28" t="str">
        <x:v>Гипотеза / практическая</x:v>
      </x:c>
      <x:c r="K40" s="28" t="str">
        <x:v>Таблица сочетания(1).pdf</x:v>
      </x:c>
      <x:c r="L40" s="28" t="str">
        <x:v>Таблица сочетания(1).pdf: 1</x:v>
      </x:c>
    </x:row>
    <x:row r="41" ht="64" customHeight="1">
      <x:c r="A41" s="28" t="str">
        <x:v>NCT-0240</x:v>
      </x:c>
      <x:c r="B41" s="28" t="str">
        <x:v>кофе</x:v>
      </x:c>
      <x:c r="C41" s="28" t="str">
        <x:v>акациевый мёд</x:v>
      </x:c>
      <x:c r="D41" s="28" t="str">
        <x:v>Выпечка, сахара и десерты</x:v>
      </x:c>
      <x:c r="E41" s="28" t="str">
        <x:v>пересечение ароматических семейств, жареная химия и реакции Майяра</x:v>
      </x:c>
      <x:c r="F41" s="28" t="str">
        <x:v>Кофе имеет профиль «жареный, ореховый, карамельный, цветочный, фруктовый, фенольный и древесный». Партнёр «акациевый мёд» относится к группе «Выпечка, сахара и десерты» и даёт медовый, цветочный. Профили пересекаются в семействах: цветочный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4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1" s="28" t="str">
        <x:v>кофейный напиток, холодный кофе, крем, сироп, десерт или соус с акациевый мёд</x:v>
      </x:c>
      <x:c r="J41" s="28" t="str">
        <x:v>Высокая</x:v>
      </x:c>
      <x:c r="K41" s="28" t="str">
        <x:v>The Art &amp; Science of Foodpairing.pdf</x:v>
      </x:c>
      <x:c r="L41" s="28" t="str">
        <x:v>The Art &amp; Science of Foodpairing.pdf: 297</x:v>
      </x:c>
    </x:row>
    <x:row r="42" ht="64" customHeight="1">
      <x:c r="A42" s="28" t="str">
        <x:v>NCT-0241</x:v>
      </x:c>
      <x:c r="B42" s="28" t="str">
        <x:v>кофе</x:v>
      </x:c>
      <x:c r="C42" s="28" t="str">
        <x:v>анис</x:v>
      </x:c>
      <x:c r="D42" s="28" t="str">
        <x:v>Прочее</x:v>
      </x:c>
      <x:c r="E42" s="28" t="str">
        <x:v>сенсорная комплементарность</x:v>
      </x:c>
      <x:c r="F42" s="28" t="str">
        <x:v>Кофе имеет профиль «жареный, ореховый, карамельный, цветочный, фруктовый, фенольный и древесный». Партнёр «анис»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2" s="28" t="str">
        <x:v>кофейный напиток, холодный кофе, крем, сироп, десерт или соус с анис</x:v>
      </x:c>
      <x:c r="J42" s="28" t="str">
        <x:v>Гипотеза / практическая</x:v>
      </x:c>
      <x:c r="K42" s="28" t="str">
        <x:v>Таблица сочетания(1).pdf</x:v>
      </x:c>
      <x:c r="L42" s="28" t="str">
        <x:v>Таблица сочетания(1).pdf: 6</x:v>
      </x:c>
    </x:row>
    <x:row r="43" ht="64" customHeight="1">
      <x:c r="A43" s="28" t="str">
        <x:v>NCT-0242</x:v>
      </x:c>
      <x:c r="B43" s="28" t="str">
        <x:v>кофе</x:v>
      </x:c>
      <x:c r="C43" s="28" t="str">
        <x:v>апельсин</x:v>
      </x:c>
      <x:c r="D43" s="28" t="str">
        <x:v>Фрукты и ягоды</x:v>
      </x:c>
      <x:c r="E43" s="28" t="str">
        <x:v>контраст кислоты и жирной/горькой матрицы</x:v>
      </x:c>
      <x:c r="F43" s="28" t="str">
        <x:v>Кофе имеет профиль «жареный, ореховый, карамельный, цветочный, фруктовый, фенольный и древесный». Партнёр «апельсин»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43" s="28" t="str">
        <x:v>кофейный напиток, холодный кофе, крем, сироп, десерт или соус с апельсин</x:v>
      </x:c>
      <x:c r="J43" s="28" t="str">
        <x:v>Высокая</x:v>
      </x:c>
      <x:c r="K43" s="28" t="str">
        <x:v>The Art &amp; Science of Foodpairing.pdf | Таблица сочетания(1).pdf | Тезариус вкусов (Ники Сегнит)(1).pdf</x:v>
      </x:c>
      <x:c r="L43" s="28" t="str">
        <x:v>The Art &amp; Science of Foodpairing.pdf: 236; Таблица сочетания(1).pdf: 6; Тезариус вкусов (Ники Сегнит)(1).pdf: 42, 776</x:v>
      </x:c>
    </x:row>
    <x:row r="44" ht="64" customHeight="1">
      <x:c r="A44" s="28" t="str">
        <x:v>NCT-0243</x:v>
      </x:c>
      <x:c r="B44" s="28" t="str">
        <x:v>кофе</x:v>
      </x:c>
      <x:c r="C44" s="28" t="str">
        <x:v>банан</x:v>
      </x:c>
      <x:c r="D44" s="28" t="str">
        <x:v>Фрукты и ягоды</x:v>
      </x:c>
      <x:c r="E44" s="28" t="str">
        <x:v>контраст кислоты и жирной/горькой матрицы</x:v>
      </x:c>
      <x:c r="F44" s="28" t="str">
        <x:v>Кофе имеет профиль «жареный, ореховый, карамельный, цветочный, фруктовый, фенольный и древесный».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44" s="28" t="str">
        <x:v>кофейный напиток, холодный кофе, крем, сироп, десерт или соус с банан</x:v>
      </x:c>
      <x:c r="J44" s="28" t="str">
        <x:v>Высокая</x:v>
      </x:c>
      <x:c r="K44" s="28" t="str">
        <x:v>Таблица сочетания(1).pdf | Тезариус вкусов (Ники Сегнит)(1).pdf</x:v>
      </x:c>
      <x:c r="L44" s="28" t="str">
        <x:v>Таблица сочетания(1).pdf: 2; Тезариус вкусов (Ники Сегнит)(1).pdf: 43, 733</x:v>
      </x:c>
    </x:row>
    <x:row r="45" ht="64" customHeight="1">
      <x:c r="A45" s="28" t="str">
        <x:v>NCT-0244</x:v>
      </x:c>
      <x:c r="B45" s="28" t="str">
        <x:v>кофе</x:v>
      </x:c>
      <x:c r="C45" s="28" t="str">
        <x:v>ваниль</x:v>
      </x:c>
      <x:c r="D45" s="28" t="str">
        <x:v>Специи</x:v>
      </x:c>
      <x:c r="E45" s="28" t="str">
        <x:v>пересечение ароматических семейств</x:v>
      </x:c>
      <x:c r="F45" s="28" t="str">
        <x:v>Кофе имеет профиль «жареный, ореховый, карамельный, цветочный, фруктовый, фенольный и древесный». Партнёр «ваниль» относится к группе «Специи» и даёт ванильный, цветочный. Профили пересекаются в семействах: цветочный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4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5" s="28" t="str">
        <x:v>кофейный напиток, холодный кофе, крем, сироп, десерт или соус с ваниль</x:v>
      </x:c>
      <x:c r="J45" s="28" t="str">
        <x:v>Высокая</x:v>
      </x:c>
      <x:c r="K45" s="28" t="str">
        <x:v>Таблица сочетания(1).pdf | Тезариус вкусов (Ники Сегнит)(1).pdf</x:v>
      </x:c>
      <x:c r="L45" s="28" t="str">
        <x:v>Таблица сочетания(1).pdf: 6, 21; Тезариус вкусов (Ники Сегнит)(1).pdf: 43, 917</x:v>
      </x:c>
    </x:row>
    <x:row r="46" ht="64" customHeight="1">
      <x:c r="A46" s="28" t="str">
        <x:v>NCT-0245</x:v>
      </x:c>
      <x:c r="B46" s="28" t="str">
        <x:v>кофе</x:v>
      </x:c>
      <x:c r="C46" s="28" t="str">
        <x:v>вишня</x:v>
      </x:c>
      <x:c r="D46" s="28" t="str">
        <x:v>Фрукты и ягоды</x:v>
      </x:c>
      <x:c r="E46" s="28" t="str">
        <x:v>контраст кислоты и жирной/горькой матрицы</x:v>
      </x:c>
      <x:c r="F46" s="28" t="str">
        <x:v>Кофе имеет профиль «жареный, ореховый, карамельный, цветочный, фруктовый, фенольный и древесный». Партнёр «вишня» относится к группе «Фрукты и ягоды» и даёт миндальный, фруктовый.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46" s="28" t="str">
        <x:v>кофейный напиток, холодный кофе, крем, сироп, десерт или соус с вишня</x:v>
      </x:c>
      <x:c r="J46" s="28" t="str">
        <x:v>Высокая</x:v>
      </x:c>
      <x:c r="K46" s="28" t="str">
        <x:v>Таблица сочетания(1).pdf | Тезариус вкусов (Ники Сегнит)(1).pdf</x:v>
      </x:c>
      <x:c r="L46" s="28" t="str">
        <x:v>Таблица сочетания(1).pdf: 6; Тезариус вкусов (Ники Сегнит)(1).pdf: 43, 655</x:v>
      </x:c>
    </x:row>
    <x:row r="47" ht="64" customHeight="1">
      <x:c r="A47" s="28" t="str">
        <x:v>NCT-0246</x:v>
      </x:c>
      <x:c r="B47" s="28" t="str">
        <x:v>кофе</x:v>
      </x:c>
      <x:c r="C47" s="28" t="str">
        <x:v>гвоздика</x:v>
      </x:c>
      <x:c r="D47" s="28" t="str">
        <x:v>Специи</x:v>
      </x:c>
      <x:c r="E47" s="28" t="str">
        <x:v>сенсорная комплементарность</x:v>
      </x:c>
      <x:c r="F47" s="28" t="str">
        <x:v>Кофе имеет профиль «жареный, ореховый, карамельный, цветочный, фруктовый, фенольный и древесный». Партнёр «гвоздика» относится к группе «Специи» и даёт древесный, пряный, фенольный.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7" s="28" t="str">
        <x:v>кофейный напиток, холодный кофе, крем, сироп, десерт или соус с гвоздика</x:v>
      </x:c>
      <x:c r="J47" s="28" t="str">
        <x:v>Высокая</x:v>
      </x:c>
      <x:c r="K47" s="28" t="str">
        <x:v>Таблица сочетания(1).pdf | Тезариус вкусов (Ники Сегнит)(1).pdf</x:v>
      </x:c>
      <x:c r="L47" s="28" t="str">
        <x:v>Таблица сочетания(1).pdf: 6; Тезариус вкусов (Ники Сегнит)(1).pdf: 43, 583</x:v>
      </x:c>
    </x:row>
    <x:row r="48" ht="64" customHeight="1">
      <x:c r="A48" s="28" t="str">
        <x:v>NCT-0247</x:v>
      </x:c>
      <x:c r="B48" s="28" t="str">
        <x:v>кофе</x:v>
      </x:c>
      <x:c r="C48" s="28" t="str">
        <x:v>говядина</x:v>
      </x:c>
      <x:c r="D48" s="28" t="str">
        <x:v>Мясо и птица</x:v>
      </x:c>
      <x:c r="E4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8" s="28" t="str">
        <x:v>Кофе имеет профиль «жареный, ореховый, карамельный, цветочный, фруктовый, фенольный и древесный». Партнёр «говядина»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4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8" s="28" t="str">
        <x:v>кофейный напиток, холодный кофе, крем, сироп, десерт или соус с говядина</x:v>
      </x:c>
      <x:c r="J48" s="28" t="str">
        <x:v>Средняя</x:v>
      </x:c>
      <x:c r="K48" s="28" t="str">
        <x:v>Тезариус вкусов (Ники Сегнит)(1).pdf</x:v>
      </x:c>
      <x:c r="L48" s="28" t="str">
        <x:v>Тезариус вкусов (Ники Сегнит)(1).pdf: 43, 113</x:v>
      </x:c>
    </x:row>
    <x:row r="49" ht="64" customHeight="1">
      <x:c r="A49" s="28" t="str">
        <x:v>NCT-0248</x:v>
      </x:c>
      <x:c r="B49" s="28" t="str">
        <x:v>кофе</x:v>
      </x:c>
      <x:c r="C49" s="28" t="str">
        <x:v>гранатовый сок</x:v>
      </x:c>
      <x:c r="D49" s="28" t="str">
        <x:v>Прочее</x:v>
      </x:c>
      <x:c r="E49" s="28" t="str">
        <x:v>сенсорная комплементарность</x:v>
      </x:c>
      <x:c r="F49" s="28" t="str">
        <x:v>Кофе имеет профиль «жареный, ореховый, карамельный, цветочный, фруктовый, фенольный и древесный». Партнёр «гранатовый сок»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9" s="28" t="str">
        <x:v>кофейный напиток, холодный кофе, крем, сироп, десерт или соус с гранатовый сок</x:v>
      </x:c>
      <x:c r="J49" s="28" t="str">
        <x:v>Средняя</x:v>
      </x:c>
      <x:c r="K49" s="28" t="str">
        <x:v>The Art &amp; Science of Foodpairing.pdf</x:v>
      </x:c>
      <x:c r="L49" s="28" t="str">
        <x:v>The Art &amp; Science of Foodpairing.pdf: 297</x:v>
      </x:c>
    </x:row>
    <x:row r="50" ht="64" customHeight="1">
      <x:c r="A50" s="28" t="str">
        <x:v>NCT-0249</x:v>
      </x:c>
      <x:c r="B50" s="28" t="str">
        <x:v>кофе</x:v>
      </x:c>
      <x:c r="C50" s="28" t="str">
        <x:v>имбирь</x:v>
      </x:c>
      <x:c r="D50" s="28" t="str">
        <x:v>Специи</x:v>
      </x:c>
      <x:c r="E50" s="28" t="str">
        <x:v>сенсорная комплементарность</x:v>
      </x:c>
      <x:c r="F50" s="28" t="str">
        <x:v>Кофе имеет профиль «жареный, ореховый, карамельный, цветочный, фруктовый, фенольный и древесный». Партнёр «имбирь» относится к группе «Специи» и даёт пряный, тёплый, цитрусовый.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0" s="28" t="str">
        <x:v>кофейный напиток, холодный кофе, крем, сироп, десерт или соус с имбирь</x:v>
      </x:c>
      <x:c r="J50" s="28" t="str">
        <x:v>Высокая</x:v>
      </x:c>
      <x:c r="K50" s="28" t="str">
        <x:v>The Art &amp; Science of Foodpairing.pdf | Тезариус вкусов (Ники Сегнит)(1).pdf</x:v>
      </x:c>
      <x:c r="L50" s="28" t="str">
        <x:v>The Art &amp; Science of Foodpairing.pdf: 142; Тезариус вкусов (Ники Сегнит)(1).pdf: 45, 817</x:v>
      </x:c>
    </x:row>
    <x:row r="51" ht="64" customHeight="1">
      <x:c r="A51" s="28" t="str">
        <x:v>NCT-0250</x:v>
      </x:c>
      <x:c r="B51" s="28" t="str">
        <x:v>кофе</x:v>
      </x:c>
      <x:c r="C51" s="28" t="str">
        <x:v>испанский чоризо</x:v>
      </x:c>
      <x:c r="D51" s="28" t="str">
        <x:v>Прочее</x:v>
      </x:c>
      <x:c r="E51" s="28" t="str">
        <x:v>сенсорная комплементарность</x:v>
      </x:c>
      <x:c r="F51" s="28" t="str">
        <x:v>Кофе имеет профиль «жареный, ореховый, карамельный, цветочный, фруктовый, фенольный и древесный». Партнёр «испанский чоризо»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1" s="28" t="str">
        <x:v>кофейный напиток, холодный кофе, крем, сироп, десерт или соус с испанский чоризо</x:v>
      </x:c>
      <x:c r="J51" s="28" t="str">
        <x:v>Средняя</x:v>
      </x:c>
      <x:c r="K51" s="28" t="str">
        <x:v>The Art &amp; Science of Foodpairing.pdf</x:v>
      </x:c>
      <x:c r="L51" s="28" t="str">
        <x:v>The Art &amp; Science of Foodpairing.pdf: 297</x:v>
      </x:c>
    </x:row>
    <x:row r="52" ht="64" customHeight="1">
      <x:c r="A52" s="28" t="str">
        <x:v>NCT-0251</x:v>
      </x:c>
      <x:c r="B52" s="28" t="str">
        <x:v>кофе</x:v>
      </x:c>
      <x:c r="C52" s="28" t="str">
        <x:v>карамбола</x:v>
      </x:c>
      <x:c r="D52" s="28" t="str">
        <x:v>Прочее</x:v>
      </x:c>
      <x:c r="E52" s="28" t="str">
        <x:v>сенсорная комплементарность</x:v>
      </x:c>
      <x:c r="F52" s="28" t="str">
        <x:v>Кофе имеет профиль «жареный, ореховый, карамельный, цветочный, фруктовый, фенольный и древесный». Партнёр «карамбола»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2" s="28" t="str">
        <x:v>кофейный напиток, холодный кофе, крем, сироп, десерт или соус с карамбола</x:v>
      </x:c>
      <x:c r="J52" s="28" t="str">
        <x:v>Средняя</x:v>
      </x:c>
      <x:c r="K52" s="28" t="str">
        <x:v>The Art &amp; Science of Foodpairing.pdf</x:v>
      </x:c>
      <x:c r="L52" s="28" t="str">
        <x:v>The Art &amp; Science of Foodpairing.pdf: 297</x:v>
      </x:c>
    </x:row>
    <x:row r="53" ht="64" customHeight="1">
      <x:c r="A53" s="28" t="str">
        <x:v>NCT-0252</x:v>
      </x:c>
      <x:c r="B53" s="28" t="str">
        <x:v>кофе</x:v>
      </x:c>
      <x:c r="C53" s="28" t="str">
        <x:v>карамель</x:v>
      </x:c>
      <x:c r="D53" s="28" t="str">
        <x:v>Выпечка, сахара и десерты</x:v>
      </x:c>
      <x:c r="E53" s="28" t="str">
        <x:v>общие ароматические соединения, пересечение ароматических семейств, жареная химия и реакции Майяра</x:v>
      </x:c>
      <x:c r="F53" s="28" t="str">
        <x:v>Кофе имеет профиль «жареный, ореховый, карамельный, цветочный, фруктовый, фенольный и древесный». Партнёр «карамель» относится к группе «Выпечка, сахара и десерты» и даёт жареный, карамельный. Молекулярный мост создают фураны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жареный, карамельный; фураны.</x:v>
      </x:c>
      <x:c r="G5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3" s="28" t="str">
        <x:v>кофейный напиток, холодный кофе, крем, сироп, десерт или соус с карамель</x:v>
      </x:c>
      <x:c r="J53" s="28" t="str">
        <x:v>Гипотеза / практическая</x:v>
      </x:c>
      <x:c r="K53" s="28" t="str">
        <x:v>Таблица сочетания(1).pdf</x:v>
      </x:c>
      <x:c r="L53" s="28" t="str">
        <x:v>Таблица сочетания(1).pdf: 3</x:v>
      </x:c>
    </x:row>
    <x:row r="54" ht="64" customHeight="1">
      <x:c r="A54" s="28" t="str">
        <x:v>NCT-0253</x:v>
      </x:c>
      <x:c r="B54" s="28" t="str">
        <x:v>кофе</x:v>
      </x:c>
      <x:c r="C54" s="28" t="str">
        <x:v>кардамон</x:v>
      </x:c>
      <x:c r="D54" s="28" t="str">
        <x:v>Специи</x:v>
      </x:c>
      <x:c r="E54" s="28" t="str">
        <x:v>пересечение ароматических семейств</x:v>
      </x:c>
      <x:c r="F54" s="28" t="str">
        <x:v>Кофе имеет профиль «жареный, ореховый, карамельный, цветочный, фруктовый, фенольный и древесный». Партнёр «кардамон» относится к группе «Специи» и даёт камфорный, цветочный, цитрусовый. Профили пересекаются в семействах: цветочный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5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4" s="28" t="str">
        <x:v>кофейный напиток, холодный кофе, крем, сироп, десерт или соус с кардамон</x:v>
      </x:c>
      <x:c r="J54" s="28" t="str">
        <x:v>Высокая</x:v>
      </x:c>
      <x:c r="K54" s="28" t="str">
        <x:v>Таблица сочетания(1).pdf | Тезариус вкусов (Ники Сегнит)(1).pdf</x:v>
      </x:c>
      <x:c r="L54" s="28" t="str">
        <x:v>Таблица сочетания(1).pdf: 6; Тезариус вкусов (Ники Сегнит)(1).pdf: 45, 828</x:v>
      </x:c>
    </x:row>
    <x:row r="55" ht="64" customHeight="1">
      <x:c r="A55" s="28" t="str">
        <x:v>NCT-0254</x:v>
      </x:c>
      <x:c r="B55" s="28" t="str">
        <x:v>кофе</x:v>
      </x:c>
      <x:c r="C55" s="28" t="str">
        <x:v>картофель фри</x:v>
      </x:c>
      <x:c r="D55" s="28" t="str">
        <x:v>Овощи, бобовые и грибы</x:v>
      </x:c>
      <x:c r="E55" s="28" t="str">
        <x:v>сенсорная комплементарность</x:v>
      </x:c>
      <x:c r="F55" s="28" t="str">
        <x:v>Кофе имеет профиль «жареный, ореховый, карамельный, цветочный, фруктовый, фенольный и древесный». Партнёр «картофель фри»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5" s="28" t="str">
        <x:v>кофейный напиток, холодный кофе, крем, сироп, десерт или соус с картофель фри</x:v>
      </x:c>
      <x:c r="J55" s="28" t="str">
        <x:v>Средняя</x:v>
      </x:c>
      <x:c r="K55" s="28" t="str">
        <x:v>The Art &amp; Science of Foodpairing.pdf</x:v>
      </x:c>
      <x:c r="L55" s="28" t="str">
        <x:v>The Art &amp; Science of Foodpairing.pdf: 196</x:v>
      </x:c>
    </x:row>
    <x:row r="56" ht="64" customHeight="1">
      <x:c r="A56" s="28" t="str">
        <x:v>NCT-0255</x:v>
      </x:c>
      <x:c r="B56" s="28" t="str">
        <x:v>кофе</x:v>
      </x:c>
      <x:c r="C56" s="28" t="str">
        <x:v>киви</x:v>
      </x:c>
      <x:c r="D56" s="28" t="str">
        <x:v>Фрукты и ягоды</x:v>
      </x:c>
      <x:c r="E56" s="28" t="str">
        <x:v>пересечение ароматических семейств, контраст кислоты и жирной/горькой матрицы</x:v>
      </x:c>
      <x:c r="F56" s="28" t="str">
        <x:v>Кофе имеет профиль «жареный, ореховый, карамельный, цветочный, фруктовый, фенольный и древесный». Партнёр «киви»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5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56" s="28" t="str">
        <x:v>кофейный напиток, холодный кофе, крем, сироп, десерт или соус с киви</x:v>
      </x:c>
      <x:c r="J56" s="28" t="str">
        <x:v>Средняя</x:v>
      </x:c>
      <x:c r="K56" s="28" t="str">
        <x:v>The Art &amp; Science of Foodpairing.pdf</x:v>
      </x:c>
      <x:c r="L56" s="28" t="str">
        <x:v>The Art &amp; Science of Foodpairing.pdf: 297</x:v>
      </x:c>
    </x:row>
    <x:row r="57" ht="64" customHeight="1">
      <x:c r="A57" s="28" t="str">
        <x:v>NCT-0256</x:v>
      </x:c>
      <x:c r="B57" s="28" t="str">
        <x:v>кофе</x:v>
      </x:c>
      <x:c r="C57" s="28" t="str">
        <x:v>клубника</x:v>
      </x:c>
      <x:c r="D57" s="28" t="str">
        <x:v>Прочее</x:v>
      </x:c>
      <x:c r="E57" s="28" t="str">
        <x:v>пересечение ароматических семейств</x:v>
      </x:c>
      <x:c r="F57" s="28" t="str">
        <x:v>Кофе имеет профиль «жареный, ореховый, карамельный, цветочный, фруктовый, фенольный и древесный». Партнёр «клубника» относится к группе «Прочее» и даёт зелёный, карамельный, фруктовый. Профили пересекаются в семействах: карамельный Кофейные летучие соединения очень быстро теряются после помола и заваривания, поэтому сочетание зависит от свежести и степени обжарки. Итог: карамельный; механизм не следует сводить к одной общей молекуле.</x:v>
      </x:c>
      <x:c r="G5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7" s="28" t="str">
        <x:v>кофейный напиток, холодный кофе, крем, сироп, десерт или соус с клубника</x:v>
      </x:c>
      <x:c r="J57" s="28" t="str">
        <x:v>Средняя</x:v>
      </x:c>
      <x:c r="K57" s="28" t="str">
        <x:v>The Art &amp; Science of Foodpairing.pdf</x:v>
      </x:c>
      <x:c r="L57" s="28" t="str">
        <x:v>The Art &amp; Science of Foodpairing.pdf: 297</x:v>
      </x:c>
    </x:row>
    <x:row r="58" ht="64" customHeight="1">
      <x:c r="A58" s="28" t="str">
        <x:v>NCT-0257</x:v>
      </x:c>
      <x:c r="B58" s="28" t="str">
        <x:v>кофе</x:v>
      </x:c>
      <x:c r="C58" s="28" t="str">
        <x:v>козий сыр</x:v>
      </x:c>
      <x:c r="D58" s="28" t="str">
        <x:v>Молочные продукты и сыры</x:v>
      </x:c>
      <x:c r="E58" s="28" t="str">
        <x:v>общие ароматические соединения, жировая экстракция и связывание полифенолов белком</x:v>
      </x:c>
      <x:c r="F58" s="28" t="str">
        <x:v>Кофе имеет профиль «жареный, ореховый, карамельный, цветочный, фруктовый, фенольный и древесный». Партнёр «козий сыр» относится к группе «Молочные продукты и сыры» и даёт молочный, умами,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5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58" s="28" t="str">
        <x:v>кофейный напиток, холодный кофе, крем, сироп, десерт или соус с козий сыр</x:v>
      </x:c>
      <x:c r="J58" s="28" t="str">
        <x:v>Средняя</x:v>
      </x:c>
      <x:c r="K58" s="28" t="str">
        <x:v>Тезариус вкусов (Ники Сегнит)(1).pdf</x:v>
      </x:c>
      <x:c r="L58" s="28" t="str">
        <x:v>Тезариус вкусов (Ники Сегнит)(1).pdf: 46, 140</x:v>
      </x:c>
    </x:row>
    <x:row r="59" ht="64" customHeight="1">
      <x:c r="A59" s="28" t="str">
        <x:v>NCT-0258</x:v>
      </x:c>
      <x:c r="B59" s="28" t="str">
        <x:v>кофе</x:v>
      </x:c>
      <x:c r="C59" s="28" t="str">
        <x:v>корица</x:v>
      </x:c>
      <x:c r="D59" s="28" t="str">
        <x:v>Специи</x:v>
      </x:c>
      <x:c r="E59" s="28" t="str">
        <x:v>сенсорная комплементарность</x:v>
      </x:c>
      <x:c r="F59" s="28" t="str">
        <x:v>Кофе имеет профиль «жареный, ореховый, карамельный, цветочный, фруктовый, фенольный и древесный». Партнёр «корица» относится к группе «Специи» и даёт древесный, пряный.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9" s="28" t="str">
        <x:v>кофейный напиток, холодный кофе, крем, сироп, десерт или соус с корица</x:v>
      </x:c>
      <x:c r="J59" s="28" t="str">
        <x:v>Высокая</x:v>
      </x:c>
      <x:c r="K59" s="28" t="str">
        <x:v>Таблица сочетания(1).pdf | Тезариус вкусов (Ники Сегнит)(1).pdf</x:v>
      </x:c>
      <x:c r="L59" s="28" t="str">
        <x:v>Таблица сочетания(1).pdf: 6; Тезариус вкусов (Ники Сегнит)(1).pdf: 46, 577</x:v>
      </x:c>
    </x:row>
    <x:row r="60" ht="64" customHeight="1">
      <x:c r="A60" s="28" t="str">
        <x:v>NCT-0259</x:v>
      </x:c>
      <x:c r="B60" s="28" t="str">
        <x:v>кофе</x:v>
      </x:c>
      <x:c r="C60" s="28" t="str">
        <x:v>корица и кассия</x:v>
      </x:c>
      <x:c r="D60" s="28" t="str">
        <x:v>Специи</x:v>
      </x:c>
      <x:c r="E60" s="28" t="str">
        <x:v>сенсорная комплементарность</x:v>
      </x:c>
      <x:c r="F60" s="28" t="str">
        <x:v>Кофе имеет профиль «жареный, ореховый, карамельный, цветочный, фруктовый, фенольный и древесный». Партнёр «корица и кассия» относится к группе «Специи» и даёт древесный, пряный.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0" s="28" t="str">
        <x:v>кофейный напиток, холодный кофе, крем, сироп, десерт или соус с корица и кассия</x:v>
      </x:c>
      <x:c r="J60" s="28" t="str">
        <x:v>Средняя</x:v>
      </x:c>
      <x:c r="K60" s="28" t="str">
        <x:v>The Art &amp; Science of Foodpairing.pdf</x:v>
      </x:c>
      <x:c r="L60" s="28" t="str">
        <x:v>The Art &amp; Science of Foodpairing.pdf: 130</x:v>
      </x:c>
    </x:row>
    <x:row r="61" ht="64" customHeight="1">
      <x:c r="A61" s="28" t="str">
        <x:v>NCT-0260</x:v>
      </x:c>
      <x:c r="B61" s="28" t="str">
        <x:v>кофе</x:v>
      </x:c>
      <x:c r="C61" s="28" t="str">
        <x:v>корневой кервель</x:v>
      </x:c>
      <x:c r="D61" s="28" t="str">
        <x:v>Прочее</x:v>
      </x:c>
      <x:c r="E61" s="28" t="str">
        <x:v>сенсорная комплементарность</x:v>
      </x:c>
      <x:c r="F61" s="28" t="str">
        <x:v>Кофе имеет профиль «жареный, ореховый, карамельный, цветочный, фруктовый, фенольный и древесный». Партнёр «корневой кервель»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1" s="28" t="str">
        <x:v>кофейный напиток, холодный кофе, крем, сироп, десерт или соус с корневой кервель</x:v>
      </x:c>
      <x:c r="J61" s="28" t="str">
        <x:v>Средняя</x:v>
      </x:c>
      <x:c r="K61" s="28" t="str">
        <x:v>The Art &amp; Science of Foodpairing.pdf</x:v>
      </x:c>
      <x:c r="L61" s="28" t="str">
        <x:v>The Art &amp; Science of Foodpairing.pdf: 297</x:v>
      </x:c>
    </x:row>
    <x:row r="62" ht="64" customHeight="1">
      <x:c r="A62" s="28" t="str">
        <x:v>NCT-0261</x:v>
      </x:c>
      <x:c r="B62" s="28" t="str">
        <x:v>кофе</x:v>
      </x:c>
      <x:c r="C62" s="28" t="str">
        <x:v>кумкват</x:v>
      </x:c>
      <x:c r="D62" s="28" t="str">
        <x:v>Прочее</x:v>
      </x:c>
      <x:c r="E62" s="28" t="str">
        <x:v>сенсорная комплементарность</x:v>
      </x:c>
      <x:c r="F62" s="28" t="str">
        <x:v>Кофе имеет профиль «жареный, ореховый, карамельный, цветочный, фруктовый, фенольный и древесный». Партнёр «кумкват»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2" s="28" t="str">
        <x:v>кофейный напиток, холодный кофе, крем, сироп, десерт или соус с кумкват</x:v>
      </x:c>
      <x:c r="J62" s="28" t="str">
        <x:v>Гипотеза / практическая</x:v>
      </x:c>
      <x:c r="K62" s="28" t="str">
        <x:v>Таблица сочетания(1).pdf</x:v>
      </x:c>
      <x:c r="L62" s="28" t="str">
        <x:v>Таблица сочетания(1).pdf: 10</x:v>
      </x:c>
    </x:row>
    <x:row r="63" ht="64" customHeight="1">
      <x:c r="A63" s="28" t="str">
        <x:v>NCT-0262</x:v>
      </x:c>
      <x:c r="B63" s="28" t="str">
        <x:v>кофе</x:v>
      </x:c>
      <x:c r="C63" s="28" t="str">
        <x:v>лангустин</x:v>
      </x:c>
      <x:c r="D63" s="28" t="str">
        <x:v>Прочее</x:v>
      </x:c>
      <x:c r="E63" s="28" t="str">
        <x:v>сенсорная комплементарность</x:v>
      </x:c>
      <x:c r="F63" s="28" t="str">
        <x:v>Кофе имеет профиль «жареный, ореховый, карамельный, цветочный, фруктовый, фенольный и древесный». Партнёр «лангустин»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3" s="28" t="str">
        <x:v>кофейный напиток, холодный кофе, крем, сироп, десерт или соус с лангустин</x:v>
      </x:c>
      <x:c r="J63" s="28" t="str">
        <x:v>Высокая</x:v>
      </x:c>
      <x:c r="K63" s="28" t="str">
        <x:v>The Art &amp; Science of Foodpairing.pdf</x:v>
      </x:c>
      <x:c r="L63" s="28" t="str">
        <x:v>The Art &amp; Science of Foodpairing.pdf: 151</x:v>
      </x:c>
    </x:row>
    <x:row r="64" ht="64" customHeight="1">
      <x:c r="A64" s="28" t="str">
        <x:v>NCT-0263</x:v>
      </x:c>
      <x:c r="B64" s="28" t="str">
        <x:v>кофе</x:v>
      </x:c>
      <x:c r="C64" s="28" t="str">
        <x:v>лепестки розы</x:v>
      </x:c>
      <x:c r="D64" s="28" t="str">
        <x:v>Прочее</x:v>
      </x:c>
      <x:c r="E64" s="28" t="str">
        <x:v>сенсорная комплементарность</x:v>
      </x:c>
      <x:c r="F64" s="28" t="str">
        <x:v>Кофе имеет профиль «жареный, ореховый, карамельный, цветочный, фруктовый, фенольный и древесный». Партнёр «лепестки розы»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4" s="28" t="str">
        <x:v>кофейный напиток, холодный кофе, крем, сироп, десерт или соус с лепестки розы</x:v>
      </x:c>
      <x:c r="J64" s="28" t="str">
        <x:v>Средняя</x:v>
      </x:c>
      <x:c r="K64" s="28" t="str">
        <x:v>The Art &amp; Science of Foodpairing.pdf</x:v>
      </x:c>
      <x:c r="L64" s="28" t="str">
        <x:v>The Art &amp; Science of Foodpairing.pdf: 297</x:v>
      </x:c>
    </x:row>
    <x:row r="65" ht="64" customHeight="1">
      <x:c r="A65" s="28" t="str">
        <x:v>NCT-0264</x:v>
      </x:c>
      <x:c r="B65" s="28" t="str">
        <x:v>кофе</x:v>
      </x:c>
      <x:c r="C65" s="28" t="str">
        <x:v>мадрасская паста карри</x:v>
      </x:c>
      <x:c r="D65" s="28" t="str">
        <x:v>Прочее</x:v>
      </x:c>
      <x:c r="E65" s="28" t="str">
        <x:v>сенсорная комплементарность</x:v>
      </x:c>
      <x:c r="F65" s="28" t="str">
        <x:v>Кофе имеет профиль «жареный, ореховый, карамельный, цветочный, фруктовый, фенольный и древесный». Партнёр «мадрасская паста карри»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5" s="28" t="str">
        <x:v>кофейный напиток, холодный кофе, крем, сироп, десерт или соус с мадрасская паста карри</x:v>
      </x:c>
      <x:c r="J65" s="28" t="str">
        <x:v>Средняя</x:v>
      </x:c>
      <x:c r="K65" s="28" t="str">
        <x:v>The Art &amp; Science of Foodpairing.pdf</x:v>
      </x:c>
      <x:c r="L65" s="28" t="str">
        <x:v>The Art &amp; Science of Foodpairing.pdf: 297</x:v>
      </x:c>
    </x:row>
    <x:row r="66" ht="64" customHeight="1">
      <x:c r="A66" s="28" t="str">
        <x:v>NCT-0265</x:v>
      </x:c>
      <x:c r="B66" s="28" t="str">
        <x:v>кофе</x:v>
      </x:c>
      <x:c r="C66" s="28" t="str">
        <x:v>манго</x:v>
      </x:c>
      <x:c r="D66" s="28" t="str">
        <x:v>Фрукты и ягоды</x:v>
      </x:c>
      <x:c r="E66" s="28" t="str">
        <x:v>пересечение ароматических семейств, контраст кислоты и жирной/горькой матрицы</x:v>
      </x:c>
      <x:c r="F66" s="28" t="str">
        <x:v>Кофе имеет профиль «жареный, ореховый, карамельный, цветочный, фруктовый, фенольный и древесный». Партнёр «манго»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6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66" s="28" t="str">
        <x:v>кофейный напиток, холодный кофе, крем, сироп, десерт или соус с манго</x:v>
      </x:c>
      <x:c r="J66" s="28" t="str">
        <x:v>Средняя</x:v>
      </x:c>
      <x:c r="K66" s="28" t="str">
        <x:v>The Art &amp; Science of Foodpairing.pdf</x:v>
      </x:c>
      <x:c r="L66" s="28" t="str">
        <x:v>The Art &amp; Science of Foodpairing.pdf: 312</x:v>
      </x:c>
    </x:row>
    <x:row r="67" ht="64" customHeight="1">
      <x:c r="A67" s="28" t="str">
        <x:v>NCT-0266</x:v>
      </x:c>
      <x:c r="B67" s="28" t="str">
        <x:v>кофе</x:v>
      </x:c>
      <x:c r="C67" s="28" t="str">
        <x:v>мандарин</x:v>
      </x:c>
      <x:c r="D67" s="28" t="str">
        <x:v>Прочее</x:v>
      </x:c>
      <x:c r="E67" s="28" t="str">
        <x:v>сенсорная комплементарность</x:v>
      </x:c>
      <x:c r="F67" s="28" t="str">
        <x:v>Кофе имеет профиль «жареный, ореховый, карамельный, цветочный, фруктовый, фенольный и древесный». Партнёр «мандарин»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7" s="28" t="str">
        <x:v>кофейный напиток, холодный кофе, крем, сироп, десерт или соус с мандарин</x:v>
      </x:c>
      <x:c r="J67" s="28" t="str">
        <x:v>Гипотеза / практическая</x:v>
      </x:c>
      <x:c r="K67" s="28" t="str">
        <x:v>Таблица сочетания(1).pdf</x:v>
      </x:c>
      <x:c r="L67" s="28" t="str">
        <x:v>Таблица сочетания(1).pdf: 12</x:v>
      </x:c>
    </x:row>
    <x:row r="68" ht="64" customHeight="1">
      <x:c r="A68" s="28" t="str">
        <x:v>NCT-0267</x:v>
      </x:c>
      <x:c r="B68" s="28" t="str">
        <x:v>кофе</x:v>
      </x:c>
      <x:c r="C68" s="28" t="str">
        <x:v>мирин</x:v>
      </x:c>
      <x:c r="D68" s="28" t="str">
        <x:v>Прочее</x:v>
      </x:c>
      <x:c r="E68" s="28" t="str">
        <x:v>сенсорная комплементарность</x:v>
      </x:c>
      <x:c r="F68" s="28" t="str">
        <x:v>Кофе имеет профиль «жареный, ореховый, карамельный, цветочный, фруктовый, фенольный и древесный». Партнёр «мирин»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8" s="28" t="str">
        <x:v>кофейный напиток, холодный кофе, крем, сироп, десерт или соус с мирин</x:v>
      </x:c>
      <x:c r="J68" s="28" t="str">
        <x:v>Средняя</x:v>
      </x:c>
      <x:c r="K68" s="28" t="str">
        <x:v>The Art &amp; Science of Foodpairing.pdf</x:v>
      </x:c>
      <x:c r="L68" s="28" t="str">
        <x:v>The Art &amp; Science of Foodpairing.pdf: 297</x:v>
      </x:c>
    </x:row>
    <x:row r="69" ht="64" customHeight="1">
      <x:c r="A69" s="28" t="str">
        <x:v>NCT-0268</x:v>
      </x:c>
      <x:c r="B69" s="28" t="str">
        <x:v>кофе</x:v>
      </x:c>
      <x:c r="C69" s="28" t="str">
        <x:v>мускатный орех</x:v>
      </x:c>
      <x:c r="D69" s="28" t="str">
        <x:v>Орехи и семена</x:v>
      </x:c>
      <x:c r="E69" s="28" t="str">
        <x:v>пересечение ароматических семейств, жареная химия и реакции Майяра</x:v>
      </x:c>
      <x:c r="F69" s="28" t="str">
        <x:v>Кофе имеет профиль «жареный, ореховый, карамельный, цветочный, фруктовый, фенольный и древесный».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ореховый; механизм не следует сводить к одной общей молекуле.</x:v>
      </x:c>
      <x:c r="G6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9" s="28" t="str">
        <x:v>кофейный напиток, холодный кофе, крем, сироп, десерт или соус с мускатный орех</x:v>
      </x:c>
      <x:c r="J69" s="28" t="str">
        <x:v>Гипотеза / практическая</x:v>
      </x:c>
      <x:c r="K69" s="28" t="str">
        <x:v>Таблица сочетания(1).pdf</x:v>
      </x:c>
      <x:c r="L69" s="28" t="str">
        <x:v>Таблица сочетания(1).pdf: 14</x:v>
      </x:c>
    </x:row>
    <x:row r="70" ht="64" customHeight="1">
      <x:c r="A70" s="28" t="str">
        <x:v>NCT-0269</x:v>
      </x:c>
      <x:c r="B70" s="28" t="str">
        <x:v>кофе</x:v>
      </x:c>
      <x:c r="C70" s="28" t="str">
        <x:v>мягкий сыр</x:v>
      </x:c>
      <x:c r="D70" s="28" t="str">
        <x:v>Молочные продукты и сыры</x:v>
      </x:c>
      <x:c r="E70" s="28" t="str">
        <x:v>общие ароматические соединения, жировая экстракция и связывание полифенолов белком</x:v>
      </x:c>
      <x:c r="F70" s="28" t="str">
        <x:v>Кофе имеет профиль «жареный, ореховый, карамельный, цветочный, фруктовый, фенольный и древесный». Партнёр «мягкий сыр» относится к группе «Молочные продукты и сыры» и даёт молочный, умами,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7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70" s="28" t="str">
        <x:v>кофейный напиток, холодный кофе, крем, сироп, десерт или соус с мягкий сыр</x:v>
      </x:c>
      <x:c r="J70" s="28" t="str">
        <x:v>Средняя</x:v>
      </x:c>
      <x:c r="K70" s="28" t="str">
        <x:v>The Art &amp; Science of Foodpairing.pdf</x:v>
      </x:c>
      <x:c r="L70" s="28" t="str">
        <x:v>The Art &amp; Science of Foodpairing.pdf: 297</x:v>
      </x:c>
    </x:row>
    <x:row r="71" ht="64" customHeight="1">
      <x:c r="A71" s="28" t="str">
        <x:v>NCT-0270</x:v>
      </x:c>
      <x:c r="B71" s="28" t="str">
        <x:v>кофе</x:v>
      </x:c>
      <x:c r="C71" s="28" t="str">
        <x:v>мята</x:v>
      </x:c>
      <x:c r="D71" s="28" t="str">
        <x:v>Травы, цветы и листья</x:v>
      </x:c>
      <x:c r="E71" s="28" t="str">
        <x:v>сенсорная комплементарность</x:v>
      </x:c>
      <x:c r="F71" s="28" t="str">
        <x:v>Кофе имеет профиль «жареный, ореховый, карамельный, цветочный, фруктовый, фенольный и древесный». Партнёр «мята» относится к группе «Травы, цветы и листья» и даёт зелёный, холодящий.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7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71" s="28" t="str">
        <x:v>кофейный напиток, холодный кофе, крем, сироп, десерт или соус с мята</x:v>
      </x:c>
      <x:c r="J71" s="28" t="str">
        <x:v>Гипотеза / практическая</x:v>
      </x:c>
      <x:c r="K71" s="28" t="str">
        <x:v>Таблица сочетания(1).pdf</x:v>
      </x:c>
      <x:c r="L71" s="28" t="str">
        <x:v>Таблица сочетания(1).pdf: 6</x:v>
      </x:c>
    </x:row>
    <x:row r="72" ht="64" customHeight="1">
      <x:c r="A72" s="28" t="str">
        <x:v>NCT-0271</x:v>
      </x:c>
      <x:c r="B72" s="28" t="str">
        <x:v>кофе</x:v>
      </x:c>
      <x:c r="C72" s="28" t="str">
        <x:v>мёд</x:v>
      </x:c>
      <x:c r="D72" s="28" t="str">
        <x:v>Выпечка, сахара и десерты</x:v>
      </x:c>
      <x:c r="E72" s="28" t="str">
        <x:v>пересечение ароматических семейств, жареная химия и реакции Майяра</x:v>
      </x:c>
      <x:c r="F72" s="28" t="str">
        <x:v>Кофе имеет профиль «жареный, ореховый, карамельный, цветочный, фруктовый, фенольный и древесный». Партнёр «мёд» относится к группе «Выпечка, сахара и десерты» и даёт медовый, цветочный. Профили пересекаются в семействах: цветочный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7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72" s="28" t="str">
        <x:v>кофейный напиток, холодный кофе, крем, сироп, десерт или соус с мёд</x:v>
      </x:c>
      <x:c r="J72" s="28" t="str">
        <x:v>Высокая</x:v>
      </x:c>
      <x:c r="K72" s="28" t="str">
        <x:v>The Art &amp; Science of Foodpairing.pdf | Таблица сочетания(1).pdf</x:v>
      </x:c>
      <x:c r="L72" s="28" t="str">
        <x:v>The Art &amp; Science of Foodpairing.pdf: 297; Таблица сочетания(1).pdf: 6</x:v>
      </x:c>
    </x:row>
    <x:row r="73" ht="64" customHeight="1">
      <x:c r="A73" s="28" t="str">
        <x:v>NCT-0272</x:v>
      </x:c>
      <x:c r="B73" s="28" t="str">
        <x:v>кофе</x:v>
      </x:c>
      <x:c r="C73" s="28" t="str">
        <x:v>оливковое масло</x:v>
      </x:c>
      <x:c r="D73" s="28" t="str">
        <x:v>Масла и жиры</x:v>
      </x:c>
      <x:c r="E73" s="28" t="str">
        <x:v>сенсорная комплементарность</x:v>
      </x:c>
      <x:c r="F73" s="28" t="str">
        <x:v>Кофе имеет профиль «жареный, ореховый, карамельный, цветочный, фруктовый, фенольный и древесный». Партнёр «оливковое масло» относится к группе «Масла и жиры» и даёт жирный и мягкий.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7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73" s="28" t="str">
        <x:v>кофейный напиток, холодный кофе, крем, сироп, десерт или соус с оливковое масло</x:v>
      </x:c>
      <x:c r="J73" s="28" t="str">
        <x:v>Средняя</x:v>
      </x:c>
      <x:c r="K73" s="28" t="str">
        <x:v>The Art &amp; Science of Foodpairing.pdf</x:v>
      </x:c>
      <x:c r="L73" s="28" t="str">
        <x:v>The Art &amp; Science of Foodpairing.pdf: 172</x:v>
      </x:c>
    </x:row>
    <x:row r="74" ht="64" customHeight="1">
      <x:c r="A74" s="28" t="str">
        <x:v>NCT-0273</x:v>
      </x:c>
      <x:c r="B74" s="28" t="str">
        <x:v>кофе</x:v>
      </x:c>
      <x:c r="C74" s="28" t="str">
        <x:v>оливковое масло арбекина</x:v>
      </x:c>
      <x:c r="D74" s="28" t="str">
        <x:v>Масла и жиры</x:v>
      </x:c>
      <x:c r="E74" s="28" t="str">
        <x:v>сенсорная комплементарность</x:v>
      </x:c>
      <x:c r="F74" s="28" t="str">
        <x:v>Кофе имеет профиль «жареный, ореховый, карамельный, цветочный, фруктовый, фенольный и древесный». Партнёр «оливковое масло арбекина» относится к группе «Масла и жиры» и даёт жирный и мягкий.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7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74" s="28" t="str">
        <x:v>кофейный напиток, холодный кофе, крем, сироп, десерт или соус с оливковое масло арбекина</x:v>
      </x:c>
      <x:c r="J74" s="28" t="str">
        <x:v>Средняя</x:v>
      </x:c>
      <x:c r="K74" s="28" t="str">
        <x:v>The Art &amp; Science of Foodpairing.pdf</x:v>
      </x:c>
      <x:c r="L74" s="28" t="str">
        <x:v>The Art &amp; Science of Foodpairing.pdf: 297</x:v>
      </x:c>
    </x:row>
    <x:row r="75" ht="64" customHeight="1">
      <x:c r="A75" s="28" t="str">
        <x:v>NCT-0274</x:v>
      </x:c>
      <x:c r="B75" s="28" t="str">
        <x:v>кофе</x:v>
      </x:c>
      <x:c r="C75" s="28" t="str">
        <x:v>полба</x:v>
      </x:c>
      <x:c r="D75" s="28" t="str">
        <x:v>Прочее</x:v>
      </x:c>
      <x:c r="E75" s="28" t="str">
        <x:v>сенсорная комплементарность</x:v>
      </x:c>
      <x:c r="F75" s="28" t="str">
        <x:v>Кофе имеет профиль «жареный, ореховый, карамельный, цветочный, фруктовый, фенольный и древесный». Партнёр «полба»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7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75" s="28" t="str">
        <x:v>кофейный напиток, холодный кофе, крем, сироп, десерт или соус с полба</x:v>
      </x:c>
      <x:c r="J75" s="28" t="str">
        <x:v>Средняя</x:v>
      </x:c>
      <x:c r="K75" s="28" t="str">
        <x:v>The Art &amp; Science of Foodpairing.pdf</x:v>
      </x:c>
      <x:c r="L75" s="28" t="str">
        <x:v>The Art &amp; Science of Foodpairing.pdf: 297</x:v>
      </x:c>
    </x:row>
    <x:row r="76" ht="64" customHeight="1">
      <x:c r="A76" s="28" t="str">
        <x:v>NCT-0275</x:v>
      </x:c>
      <x:c r="B76" s="28" t="str">
        <x:v>кофе</x:v>
      </x:c>
      <x:c r="C76" s="28" t="str">
        <x:v>роза</x:v>
      </x:c>
      <x:c r="D76" s="28" t="str">
        <x:v>Травы, цветы и листья</x:v>
      </x:c>
      <x:c r="E76" s="28" t="str">
        <x:v>пересечение ароматических семейств</x:v>
      </x:c>
      <x:c r="F76" s="28" t="str">
        <x:v>Кофе имеет профиль «жареный, ореховый, карамельный, цветочный, фруктовый, фенольный и древесный». Партнёр «роза» относится к группе «Травы, цветы и листья» и даёт цветочный. Профили пересекаются в семействах: цветочный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7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76" s="28" t="str">
        <x:v>кофейный напиток, холодный кофе, крем, сироп, десерт или соус с роза</x:v>
      </x:c>
      <x:c r="J76" s="28" t="str">
        <x:v>Средняя</x:v>
      </x:c>
      <x:c r="K76" s="28" t="str">
        <x:v>Тезариус вкусов (Ники Сегнит)(1).pdf</x:v>
      </x:c>
      <x:c r="L76" s="28" t="str">
        <x:v>Тезариус вкусов (Ники Сегнит)(1).pdf: 47, 899</x:v>
      </x:c>
    </x:row>
    <x:row r="77" ht="64" customHeight="1">
      <x:c r="A77" s="28" t="str">
        <x:v>NCT-0276</x:v>
      </x:c>
      <x:c r="B77" s="28" t="str">
        <x:v>кофе</x:v>
      </x:c>
      <x:c r="C77" s="28" t="str">
        <x:v>ромашка</x:v>
      </x:c>
      <x:c r="D77" s="28" t="str">
        <x:v>Алкогольные напитки</x:v>
      </x:c>
      <x:c r="E77" s="28" t="str">
        <x:v>сенсорная комплементарность</x:v>
      </x:c>
      <x:c r="F77" s="28" t="str">
        <x:v>Кофе имеет профиль «жареный, ореховый, карамельный, цветочный, фруктовый, фенольный и древесный». Партнёр «ромашка» относится к группе «Алкогольные напитки» и даёт спиртовой, фруктовый или древесный.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7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77" s="28" t="str">
        <x:v>кофейный напиток, холодный кофе, крем, сироп, десерт или соус с ромашка</x:v>
      </x:c>
      <x:c r="J77" s="28" t="str">
        <x:v>Гипотеза / практическая</x:v>
      </x:c>
      <x:c r="K77" s="28" t="str">
        <x:v>Таблица сочетания(1).pdf</x:v>
      </x:c>
      <x:c r="L77" s="28" t="str">
        <x:v>Таблица сочетания(1).pdf: 4</x:v>
      </x:c>
    </x:row>
    <x:row r="78" ht="64" customHeight="1">
      <x:c r="A78" s="28" t="str">
        <x:v>NCT-0277</x:v>
      </x:c>
      <x:c r="B78" s="28" t="str">
        <x:v>кофе</x:v>
      </x:c>
      <x:c r="C78" s="28" t="str">
        <x:v>свёкла</x:v>
      </x:c>
      <x:c r="D78" s="28" t="str">
        <x:v>Овощи, бобовые и грибы</x:v>
      </x:c>
      <x:c r="E78" s="28" t="str">
        <x:v>сенсорная комплементарность</x:v>
      </x:c>
      <x:c r="F78" s="28" t="str">
        <x:v>Кофе имеет профиль «жареный, ореховый, карамельный, цветочный, фруктовый, фенольный и древесный». Партнёр «свёкла» относится к группе «Овощи, бобовые и грибы» и даёт землистый, сладкий.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7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78" s="28" t="str">
        <x:v>кофейный напиток, холодный кофе, крем, сироп, десерт или соус с свёкла</x:v>
      </x:c>
      <x:c r="J78" s="28" t="str">
        <x:v>Средняя</x:v>
      </x:c>
      <x:c r="K78" s="28" t="str">
        <x:v>The Art &amp; Science of Foodpairing.pdf</x:v>
      </x:c>
      <x:c r="L78" s="28" t="str">
        <x:v>The Art &amp; Science of Foodpairing.pdf: 297</x:v>
      </x:c>
    </x:row>
    <x:row r="79" ht="64" customHeight="1">
      <x:c r="A79" s="28" t="str">
        <x:v>NCT-0278</x:v>
      </x:c>
      <x:c r="B79" s="28" t="str">
        <x:v>кофе</x:v>
      </x:c>
      <x:c r="C79" s="28" t="str">
        <x:v>семена кориандра</x:v>
      </x:c>
      <x:c r="D79" s="28" t="str">
        <x:v>Травы, цветы и листья</x:v>
      </x:c>
      <x:c r="E79" s="28" t="str">
        <x:v>пересечение ароматических семейств</x:v>
      </x:c>
      <x:c r="F79" s="28" t="str">
        <x:v>Кофе имеет профиль «жареный, ореховый, карамельный, цветочный, фруктовый, фенольный и древесный». Партнёр «семена кориандра» относится к группе «Травы, цветы и листья» и даёт зелёный, цветочный и терпеновый. Профили пересекаются в семействах: цветочный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7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79" s="28" t="str">
        <x:v>кофейный напиток, холодный кофе, крем, сироп, десерт или соус с семена кориандра</x:v>
      </x:c>
      <x:c r="J79" s="28" t="str">
        <x:v>Средняя</x:v>
      </x:c>
      <x:c r="K79" s="28" t="str">
        <x:v>Тезариус вкусов (Ники Сегнит)(1).pdf</x:v>
      </x:c>
      <x:c r="L79" s="28" t="str">
        <x:v>Тезариус вкусов (Ники Сегнит)(1).pdf: 47, 907</x:v>
      </x:c>
    </x:row>
    <x:row r="80" ht="64" customHeight="1">
      <x:c r="A80" s="28" t="str">
        <x:v>NCT-0279</x:v>
      </x:c>
      <x:c r="B80" s="28" t="str">
        <x:v>кофе</x:v>
      </x:c>
      <x:c r="C80" s="28" t="str">
        <x:v>сладкая паприка</x:v>
      </x:c>
      <x:c r="D80" s="28" t="str">
        <x:v>Прочее</x:v>
      </x:c>
      <x:c r="E80" s="28" t="str">
        <x:v>сенсорная комплементарность</x:v>
      </x:c>
      <x:c r="F80" s="28" t="str">
        <x:v>Кофе имеет профиль «жареный, ореховый, карамельный, цветочный, фруктовый, фенольный и древесный». Партнёр «сладкая паприка»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8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80" s="28" t="str">
        <x:v>кофейный напиток, холодный кофе, крем, сироп, десерт или соус с сладкая паприка</x:v>
      </x:c>
      <x:c r="J80" s="28" t="str">
        <x:v>Средняя</x:v>
      </x:c>
      <x:c r="K80" s="28" t="str">
        <x:v>The Art &amp; Science of Foodpairing.pdf</x:v>
      </x:c>
      <x:c r="L80" s="28" t="str">
        <x:v>The Art &amp; Science of Foodpairing.pdf: 297</x:v>
      </x:c>
    </x:row>
    <x:row r="81" ht="64" customHeight="1">
      <x:c r="A81" s="28" t="str">
        <x:v>NCT-0280</x:v>
      </x:c>
      <x:c r="B81" s="28" t="str">
        <x:v>кофе</x:v>
      </x:c>
      <x:c r="C81" s="28" t="str">
        <x:v>сливочный сыр</x:v>
      </x:c>
      <x:c r="D81" s="28" t="str">
        <x:v>Молочные продукты и сыры</x:v>
      </x:c>
      <x:c r="E81" s="28" t="str">
        <x:v>общие ароматические соединения, жировая экстракция и связывание полифенолов белком</x:v>
      </x:c>
      <x:c r="F81" s="28" t="str">
        <x:v>Кофе имеет профиль «жареный, ореховый, карамельный, цветочный, фруктовый, фенольный и древесный». Партнёр «сливочный сыр» относится к группе «Молочные продукты и сыры» и даёт молочный, умами,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8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81" s="28" t="str">
        <x:v>кофейный напиток, холодный кофе, крем, сироп, десерт или соус с сливочный сыр</x:v>
      </x:c>
      <x:c r="J81" s="28" t="str">
        <x:v>Средняя</x:v>
      </x:c>
      <x:c r="K81" s="28" t="str">
        <x:v>The Art &amp; Science of Foodpairing.pdf</x:v>
      </x:c>
      <x:c r="L81" s="28" t="str">
        <x:v>The Art &amp; Science of Foodpairing.pdf: 297</x:v>
      </x:c>
    </x:row>
    <x:row r="82" ht="64" customHeight="1">
      <x:c r="A82" s="28" t="str">
        <x:v>NCT-0281</x:v>
      </x:c>
      <x:c r="B82" s="28" t="str">
        <x:v>кофе</x:v>
      </x:c>
      <x:c r="C82" s="28" t="str">
        <x:v>соевый соус</x:v>
      </x:c>
      <x:c r="D82" s="28" t="str">
        <x:v>Ферментированные продукты и соусы</x:v>
      </x:c>
      <x:c r="E82" s="28" t="str">
        <x:v>общие ароматические соединения, пересечение ароматических семейств, солёно-умами контраст</x:v>
      </x:c>
      <x:c r="F82" s="28" t="str">
        <x:v>Кофе имеет профиль «жареный, ореховый, карамельный, цветочный, фруктовый, фенольный и древесный». Партнёр «соевый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пиразины, фураны.</x:v>
      </x:c>
      <x:c r="G8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82" s="28" t="str">
        <x:v>кофейный напиток, холодный кофе, крем, сироп, десерт или соус с соевый соус</x:v>
      </x:c>
      <x:c r="J82" s="28" t="str">
        <x:v>Высокая</x:v>
      </x:c>
      <x:c r="K82" s="28" t="str">
        <x:v>The Art &amp; Science of Foodpairing.pdf</x:v>
      </x:c>
      <x:c r="L82" s="28" t="str">
        <x:v>The Art &amp; Science of Foodpairing.pdf: 297</x:v>
      </x:c>
    </x:row>
    <x:row r="83" ht="64" customHeight="1">
      <x:c r="A83" s="28" t="str">
        <x:v>NCT-0282</x:v>
      </x:c>
      <x:c r="B83" s="28" t="str">
        <x:v>кофе</x:v>
      </x:c>
      <x:c r="C83" s="28" t="str">
        <x:v>соус тукупи</x:v>
      </x:c>
      <x:c r="D83" s="28" t="str">
        <x:v>Ферментированные продукты и соусы</x:v>
      </x:c>
      <x:c r="E83" s="28" t="str">
        <x:v>общие ароматические соединения, пересечение ароматических семейств, солёно-умами контраст</x:v>
      </x:c>
      <x:c r="F83" s="28" t="str">
        <x:v>Кофе имеет профиль «жареный, ореховый, карамельный, цветочный, фруктовый, фенольный и древесный». Партнёр «соус тукупи»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пиразины, фураны.</x:v>
      </x:c>
      <x:c r="G8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83" s="28" t="str">
        <x:v>кофейный напиток, холодный кофе, крем, сироп, десерт или соус с соус тукупи</x:v>
      </x:c>
      <x:c r="J83" s="28" t="str">
        <x:v>Высокая</x:v>
      </x:c>
      <x:c r="K83" s="28" t="str">
        <x:v>The Art &amp; Science of Foodpairing.pdf</x:v>
      </x:c>
      <x:c r="L83" s="28" t="str">
        <x:v>The Art &amp; Science of Foodpairing.pdf: 250</x:v>
      </x:c>
    </x:row>
    <x:row r="84" ht="64" customHeight="1">
      <x:c r="A84" s="28" t="str">
        <x:v>NCT-0283</x:v>
      </x:c>
      <x:c r="B84" s="28" t="str">
        <x:v>кофе</x:v>
      </x:c>
      <x:c r="C84" s="28" t="str">
        <x:v>таитянская ваниль</x:v>
      </x:c>
      <x:c r="D84" s="28" t="str">
        <x:v>Специи</x:v>
      </x:c>
      <x:c r="E84" s="28" t="str">
        <x:v>пересечение ароматических семейств</x:v>
      </x:c>
      <x:c r="F84" s="28" t="str">
        <x:v>Кофе имеет профиль «жареный, ореховый, карамельный, цветочный, фруктовый, фенольный и древесный». Партнёр «таитянская ваниль» относится к группе «Специи» и даёт ванильный, цветочный. Профили пересекаются в семействах: цветочный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8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84" s="28" t="str">
        <x:v>кофейный напиток, холодный кофе, крем, сироп, десерт или соус с таитянская ваниль</x:v>
      </x:c>
      <x:c r="J84" s="28" t="str">
        <x:v>Средняя</x:v>
      </x:c>
      <x:c r="K84" s="28" t="str">
        <x:v>The Art &amp; Science of Foodpairing.pdf</x:v>
      </x:c>
      <x:c r="L84" s="28" t="str">
        <x:v>The Art &amp; Science of Foodpairing.pdf: 297</x:v>
      </x:c>
    </x:row>
    <x:row r="85" ht="64" customHeight="1">
      <x:c r="A85" s="28" t="str">
        <x:v>NCT-0284</x:v>
      </x:c>
      <x:c r="B85" s="28" t="str">
        <x:v>кофе</x:v>
      </x:c>
      <x:c r="C85" s="28" t="str">
        <x:v>томат</x:v>
      </x:c>
      <x:c r="D85" s="28" t="str">
        <x:v>Овощи, бобовые и грибы</x:v>
      </x:c>
      <x:c r="E85" s="28" t="str">
        <x:v>сенсорная комплементарность</x:v>
      </x:c>
      <x:c r="F85" s="28" t="str">
        <x:v>Кофе имеет профиль «жареный, ореховый, карамельный, цветочный, фруктовый, фенольный и древесный». Партнёр «томат» относится к группе «Овощи, бобовые и грибы» и даёт зелёный, умами, фруктовый.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8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85" s="28" t="str">
        <x:v>кофейный напиток, холодный кофе, крем, сироп, десерт или соус с томат</x:v>
      </x:c>
      <x:c r="J85" s="28" t="str">
        <x:v>Средняя</x:v>
      </x:c>
      <x:c r="K85" s="28" t="str">
        <x:v>The Art &amp; Science of Foodpairing.pdf</x:v>
      </x:c>
      <x:c r="L85" s="28" t="str">
        <x:v>The Art &amp; Science of Foodpairing.pdf: 297</x:v>
      </x:c>
    </x:row>
    <x:row r="86" ht="64" customHeight="1">
      <x:c r="A86" s="28" t="str">
        <x:v>NCT-0285</x:v>
      </x:c>
      <x:c r="B86" s="28" t="str">
        <x:v>кофе</x:v>
      </x:c>
      <x:c r="C86" s="28" t="str">
        <x:v>тушёная мольва</x:v>
      </x:c>
      <x:c r="D86" s="28" t="str">
        <x:v>Прочее</x:v>
      </x:c>
      <x:c r="E86" s="28" t="str">
        <x:v>сенсорная комплементарность</x:v>
      </x:c>
      <x:c r="F86" s="28" t="str">
        <x:v>Кофе имеет профиль «жареный, ореховый, карамельный, цветочный, фруктовый, фенольный и древесный». Партнёр «тушёная мольва»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8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86" s="28" t="str">
        <x:v>кофейный напиток, холодный кофе, крем, сироп, десерт или соус с тушёная мольва</x:v>
      </x:c>
      <x:c r="J86" s="28" t="str">
        <x:v>Средняя</x:v>
      </x:c>
      <x:c r="K86" s="28" t="str">
        <x:v>The Art &amp; Science of Foodpairing.pdf</x:v>
      </x:c>
      <x:c r="L86" s="28" t="str">
        <x:v>The Art &amp; Science of Foodpairing.pdf: 297</x:v>
      </x:c>
    </x:row>
    <x:row r="87" ht="64" customHeight="1">
      <x:c r="A87" s="28" t="str">
        <x:v>NCT-0286</x:v>
      </x:c>
      <x:c r="B87" s="28" t="str">
        <x:v>кофе</x:v>
      </x:c>
      <x:c r="C87" s="28" t="str">
        <x:v>тыква</x:v>
      </x:c>
      <x:c r="D87" s="28" t="str">
        <x:v>Овощи, бобовые и грибы</x:v>
      </x:c>
      <x:c r="E87" s="28" t="str">
        <x:v>сенсорная комплементарность</x:v>
      </x:c>
      <x:c r="F87" s="28" t="str">
        <x:v>Кофе имеет профиль «жареный, ореховый, карамельный, цветочный, фруктовый, фенольный и древесный». Партнёр «тыква»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8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87" s="28" t="str">
        <x:v>кофейный напиток, холодный кофе, крем, сироп, десерт или соус с тыква</x:v>
      </x:c>
      <x:c r="J87" s="28" t="str">
        <x:v>Высокая</x:v>
      </x:c>
      <x:c r="K87" s="28" t="str">
        <x:v>The Art &amp; Science of Foodpairing.pdf | Таблица сочетания(1).pdf</x:v>
      </x:c>
      <x:c r="L87" s="28" t="str">
        <x:v>The Art &amp; Science of Foodpairing.pdf: 297; Таблица сочетания(1).pdf: 6, 18</x:v>
      </x:c>
    </x:row>
    <x:row r="88" ht="64" customHeight="1">
      <x:c r="A88" s="28" t="str">
        <x:v>NCT-0287</x:v>
      </x:c>
      <x:c r="B88" s="28" t="str">
        <x:v>кофе</x:v>
      </x:c>
      <x:c r="C88" s="28" t="str">
        <x:v>уакаатай</x:v>
      </x:c>
      <x:c r="D88" s="28" t="str">
        <x:v>Прочее</x:v>
      </x:c>
      <x:c r="E88" s="28" t="str">
        <x:v>сенсорная комплементарность</x:v>
      </x:c>
      <x:c r="F88" s="28" t="str">
        <x:v>Кофе имеет профиль «жареный, ореховый, карамельный, цветочный, фруктовый, фенольный и древесный». Партнёр «уакаатай»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8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88" s="28" t="str">
        <x:v>кофейный напиток, холодный кофе, крем, сироп, десерт или соус с уакаатай</x:v>
      </x:c>
      <x:c r="J88" s="28" t="str">
        <x:v>Средняя</x:v>
      </x:c>
      <x:c r="K88" s="28" t="str">
        <x:v>The Art &amp; Science of Foodpairing.pdf</x:v>
      </x:c>
      <x:c r="L88" s="28" t="str">
        <x:v>The Art &amp; Science of Foodpairing.pdf: 297</x:v>
      </x:c>
    </x:row>
    <x:row r="89" ht="64" customHeight="1">
      <x:c r="A89" s="28" t="str">
        <x:v>NCT-0288</x:v>
      </x:c>
      <x:c r="B89" s="28" t="str">
        <x:v>кофе</x:v>
      </x:c>
      <x:c r="C89" s="28" t="str">
        <x:v>фрике</x:v>
      </x:c>
      <x:c r="D89" s="28" t="str">
        <x:v>Прочее</x:v>
      </x:c>
      <x:c r="E89" s="28" t="str">
        <x:v>сенсорная комплементарность</x:v>
      </x:c>
      <x:c r="F89" s="28" t="str">
        <x:v>Кофе имеет профиль «жареный, ореховый, карамельный, цветочный, фруктовый, фенольный и древесный». Партнёр «фрике»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8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89" s="28" t="str">
        <x:v>кофейный напиток, холодный кофе, крем, сироп, десерт или соус с фрике</x:v>
      </x:c>
      <x:c r="J89" s="28" t="str">
        <x:v>Средняя</x:v>
      </x:c>
      <x:c r="K89" s="28" t="str">
        <x:v>The Art &amp; Science of Foodpairing.pdf</x:v>
      </x:c>
      <x:c r="L89" s="28" t="str">
        <x:v>The Art &amp; Science of Foodpairing.pdf: 297</x:v>
      </x:c>
    </x:row>
    <x:row r="90" ht="64" customHeight="1">
      <x:c r="A90" s="28" t="str">
        <x:v>NCT-0289</x:v>
      </x:c>
      <x:c r="B90" s="28" t="str">
        <x:v>кофе</x:v>
      </x:c>
      <x:c r="C90" s="28" t="str">
        <x:v>цветная капуста</x:v>
      </x:c>
      <x:c r="D90" s="28" t="str">
        <x:v>Овощи, бобовые и грибы</x:v>
      </x:c>
      <x:c r="E90" s="28" t="str">
        <x:v>сенсорная комплементарность</x:v>
      </x:c>
      <x:c r="F90" s="28" t="str">
        <x:v>Кофе имеет профиль «жареный, ореховый, карамельный, цветочный, фруктовый, фенольный и древесный». Партнёр «цветная капуста»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9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9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90" s="28" t="str">
        <x:v>кофейный напиток, холодный кофе, крем, сироп, десерт или соус с цветная капуста</x:v>
      </x:c>
      <x:c r="J90" s="28" t="str">
        <x:v>Средняя</x:v>
      </x:c>
      <x:c r="K90" s="28" t="str">
        <x:v>The Art &amp; Science of Foodpairing.pdf</x:v>
      </x:c>
      <x:c r="L90" s="28" t="str">
        <x:v>The Art &amp; Science of Foodpairing.pdf: 297</x:v>
      </x:c>
    </x:row>
    <x:row r="91" ht="64" customHeight="1">
      <x:c r="A91" s="28" t="str">
        <x:v>NCT-0290</x:v>
      </x:c>
      <x:c r="B91" s="28" t="str">
        <x:v>кофе</x:v>
      </x:c>
      <x:c r="C91" s="28" t="str">
        <x:v>цесарка</x:v>
      </x:c>
      <x:c r="D91" s="28" t="str">
        <x:v>Прочее</x:v>
      </x:c>
      <x:c r="E91" s="28" t="str">
        <x:v>сенсорная комплементарность</x:v>
      </x:c>
      <x:c r="F91" s="28" t="str">
        <x:v>Кофе имеет профиль «жареный, ореховый, карамельный, цветочный, фруктовый, фенольный и древесный». Партнёр «цесарка»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9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9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91" s="28" t="str">
        <x:v>кофейный напиток, холодный кофе, крем, сироп, десерт или соус с цесарка</x:v>
      </x:c>
      <x:c r="J91" s="28" t="str">
        <x:v>Средняя</x:v>
      </x:c>
      <x:c r="K91" s="28" t="str">
        <x:v>The Art &amp; Science of Foodpairing.pdf</x:v>
      </x:c>
      <x:c r="L91" s="28" t="str">
        <x:v>The Art &amp; Science of Foodpairing.pdf: 297</x:v>
      </x:c>
    </x:row>
    <x:row r="92" ht="64" customHeight="1">
      <x:c r="A92" s="28" t="str">
        <x:v>NCT-0291</x:v>
      </x:c>
      <x:c r="B92" s="28" t="str">
        <x:v>кофе</x:v>
      </x:c>
      <x:c r="C92" s="28" t="str">
        <x:v>черешня</x:v>
      </x:c>
      <x:c r="D92" s="28" t="str">
        <x:v>Прочее</x:v>
      </x:c>
      <x:c r="E92" s="28" t="str">
        <x:v>сенсорная комплементарность</x:v>
      </x:c>
      <x:c r="F92" s="28" t="str">
        <x:v>Кофе имеет профиль «жареный, ореховый, карамельный, цветочный, фруктовый, фенольный и древесный». Партнёр «черешня»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9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9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92" s="28" t="str">
        <x:v>кофейный напиток, холодный кофе, крем, сироп, десерт или соус с черешня</x:v>
      </x:c>
      <x:c r="J92" s="28" t="str">
        <x:v>Средняя</x:v>
      </x:c>
      <x:c r="K92" s="28" t="str">
        <x:v>The Art &amp; Science of Foodpairing.pdf</x:v>
      </x:c>
      <x:c r="L92" s="28" t="str">
        <x:v>The Art &amp; Science of Foodpairing.pdf: 297</x:v>
      </x:c>
    </x:row>
    <x:row r="93" ht="64" customHeight="1">
      <x:c r="A93" s="28" t="str">
        <x:v>NCT-0292</x:v>
      </x:c>
      <x:c r="B93" s="28" t="str">
        <x:v>кофе</x:v>
      </x:c>
      <x:c r="C93" s="28" t="str">
        <x:v>черная смородина</x:v>
      </x:c>
      <x:c r="D93" s="28" t="str">
        <x:v>Прочее</x:v>
      </x:c>
      <x:c r="E93" s="28" t="str">
        <x:v>сенсорная комплементарность</x:v>
      </x:c>
      <x:c r="F93" s="28" t="str">
        <x:v>Кофе имеет профиль «жареный, ореховый, карамельный, цветочный, фруктовый, фенольный и древесный». Партнёр «черная смородина»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9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9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93" s="28" t="str">
        <x:v>кофейный напиток, холодный кофе, крем, сироп, десерт или соус с черная смородина</x:v>
      </x:c>
      <x:c r="J93" s="28" t="str">
        <x:v>Средняя</x:v>
      </x:c>
      <x:c r="K93" s="28" t="str">
        <x:v>Тезариус вкусов (Ники Сегнит)(1).pdf</x:v>
      </x:c>
      <x:c r="L93" s="28" t="str">
        <x:v>Тезариус вкусов (Ники Сегнит)(1).pdf: 48, 877</x:v>
      </x:c>
    </x:row>
    <x:row r="94" ht="64" customHeight="1">
      <x:c r="A94" s="28" t="str">
        <x:v>NCT-0293</x:v>
      </x:c>
      <x:c r="B94" s="28" t="str">
        <x:v>кофе</x:v>
      </x:c>
      <x:c r="C94" s="28" t="str">
        <x:v>юдзу</x:v>
      </x:c>
      <x:c r="D94" s="28" t="str">
        <x:v>Прочее</x:v>
      </x:c>
      <x:c r="E94" s="28" t="str">
        <x:v>сенсорная комплементарность</x:v>
      </x:c>
      <x:c r="F94" s="28" t="str">
        <x:v>Кофе имеет профиль «жареный, ореховый, карамельный, цветочный, фруктовый, фенольный и древесный». Партнёр «юдзу»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9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9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94" s="28" t="str">
        <x:v>кофейный напиток, холодный кофе, крем, сироп, десерт или соус с юдзу</x:v>
      </x:c>
      <x:c r="J94" s="28" t="str">
        <x:v>Гипотеза / практическая</x:v>
      </x:c>
      <x:c r="K94" s="28" t="str">
        <x:v>Таблица сочетания(1).pdf</x:v>
      </x:c>
      <x:c r="L94" s="28" t="str">
        <x:v>Таблица сочетания(1).pdf: 22</x:v>
      </x:c>
    </x:row>
    <x:row r="95" ht="64" customHeight="1">
      <x:c r="A95" s="28" t="str">
        <x:v>NCT-0294</x:v>
      </x:c>
      <x:c r="B95" s="28" t="str">
        <x:v>кофе</x:v>
      </x:c>
      <x:c r="C95" s="28" t="str">
        <x:v>ягоды годжи</x:v>
      </x:c>
      <x:c r="D95" s="28" t="str">
        <x:v>Фрукты и ягоды</x:v>
      </x:c>
      <x:c r="E95" s="28" t="str">
        <x:v>пересечение ароматических семейств, контраст кислоты и жирной/горькой матрицы</x:v>
      </x:c>
      <x:c r="F95" s="28" t="str">
        <x:v>Кофе имеет профиль «жареный, ореховый, карамельный, цветочный, фруктовый, фенольный и древесный». Партнёр «ягоды годжи»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9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9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95" s="28" t="str">
        <x:v>кофейный напиток, холодный кофе, крем, сироп, десерт или соус с ягоды годжи</x:v>
      </x:c>
      <x:c r="J95" s="28" t="str">
        <x:v>Гипотеза / практическая</x:v>
      </x:c>
      <x:c r="K95" s="28" t="str">
        <x:v>Таблица сочетания(1).pdf</x:v>
      </x:c>
      <x:c r="L95" s="28" t="str">
        <x:v>Таблица сочетания(1).pdf: 8</x:v>
      </x:c>
    </x:row>
  </x:sheetData>
  <x:conditionalFormatting sqref="J2:J95">
    <x:cfRule type="expression" dxfId="9" priority="1">
      <x:formula>J2="Высокая"</x:formula>
    </x:cfRule>
    <x:cfRule type="expression" dxfId="10" priority="2">
      <x:formula>J2="Средняя"</x:formula>
    </x:cfRule>
    <x:cfRule type="expression" dxfId="11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2d67fddbea461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31" hidden="0" customWidth="1"/>
    <x:col min="4" max="4" width="29" hidden="0" customWidth="1"/>
    <x:col min="5" max="5" width="39" hidden="0" customWidth="1"/>
    <x:col min="6" max="6" width="68" hidden="0" customWidth="1"/>
    <x:col min="7" max="7" width="55" hidden="0" customWidth="1"/>
    <x:col min="8" max="8" width="55" hidden="0" customWidth="1"/>
    <x:col min="9" max="9" width="49" hidden="0" customWidth="1"/>
    <x:col min="10" max="10" width="22" hidden="0" customWidth="1"/>
    <x:col min="11" max="11" width="40" hidden="0" customWidth="1"/>
    <x:col min="12" max="12" width="48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Подробное 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Практическое 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4" customHeight="1">
      <x:c r="A2" s="28" t="str">
        <x:v>NCT-0124</x:v>
      </x:c>
      <x:c r="B2" s="28" t="str">
        <x:v>зелёный чай</x:v>
      </x:c>
      <x:c r="C2" s="28" t="str">
        <x:v>apple and apple sauce</x:v>
      </x:c>
      <x:c r="D2" s="28" t="str">
        <x:v>Фрукты и ягоды</x:v>
      </x:c>
      <x:c r="E2" s="28" t="str">
        <x:v>пересечение ароматических семейств, контраст кислоты и жирной/горькой матрицы</x:v>
      </x:c>
      <x:c r="F2" s="28" t="str">
        <x:v>Зелёный чай имеет профиль «зелёный, морской, травянистый, цветочный и слегка жареный; у матча — умами». Партнёр «apple and apple sauce»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2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" s="28" t="str">
        <x:v>переэкстракция; матча легко становится меловой и горькой;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2" s="28" t="str">
        <x:v>чайный настой, холодный чай, кордиал, молочный пунш, десерт или соус с apple and apple sauce</x:v>
      </x:c>
      <x:c r="J2" s="28" t="str">
        <x:v>Средняя</x:v>
      </x:c>
      <x:c r="K2" s="28" t="str">
        <x:v>The Art &amp; Science of Foodpairing.pdf</x:v>
      </x:c>
      <x:c r="L2" s="28" t="str">
        <x:v>The Art &amp; Science of Foodpairing.pdf: 47</x:v>
      </x:c>
    </x:row>
    <x:row r="3" ht="64" customHeight="1">
      <x:c r="A3" s="28" t="str">
        <x:v>NCT-0125</x:v>
      </x:c>
      <x:c r="B3" s="28" t="str">
        <x:v>зелёный чай</x:v>
      </x:c>
      <x:c r="C3" s="28" t="str">
        <x:v>brie and camembert</x:v>
      </x:c>
      <x:c r="D3" s="28" t="str">
        <x:v>Молочные продукты и сыры</x:v>
      </x:c>
      <x:c r="E3" s="28" t="str">
        <x:v>жировая экстракция и связывание полифенолов белком</x:v>
      </x:c>
      <x:c r="F3" s="28" t="str">
        <x:v>Зелёный чай имеет профиль «зелёный, морской, травянистый, цветочный и слегка жареный; у матча — умами». Партнёр «brie and camembert»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3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3" s="28" t="str">
        <x:v>переэкстракция; матча легко становится меловой и горькой; кофеин; слишком горячая вода и долгое заваривание усиливают терпкость; жир способен приглушить тонкую ароматику; белок связывает полифенолы</x:v>
      </x:c>
      <x:c r="I3" s="28" t="str">
        <x:v>чайный настой, холодный чай, кордиал, молочный пунш, десерт или соус с brie and camembert</x:v>
      </x:c>
      <x:c r="J3" s="28" t="str">
        <x:v>Средняя</x:v>
      </x:c>
      <x:c r="K3" s="28" t="str">
        <x:v>The Art &amp; Science of Foodpairing.pdf</x:v>
      </x:c>
      <x:c r="L3" s="28" t="str">
        <x:v>The Art &amp; Science of Foodpairing.pdf: 336</x:v>
      </x:c>
    </x:row>
    <x:row r="4" ht="64" customHeight="1">
      <x:c r="A4" s="28" t="str">
        <x:v>NCT-0126</x:v>
      </x:c>
      <x:c r="B4" s="28" t="str">
        <x:v>зелёный чай</x:v>
      </x:c>
      <x:c r="C4" s="28" t="str">
        <x:v>fish</x:v>
      </x:c>
      <x:c r="D4" s="28" t="str">
        <x:v>Рыба и морепродукты</x:v>
      </x:c>
      <x:c r="E4" s="28" t="str">
        <x:v>пересечение ароматических семейств, солёно-умами контраст</x:v>
      </x:c>
      <x:c r="F4" s="28" t="str">
        <x:v>Зелёный чай имеет профиль «зелёный, морской, травянистый, цветочный и слегка жареный; у матча — умами». Партнёр «fish» относится к группе «Рыба и морепродукты» и даёт морской, солоноватый и умами. Профили пересекаются в семействах: морской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морской; механизм не следует сводить к одной общей молекуле.</x:v>
      </x:c>
      <x:c r="G4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4" s="28" t="str">
        <x:v>переэкстракция; матча легко становится меловой и горькой; кофеин; слишком горячая вода и долгое заваривание усиливают терпкость; малейшая прогорклость ореха или шоколада усиливает неприятные рыбные оттенки</x:v>
      </x:c>
      <x:c r="I4" s="28" t="str">
        <x:v>чайный настой, холодный чай, кордиал, молочный пунш, десерт или соус с fish</x:v>
      </x:c>
      <x:c r="J4" s="28" t="str">
        <x:v>Средняя</x:v>
      </x:c>
      <x:c r="K4" s="28" t="str">
        <x:v>The Art &amp; Science of Foodpairing.pdf</x:v>
      </x:c>
      <x:c r="L4" s="28" t="str">
        <x:v>The Art &amp; Science of Foodpairing.pdf: 104</x:v>
      </x:c>
    </x:row>
    <x:row r="5" ht="64" customHeight="1">
      <x:c r="A5" s="28" t="str">
        <x:v>NCT-0127</x:v>
      </x:c>
      <x:c r="B5" s="28" t="str">
        <x:v>зелёный чай</x:v>
      </x:c>
      <x:c r="C5" s="28" t="str">
        <x:v>garlic</x:v>
      </x:c>
      <x:c r="D5" s="28" t="str">
        <x:v>Овощи, бобовые и грибы</x:v>
      </x:c>
      <x:c r="E5" s="28" t="str">
        <x:v>пересечение ароматических семейств</x:v>
      </x:c>
      <x:c r="F5" s="28" t="str">
        <x:v>Зелёный чай имеет профиль «зелёный, морской, травянистый, цветочный и слегка жареный; у матча — умами». Партнёр «garlic» относится к группе «Овощи, бобовые и грибы» и даёт зелёный, землистый или умами. Профили пересекаются в семействах: зелёный Полифенолы создают терпкость, поэтому сахар, жир, соль или умами могут смягчить сухость; чрезмерно танинный партнёр, наоборот, её усиливает. Итог: зелёный; механизм не следует сводить к одной общей молекуле.</x:v>
      </x:c>
      <x:c r="G5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5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5" s="28" t="str">
        <x:v>чайный настой, холодный чай, кордиал, молочный пунш, десерт или соус с garlic</x:v>
      </x:c>
      <x:c r="J5" s="28" t="str">
        <x:v>Средняя</x:v>
      </x:c>
      <x:c r="K5" s="28" t="str">
        <x:v>The Art &amp; Science of Foodpairing.pdf</x:v>
      </x:c>
      <x:c r="L5" s="28" t="str">
        <x:v>The Art &amp; Science of Foodpairing.pdf: 113</x:v>
      </x:c>
    </x:row>
    <x:row r="6" ht="64" customHeight="1">
      <x:c r="A6" s="28" t="str">
        <x:v>NCT-0128</x:v>
      </x:c>
      <x:c r="B6" s="28" t="str">
        <x:v>зелёный чай</x:v>
      </x:c>
      <x:c r="C6" s="28" t="str">
        <x:v>meat</x:v>
      </x:c>
      <x:c r="D6" s="28" t="str">
        <x:v>Мясо и птица</x:v>
      </x:c>
      <x:c r="E6" s="28" t="str">
        <x:v>жареная химия и реакции Майяра, солёно-умами контраст</x:v>
      </x:c>
      <x:c r="F6" s="28" t="str">
        <x:v>Зелёный чай имеет профиль «зелёный, морской, травянистый, цветочный и слегка жареный; у матча — умами». Партнёр «meat»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6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6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6" s="28" t="str">
        <x:v>чайный настой, холодный чай, кордиал, молочный пунш, десерт или соус с meat</x:v>
      </x:c>
      <x:c r="J6" s="28" t="str">
        <x:v>Средняя</x:v>
      </x:c>
      <x:c r="K6" s="28" t="str">
        <x:v>The Art &amp; Science of Foodpairing.pdf</x:v>
      </x:c>
      <x:c r="L6" s="28" t="str">
        <x:v>The Art &amp; Science of Foodpairing.pdf: 186</x:v>
      </x:c>
    </x:row>
    <x:row r="7" ht="64" customHeight="1">
      <x:c r="A7" s="28" t="str">
        <x:v>NCT-0129</x:v>
      </x:c>
      <x:c r="B7" s="28" t="str">
        <x:v>зелёный чай</x:v>
      </x:c>
      <x:c r="C7" s="28" t="str">
        <x:v>peppercorns</x:v>
      </x:c>
      <x:c r="D7" s="28" t="str">
        <x:v>Специи</x:v>
      </x:c>
      <x:c r="E7" s="28" t="str">
        <x:v>сенсорная комплементарность</x:v>
      </x:c>
      <x:c r="F7" s="28" t="str">
        <x:v>Зелёный чай имеет профиль «зелёный, морской, травянистый, цветочный и слегка жареный; у матча — умами». Партнёр «peppercorns» относится к группе «Специи» и даёт пряный и древесный.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7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7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7" s="28" t="str">
        <x:v>чайный настой, холодный чай, кордиал, молочный пунш, десерт или соус с peppercorns</x:v>
      </x:c>
      <x:c r="J7" s="28" t="str">
        <x:v>Средняя</x:v>
      </x:c>
      <x:c r="K7" s="28" t="str">
        <x:v>The Art &amp; Science of Foodpairing.pdf</x:v>
      </x:c>
      <x:c r="L7" s="28" t="str">
        <x:v>The Art &amp; Science of Foodpairing.pdf: 274</x:v>
      </x:c>
    </x:row>
    <x:row r="8" ht="64" customHeight="1">
      <x:c r="A8" s="28" t="str">
        <x:v>NCT-0130</x:v>
      </x:c>
      <x:c r="B8" s="28" t="str">
        <x:v>зелёный чай</x:v>
      </x:c>
      <x:c r="C8" s="28" t="str">
        <x:v>red bell pepper and paprika</x:v>
      </x:c>
      <x:c r="D8" s="28" t="str">
        <x:v>Специи</x:v>
      </x:c>
      <x:c r="E8" s="28" t="str">
        <x:v>сенсорная комплементарность</x:v>
      </x:c>
      <x:c r="F8" s="28" t="str">
        <x:v>Зелёный чай имеет профиль «зелёный, морской, травянистый, цветочный и слегка жареный; у матча — умами». Партнёр «red bell pepper and paprika» относится к группе «Специи» и даёт пряный и древесный.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8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8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8" s="28" t="str">
        <x:v>чайный настой, холодный чай, кордиал, молочный пунш, десерт или соус с red bell pepper and paprika</x:v>
      </x:c>
      <x:c r="J8" s="28" t="str">
        <x:v>Средняя</x:v>
      </x:c>
      <x:c r="K8" s="28" t="str">
        <x:v>The Art &amp; Science of Foodpairing.pdf</x:v>
      </x:c>
      <x:c r="L8" s="28" t="str">
        <x:v>The Art &amp; Science of Foodpairing.pdf: 108</x:v>
      </x:c>
    </x:row>
    <x:row r="9" ht="64" customHeight="1">
      <x:c r="A9" s="28" t="str">
        <x:v>NCT-0131</x:v>
      </x:c>
      <x:c r="B9" s="28" t="str">
        <x:v>зелёный чай</x:v>
      </x:c>
      <x:c r="C9" s="28" t="str">
        <x:v>sesame seeds, halva and tahini</x:v>
      </x:c>
      <x:c r="D9" s="28" t="str">
        <x:v>Прочее</x:v>
      </x:c>
      <x:c r="E9" s="28" t="str">
        <x:v>сенсорная комплементарность</x:v>
      </x:c>
      <x:c r="F9" s="28" t="str">
        <x:v>Зелёный чай имеет профиль «зелёный, морской, травянистый, цветочный и слегка жареный; у матча — умами». Партнёр «sesame seeds, halva and tahini» относится к группе «Прочее» и даёт профиль зависит от конкретного продукта.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9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9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9" s="28" t="str">
        <x:v>чайный настой, холодный чай, кордиал, молочный пунш, десерт или соус с sesame seeds, halva and tahini</x:v>
      </x:c>
      <x:c r="J9" s="28" t="str">
        <x:v>Средняя</x:v>
      </x:c>
      <x:c r="K9" s="28" t="str">
        <x:v>The Art &amp; Science of Foodpairing.pdf</x:v>
      </x:c>
      <x:c r="L9" s="28" t="str">
        <x:v>The Art &amp; Science of Foodpairing.pdf: 308</x:v>
      </x:c>
    </x:row>
    <x:row r="10" ht="64" customHeight="1">
      <x:c r="A10" s="28" t="str">
        <x:v>NCT-0132</x:v>
      </x:c>
      <x:c r="B10" s="28" t="str">
        <x:v>зелёный чай</x:v>
      </x:c>
      <x:c r="C10" s="28" t="str">
        <x:v>tequila, buckwheat honey</x:v>
      </x:c>
      <x:c r="D10" s="28" t="str">
        <x:v>Выпечка, сахара и десерты</x:v>
      </x:c>
      <x:c r="E10" s="28" t="str">
        <x:v>жареная химия и реакции Майяра</x:v>
      </x:c>
      <x:c r="F10" s="28" t="str">
        <x:v>Зелёный чай имеет профиль «зелёный, морской, травянистый, цветочный и слегка жареный; у матча — умами». Партнёр «tequila, buckwheat honey» относится к группе «Выпечка, сахара и десерты» и даёт сладкий, карамельный и жареный.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0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0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10" s="28" t="str">
        <x:v>чайный настой, холодный чай, кордиал, молочный пунш, десерт или соус с tequila, buckwheat honey</x:v>
      </x:c>
      <x:c r="J10" s="28" t="str">
        <x:v>Высокая</x:v>
      </x:c>
      <x:c r="K10" s="28" t="str">
        <x:v>The Art &amp; Science of Foodpairing.pdf</x:v>
      </x:c>
      <x:c r="L10" s="28" t="str">
        <x:v>The Art &amp; Science of Foodpairing.pdf: 82</x:v>
      </x:c>
    </x:row>
    <x:row r="11" ht="64" customHeight="1">
      <x:c r="A11" s="28" t="str">
        <x:v>NCT-0133</x:v>
      </x:c>
      <x:c r="B11" s="28" t="str">
        <x:v>зелёный чай</x:v>
      </x:c>
      <x:c r="C11" s="28" t="str">
        <x:v>авокадо</x:v>
      </x:c>
      <x:c r="D11" s="28" t="str">
        <x:v>Прочее</x:v>
      </x:c>
      <x:c r="E11" s="28" t="str">
        <x:v>сенсорная комплементарность</x:v>
      </x:c>
      <x:c r="F11" s="28" t="str">
        <x:v>Зелёный чай имеет профиль «зелёный, морской, травянистый, цветочный и слегка жареный; у матча — умами». Партнёр «авокадо» относится к группе «Прочее» и даёт профиль зависит от конкретного продукта.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1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1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11" s="28" t="str">
        <x:v>чайный настой, холодный чай, кордиал, молочный пунш, десерт или соус с авокадо</x:v>
      </x:c>
      <x:c r="J11" s="28" t="str">
        <x:v>Гипотеза / практическая</x:v>
      </x:c>
      <x:c r="K11" s="28" t="str">
        <x:v>Таблица сочетания(1).pdf</x:v>
      </x:c>
      <x:c r="L11" s="28" t="str">
        <x:v>Таблица сочетания(1).pdf: 2</x:v>
      </x:c>
    </x:row>
    <x:row r="12" ht="64" customHeight="1">
      <x:c r="A12" s="28" t="str">
        <x:v>NCT-0134</x:v>
      </x:c>
      <x:c r="B12" s="28" t="str">
        <x:v>зелёный чай</x:v>
      </x:c>
      <x:c r="C12" s="28" t="str">
        <x:v>банан</x:v>
      </x:c>
      <x:c r="D12" s="28" t="str">
        <x:v>Фрукты и ягоды</x:v>
      </x:c>
      <x:c r="E12" s="28" t="str">
        <x:v>контраст кислоты и жирной/горькой матрицы</x:v>
      </x:c>
      <x:c r="F12" s="28" t="str">
        <x:v>Зелёный чай имеет профиль «зелёный, морской, травянистый, цветочный и слегка жареный; у матча — умами».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2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2" s="28" t="str">
        <x:v>переэкстракция; матча легко становится меловой и горькой;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12" s="28" t="str">
        <x:v>чайный настой, холодный чай, кордиал, молочный пунш, десерт или соус с банан</x:v>
      </x:c>
      <x:c r="J12" s="28" t="str">
        <x:v>Средняя</x:v>
      </x:c>
      <x:c r="K12" s="28" t="str">
        <x:v>The Art &amp; Science of Foodpairing.pdf</x:v>
      </x:c>
      <x:c r="L12" s="28" t="str">
        <x:v>The Art &amp; Science of Foodpairing.pdf: 342</x:v>
      </x:c>
    </x:row>
    <x:row r="13" ht="64" customHeight="1">
      <x:c r="A13" s="28" t="str">
        <x:v>NCT-0135</x:v>
      </x:c>
      <x:c r="B13" s="28" t="str">
        <x:v>зелёный чай</x:v>
      </x:c>
      <x:c r="C13" s="28" t="str">
        <x:v>груша</x:v>
      </x:c>
      <x:c r="D13" s="28" t="str">
        <x:v>Фрукты и ягоды</x:v>
      </x:c>
      <x:c r="E13" s="28" t="str">
        <x:v>пересечение ароматических семейств, контраст кислоты и жирной/горькой матрицы</x:v>
      </x:c>
      <x:c r="F13" s="28" t="str">
        <x:v>Зелёный чай имеет профиль «зелёный, морской, травянистый, цветочный и слегка жареный; у матча — умами». Партнёр «груша»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13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3" s="28" t="str">
        <x:v>переэкстракция; матча легко становится меловой и горькой;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13" s="28" t="str">
        <x:v>чайный настой, холодный чай, кордиал, молочный пунш, десерт или соус с груша</x:v>
      </x:c>
      <x:c r="J13" s="28" t="str">
        <x:v>Средняя</x:v>
      </x:c>
      <x:c r="K13" s="28" t="str">
        <x:v>The Art &amp; Science of Foodpairing.pdf</x:v>
      </x:c>
      <x:c r="L13" s="28" t="str">
        <x:v>The Art &amp; Science of Foodpairing.pdf: 350</x:v>
      </x:c>
    </x:row>
    <x:row r="14" ht="64" customHeight="1">
      <x:c r="A14" s="28" t="str">
        <x:v>NCT-0136</x:v>
      </x:c>
      <x:c r="B14" s="28" t="str">
        <x:v>зелёный чай</x:v>
      </x:c>
      <x:c r="C14" s="28" t="str">
        <x:v>имбирь</x:v>
      </x:c>
      <x:c r="D14" s="28" t="str">
        <x:v>Специи</x:v>
      </x:c>
      <x:c r="E14" s="28" t="str">
        <x:v>сенсорная комплементарность</x:v>
      </x:c>
      <x:c r="F14" s="28" t="str">
        <x:v>Зелёный чай имеет профиль «зелёный, морской, травянистый, цветочный и слегка жареный; у матча — умами». Партнёр «имбирь» относится к группе «Специи» и даёт пряный, тёплый, цитрусовый.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4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4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14" s="28" t="str">
        <x:v>чайный настой, холодный чай, кордиал, молочный пунш, десерт или соус с имбирь</x:v>
      </x:c>
      <x:c r="J14" s="28" t="str">
        <x:v>Средняя</x:v>
      </x:c>
      <x:c r="K14" s="28" t="str">
        <x:v>The Art &amp; Science of Foodpairing.pdf</x:v>
      </x:c>
      <x:c r="L14" s="28" t="str">
        <x:v>The Art &amp; Science of Foodpairing.pdf: 142</x:v>
      </x:c>
    </x:row>
    <x:row r="15" ht="64" customHeight="1">
      <x:c r="A15" s="28" t="str">
        <x:v>NCT-0137</x:v>
      </x:c>
      <x:c r="B15" s="28" t="str">
        <x:v>зелёный чай</x:v>
      </x:c>
      <x:c r="C15" s="28" t="str">
        <x:v>кардамон</x:v>
      </x:c>
      <x:c r="D15" s="28" t="str">
        <x:v>Специи</x:v>
      </x:c>
      <x:c r="E15" s="28" t="str">
        <x:v>общие ароматические соединения, пересечение ароматических семейств</x:v>
      </x:c>
      <x:c r="F15" s="28" t="str">
        <x:v>Зелёный чай имеет профиль «зелёный, морской, травянистый, цветочный и слегка жареный; у матча — умами». Партнёр «кардамон» относится к группе «Специи» и даёт камфорный, цветочный, цитрусовый. Молекулярный мост создают линалоол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линалоол.</x:v>
      </x:c>
      <x:c r="G15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5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15" s="28" t="str">
        <x:v>чайный настой, холодный чай, кордиал, молочный пунш, десерт или соус с кардамон</x:v>
      </x:c>
      <x:c r="J15" s="28" t="str">
        <x:v>Средняя</x:v>
      </x:c>
      <x:c r="K15" s="28" t="str">
        <x:v>The Art &amp; Science of Foodpairing.pdf</x:v>
      </x:c>
      <x:c r="L15" s="28" t="str">
        <x:v>The Art &amp; Science of Foodpairing.pdf: 256</x:v>
      </x:c>
    </x:row>
    <x:row r="16" ht="64" customHeight="1">
      <x:c r="A16" s="28" t="str">
        <x:v>NCT-0138</x:v>
      </x:c>
      <x:c r="B16" s="28" t="str">
        <x:v>зелёный чай</x:v>
      </x:c>
      <x:c r="C16" s="28" t="str">
        <x:v>корица и кассия</x:v>
      </x:c>
      <x:c r="D16" s="28" t="str">
        <x:v>Специи</x:v>
      </x:c>
      <x:c r="E16" s="28" t="str">
        <x:v>сенсорная комплементарность</x:v>
      </x:c>
      <x:c r="F16" s="28" t="str">
        <x:v>Зелёный чай имеет профиль «зелёный, морской, травянистый, цветочный и слегка жареный; у матча — умами». Партнёр «корица и кассия» относится к группе «Специи» и даёт древесный, пряный.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6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6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16" s="28" t="str">
        <x:v>чайный настой, холодный чай, кордиал, молочный пунш, десерт или соус с корица и кассия</x:v>
      </x:c>
      <x:c r="J16" s="28" t="str">
        <x:v>Средняя</x:v>
      </x:c>
      <x:c r="K16" s="28" t="str">
        <x:v>The Art &amp; Science of Foodpairing.pdf</x:v>
      </x:c>
      <x:c r="L16" s="28" t="str">
        <x:v>The Art &amp; Science of Foodpairing.pdf: 130</x:v>
      </x:c>
    </x:row>
    <x:row r="17" ht="64" customHeight="1">
      <x:c r="A17" s="28" t="str">
        <x:v>NCT-0139</x:v>
      </x:c>
      <x:c r="B17" s="28" t="str">
        <x:v>зелёный чай</x:v>
      </x:c>
      <x:c r="C17" s="28" t="str">
        <x:v>трюфель</x:v>
      </x:c>
      <x:c r="D17" s="28" t="str">
        <x:v>Прочее</x:v>
      </x:c>
      <x:c r="E17" s="28" t="str">
        <x:v>сенсорная комплементарность</x:v>
      </x:c>
      <x:c r="F17" s="28" t="str">
        <x:v>Зелёный чай имеет профиль «зелёный, морской, травянистый, цветочный и слегка жареный; у матча — умами». Партнёр «трюфель» относится к группе «Прочее» и даёт профиль зависит от конкретного продукта.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7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7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17" s="28" t="str">
        <x:v>чайный настой, холодный чай, кордиал, молочный пунш, десерт или соус с трюфель</x:v>
      </x:c>
      <x:c r="J17" s="28" t="str">
        <x:v>Средняя</x:v>
      </x:c>
      <x:c r="K17" s="28" t="str">
        <x:v>The Art &amp; Science of Foodpairing.pdf</x:v>
      </x:c>
      <x:c r="L17" s="28" t="str">
        <x:v>The Art &amp; Science of Foodpairing.pdf: 192</x:v>
      </x:c>
    </x:row>
    <x:row r="18" ht="64" customHeight="1">
      <x:c r="A18" s="28" t="str">
        <x:v>NCT-0420</x:v>
      </x:c>
      <x:c r="B18" s="28" t="str">
        <x:v>ройбуш</x:v>
      </x:c>
      <x:c r="C18" s="28" t="str">
        <x:v>банан</x:v>
      </x:c>
      <x:c r="D18" s="28" t="str">
        <x:v>Фрукты и ягоды</x:v>
      </x:c>
      <x:c r="E18" s="28" t="str">
        <x:v>контраст кислоты и жирной/горькой матрицы</x:v>
      </x:c>
      <x:c r="F18" s="28" t="str">
        <x:v>Ройбуш имеет профиль «медовый, древесный, ванильный и слегка ореховый».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8" s="28" t="str">
        <x:v>длительное заваривание переносит лучше чая, но может усилить древесность.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8" s="28" t="str">
        <x:v>слабая структура требует кислоты или специи; легко потерять тонкий аромат;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18" s="28" t="str">
        <x:v>чайный настой, холодный чай, кордиал, молочный пунш, десерт или соус с банан</x:v>
      </x:c>
      <x:c r="J18" s="28" t="str">
        <x:v>Средняя</x:v>
      </x:c>
      <x:c r="K18" s="28" t="str">
        <x:v>The Art &amp; Science of Foodpairing.pdf</x:v>
      </x:c>
      <x:c r="L18" s="28" t="str">
        <x:v>The Art &amp; Science of Foodpairing.pdf: 342</x:v>
      </x:c>
    </x:row>
    <x:row r="19" ht="64" customHeight="1">
      <x:c r="A19" s="28" t="str">
        <x:v>NCT-0421</x:v>
      </x:c>
      <x:c r="B19" s="28" t="str">
        <x:v>ройбуш</x:v>
      </x:c>
      <x:c r="C19" s="28" t="str">
        <x:v>свёкла</x:v>
      </x:c>
      <x:c r="D19" s="28" t="str">
        <x:v>Овощи, бобовые и грибы</x:v>
      </x:c>
      <x:c r="E19" s="28" t="str">
        <x:v>сенсорная комплементарность</x:v>
      </x:c>
      <x:c r="F19" s="28" t="str">
        <x:v>Ройбуш имеет профиль «медовый, древесный, ванильный и слегка ореховый». Партнёр «свёкла» относится к группе «Овощи, бобовые и грибы» и даёт землистый, сладкий.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9" s="28" t="str">
        <x:v>длительное заваривание переносит лучше чая, но может усилить древесность.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9" s="28" t="str">
        <x:v>слабая структура требует кислоты или специи; легко потерять тонкий аромат; слишком горячая вода и долгое заваривание усиливают терпкость</x:v>
      </x:c>
      <x:c r="I19" s="28" t="str">
        <x:v>чайный настой, холодный чай, кордиал, молочный пунш, десерт или соус с свёкла</x:v>
      </x:c>
      <x:c r="J19" s="28" t="str">
        <x:v>Средняя</x:v>
      </x:c>
      <x:c r="K19" s="28" t="str">
        <x:v>The Art &amp; Science of Foodpairing.pdf</x:v>
      </x:c>
      <x:c r="L19" s="28" t="str">
        <x:v>The Art &amp; Science of Foodpairing.pdf: 224</x:v>
      </x:c>
    </x:row>
    <x:row r="20" ht="64" customHeight="1">
      <x:c r="A20" s="28" t="str">
        <x:v>NCT-0422</x:v>
      </x:c>
      <x:c r="B20" s="28" t="str">
        <x:v>улун</x:v>
      </x:c>
      <x:c r="C20" s="28" t="str">
        <x:v>sea fig</x:v>
      </x:c>
      <x:c r="D20" s="28" t="str">
        <x:v>Фрукты и ягоды</x:v>
      </x:c>
      <x:c r="E20" s="28" t="str">
        <x:v>пересечение ароматических семейств, контраст кислоты и жирной/горькой матрицы</x:v>
      </x:c>
      <x:c r="F20" s="28" t="str">
        <x:v>Улун имеет профиль «цветочный, фруктовый, сливочный и слегка жареный». Партнёр «sea fig» относится к группе «Фрукты и ягоды» и даёт фруктовый, цветочный и свежий. Профили пересекаются в семействах: фруктовый,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фруктовый, цветочный; механизм не следует сводить к одной общей молекуле.</x:v>
      </x:c>
      <x:c r="G20" s="28" t="str">
        <x:v>многократные короткие проливы раскрывают слои; перегрев стирает цветочность.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0" s="28" t="str">
        <x:v>переэкстракция и хранение рядом с сильными запахами;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20" s="28" t="str">
        <x:v>чайный настой, холодный чай, кордиал, молочный пунш, десерт или соус с sea fig</x:v>
      </x:c>
      <x:c r="J20" s="28" t="str">
        <x:v>Высокая</x:v>
      </x:c>
      <x:c r="K20" s="28" t="str">
        <x:v>The Art &amp; Science of Foodpairing.pdf</x:v>
      </x:c>
      <x:c r="L20" s="28" t="str">
        <x:v>The Art &amp; Science of Foodpairing.pdf: 363</x:v>
      </x:c>
    </x:row>
    <x:row r="21" ht="64" customHeight="1">
      <x:c r="A21" s="28" t="str">
        <x:v>NCT-0551</x:v>
      </x:c>
      <x:c r="B21" s="28" t="str">
        <x:v>чёрный чай</x:v>
      </x:c>
      <x:c r="C21" s="28" t="str">
        <x:v>bacon</x:v>
      </x:c>
      <x:c r="D21" s="28" t="str">
        <x:v>Мясо и птица</x:v>
      </x:c>
      <x:c r="E21" s="28" t="str">
        <x:v>жареная химия и реакции Майяра, солёно-умами контраст</x:v>
      </x:c>
      <x:c r="F21" s="28" t="str">
        <x:v>Чёрный чай имеет профиль «мальтовый, цветочный, фруктовый, древесный и слегка дымный». Партнёр «bacon»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21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1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21" s="28" t="str">
        <x:v>чайный настой, холодный чай, кордиал, молочный пунш, десерт или соус с bacon</x:v>
      </x:c>
      <x:c r="J21" s="28" t="str">
        <x:v>Высокая</x:v>
      </x:c>
      <x:c r="K21" s="28" t="str">
        <x:v>The Art &amp; Science of Foodpairing.pdf</x:v>
      </x:c>
      <x:c r="L21" s="28" t="str">
        <x:v>The Art &amp; Science of Foodpairing.pdf: 362</x:v>
      </x:c>
    </x:row>
    <x:row r="22" ht="64" customHeight="1">
      <x:c r="A22" s="28" t="str">
        <x:v>NCT-0552</x:v>
      </x:c>
      <x:c r="B22" s="28" t="str">
        <x:v>чёрный чай</x:v>
      </x:c>
      <x:c r="C22" s="28" t="str">
        <x:v>balsamic vinegar</x:v>
      </x:c>
      <x:c r="D22" s="28" t="str">
        <x:v>Ферментированные продукты и соусы</x:v>
      </x:c>
      <x:c r="E22" s="28" t="str">
        <x:v>солёно-умами контраст</x:v>
      </x:c>
      <x:c r="F22" s="28" t="str">
        <x:v>Чёрный чай имеет профиль «мальтовый, цветочный, фруктовый, древесный и слегка дымный». Партнёр «balsamic vinegar» относится к группе «Ферментированные продукты и соусы» и даёт ферментированный, умами и сложный.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22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2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22" s="28" t="str">
        <x:v>чайный настой, холодный чай, кордиал, молочный пунш, десерт или соус с balsamic vinegar</x:v>
      </x:c>
      <x:c r="J22" s="28" t="str">
        <x:v>Средняя</x:v>
      </x:c>
      <x:c r="K22" s="28" t="str">
        <x:v>The Art &amp; Science of Foodpairing.pdf</x:v>
      </x:c>
      <x:c r="L22" s="28" t="str">
        <x:v>The Art &amp; Science of Foodpairing.pdf: 316</x:v>
      </x:c>
    </x:row>
    <x:row r="23" ht="64" customHeight="1">
      <x:c r="A23" s="28" t="str">
        <x:v>NCT-0553</x:v>
      </x:c>
      <x:c r="B23" s="28" t="str">
        <x:v>чёрный чай</x:v>
      </x:c>
      <x:c r="C23" s="28" t="str">
        <x:v>blue cheese</x:v>
      </x:c>
      <x:c r="D23" s="28" t="str">
        <x:v>Молочные продукты и сыры</x:v>
      </x:c>
      <x:c r="E23" s="28" t="str">
        <x:v>жировая экстракция и связывание полифенолов белком</x:v>
      </x:c>
      <x:c r="F23" s="28" t="str">
        <x:v>Чёрный чай имеет профиль «мальтовый, цветочный, фруктовый, древесный и слегка дымный». Партнёр «blue cheese»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23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3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терпкость; жир способен приглушить тонкую ароматику; белок связывает полифенолы</x:v>
      </x:c>
      <x:c r="I23" s="28" t="str">
        <x:v>чайный настой, холодный чай, кордиал, молочный пунш, десерт или соус с blue cheese</x:v>
      </x:c>
      <x:c r="J23" s="28" t="str">
        <x:v>Средняя</x:v>
      </x:c>
      <x:c r="K23" s="28" t="str">
        <x:v>The Art &amp; Science of Foodpairing.pdf</x:v>
      </x:c>
      <x:c r="L23" s="28" t="str">
        <x:v>The Art &amp; Science of Foodpairing.pdf: 164</x:v>
      </x:c>
    </x:row>
    <x:row r="24" ht="64" customHeight="1">
      <x:c r="A24" s="28" t="str">
        <x:v>NCT-0554</x:v>
      </x:c>
      <x:c r="B24" s="28" t="str">
        <x:v>чёрный чай</x:v>
      </x:c>
      <x:c r="C24" s="28" t="str">
        <x:v>cognac</x:v>
      </x:c>
      <x:c r="D24" s="28" t="str">
        <x:v>Алкогольные напитки</x:v>
      </x:c>
      <x:c r="E24" s="28" t="str">
        <x:v>пересечение ароматических семейств</x:v>
      </x:c>
      <x:c r="F24" s="28" t="str">
        <x:v>Чёрный чай имеет профиль «мальтовый, цветочный, фруктовый, древесный и слегка дымный». Партнёр «cognac» относится к группе «Алкогольные напитки» и даёт спиртовой, фруктовый или древесный. Профили пересекаются в семействах: древесный Полифенолы создают терпкость, поэтому сахар, жир, соль или умами могут смягчить сухость; чрезмерно танинный партнёр, наоборот, её усиливает. Итог: древесный; механизм не следует сводить к одной общей молекуле.</x:v>
      </x:c>
      <x:c r="G24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4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24" s="28" t="str">
        <x:v>чайный настой, холодный чай, кордиал, молочный пунш, десерт или соус с cognac</x:v>
      </x:c>
      <x:c r="J24" s="28" t="str">
        <x:v>Средняя</x:v>
      </x:c>
      <x:c r="K24" s="28" t="str">
        <x:v>The Art &amp; Science of Foodpairing.pdf</x:v>
      </x:c>
      <x:c r="L24" s="28" t="str">
        <x:v>The Art &amp; Science of Foodpairing.pdf: 123</x:v>
      </x:c>
    </x:row>
    <x:row r="25" ht="64" customHeight="1">
      <x:c r="A25" s="28" t="str">
        <x:v>NCT-0555</x:v>
      </x:c>
      <x:c r="B25" s="28" t="str">
        <x:v>чёрный чай</x:v>
      </x:c>
      <x:c r="C25" s="28" t="str">
        <x:v>garlic</x:v>
      </x:c>
      <x:c r="D25" s="28" t="str">
        <x:v>Овощи, бобовые и грибы</x:v>
      </x:c>
      <x:c r="E25" s="28" t="str">
        <x:v>сенсорная комплементарность</x:v>
      </x:c>
      <x:c r="F25" s="28" t="str">
        <x:v>Чёрный чай имеет профиль «мальтовый, цветочный, фруктовый, древесный и слегка дымный». Партнёр «garlic» относится к группе «Овощи, бобовые и грибы» и даёт зелёный, землистый или умами.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25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5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25" s="28" t="str">
        <x:v>чайный настой, холодный чай, кордиал, молочный пунш, десерт или соус с garlic</x:v>
      </x:c>
      <x:c r="J25" s="28" t="str">
        <x:v>Средняя</x:v>
      </x:c>
      <x:c r="K25" s="28" t="str">
        <x:v>The Art &amp; Science of Foodpairing.pdf</x:v>
      </x:c>
      <x:c r="L25" s="28" t="str">
        <x:v>The Art &amp; Science of Foodpairing.pdf: 113</x:v>
      </x:c>
    </x:row>
    <x:row r="26" ht="64" customHeight="1">
      <x:c r="A26" s="28" t="str">
        <x:v>NCT-0556</x:v>
      </x:c>
      <x:c r="B26" s="28" t="str">
        <x:v>чёрный чай</x:v>
      </x:c>
      <x:c r="C26" s="28" t="str">
        <x:v>lberico ham</x:v>
      </x:c>
      <x:c r="D26" s="28" t="str">
        <x:v>Мясо и птица</x:v>
      </x:c>
      <x:c r="E26" s="28" t="str">
        <x:v>жареная химия и реакции Майяра, солёно-умами контраст</x:v>
      </x:c>
      <x:c r="F26" s="28" t="str">
        <x:v>Чёрный чай имеет профиль «мальтовый, цветочный, фруктовый, древесный и слегка дымный». Партнёр «lberico ham»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26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6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26" s="28" t="str">
        <x:v>чайный настой, холодный чай, кордиал, молочный пунш, десерт или соус с lberico ham</x:v>
      </x:c>
      <x:c r="J26" s="28" t="str">
        <x:v>Средняя</x:v>
      </x:c>
      <x:c r="K26" s="28" t="str">
        <x:v>The Art &amp; Science of Foodpairing.pdf</x:v>
      </x:c>
      <x:c r="L26" s="28" t="str">
        <x:v>The Art &amp; Science of Foodpairing.pdf: 278</x:v>
      </x:c>
    </x:row>
    <x:row r="27" ht="64" customHeight="1">
      <x:c r="A27" s="28" t="str">
        <x:v>NCT-0557</x:v>
      </x:c>
      <x:c r="B27" s="28" t="str">
        <x:v>чёрный чай</x:v>
      </x:c>
      <x:c r="C27" s="28" t="str">
        <x:v>meat</x:v>
      </x:c>
      <x:c r="D27" s="28" t="str">
        <x:v>Мясо и птица</x:v>
      </x:c>
      <x:c r="E27" s="28" t="str">
        <x:v>жареная химия и реакции Майяра, солёно-умами контраст</x:v>
      </x:c>
      <x:c r="F27" s="28" t="str">
        <x:v>Чёрный чай имеет профиль «мальтовый, цветочный, фруктовый, древесный и слегка дымный». Партнёр «meat»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27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7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27" s="28" t="str">
        <x:v>чайный настой, холодный чай, кордиал, молочный пунш, десерт или соус с meat</x:v>
      </x:c>
      <x:c r="J27" s="28" t="str">
        <x:v>Средняя</x:v>
      </x:c>
      <x:c r="K27" s="28" t="str">
        <x:v>The Art &amp; Science of Foodpairing.pdf</x:v>
      </x:c>
      <x:c r="L27" s="28" t="str">
        <x:v>The Art &amp; Science of Foodpairing.pdf: 186</x:v>
      </x:c>
    </x:row>
    <x:row r="28" ht="64" customHeight="1">
      <x:c r="A28" s="28" t="str">
        <x:v>NCT-0558</x:v>
      </x:c>
      <x:c r="B28" s="28" t="str">
        <x:v>чёрный чай</x:v>
      </x:c>
      <x:c r="C28" s="28" t="str">
        <x:v>myrtle berry</x:v>
      </x:c>
      <x:c r="D28" s="28" t="str">
        <x:v>Фрукты и ягоды</x:v>
      </x:c>
      <x:c r="E28" s="28" t="str">
        <x:v>пересечение ароматических семейств, контраст кислоты и жирной/горькой матрицы</x:v>
      </x:c>
      <x:c r="F28" s="28" t="str">
        <x:v>Чёрный чай имеет профиль «мальтовый, цветочный, фруктовый, древесный и слегка дымный». Партнёр «myrtle berry»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28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8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28" s="28" t="str">
        <x:v>чайный настой, холодный чай, кордиал, молочный пунш, десерт или соус с myrtle berry</x:v>
      </x:c>
      <x:c r="J28" s="28" t="str">
        <x:v>Высокая</x:v>
      </x:c>
      <x:c r="K28" s="28" t="str">
        <x:v>The Art &amp; Science of Foodpairing.pdf</x:v>
      </x:c>
      <x:c r="L28" s="28" t="str">
        <x:v>The Art &amp; Science of Foodpairing.pdf: 364</x:v>
      </x:c>
    </x:row>
    <x:row r="29" ht="64" customHeight="1">
      <x:c r="A29" s="28" t="str">
        <x:v>NCT-0559</x:v>
      </x:c>
      <x:c r="B29" s="28" t="str">
        <x:v>чёрный чай</x:v>
      </x:c>
      <x:c r="C29" s="28" t="str">
        <x:v>tea</x:v>
      </x:c>
      <x:c r="D29" s="28" t="str">
        <x:v>Чай</x:v>
      </x:c>
      <x:c r="E29" s="28" t="str">
        <x:v>пересечение ароматических семейств</x:v>
      </x:c>
      <x:c r="F29" s="28" t="str">
        <x:v>Чёрный чай имеет профиль «мальтовый, цветочный, фруктовый, древесный и слегка дымный». Партнёр «tea» относится к группе «Чай» и даёт цветочный, древесный или зелёный. Профили пересекаются в семействах: древесный, цветочный Полифенолы создают терпкость, поэтому сахар, жир, соль или умами могут смягчить сухость; чрезмерно танинный партнёр, наоборот, её усиливает. Итог: древесный, цветочный; механизм не следует сводить к одной общей молекуле.</x:v>
      </x:c>
      <x:c r="G29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9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29" s="28" t="str">
        <x:v>чайный настой, холодный чай, кордиал, молочный пунш, десерт или соус с tea</x:v>
      </x:c>
      <x:c r="J29" s="28" t="str">
        <x:v>Средняя</x:v>
      </x:c>
      <x:c r="K29" s="28" t="str">
        <x:v>The Art &amp; Science of Foodpairing.pdf</x:v>
      </x:c>
      <x:c r="L29" s="28" t="str">
        <x:v>The Art &amp; Science of Foodpairing.pdf: 365</x:v>
      </x:c>
    </x:row>
    <x:row r="30" ht="64" customHeight="1">
      <x:c r="A30" s="28" t="str">
        <x:v>NCT-0560</x:v>
      </x:c>
      <x:c r="B30" s="28" t="str">
        <x:v>чёрный чай</x:v>
      </x:c>
      <x:c r="C30" s="28" t="str">
        <x:v>грейпфрут</x:v>
      </x:c>
      <x:c r="D30" s="28" t="str">
        <x:v>Фрукты и ягоды</x:v>
      </x:c>
      <x:c r="E30" s="28" t="str">
        <x:v>пересечение ароматических семейств, контраст кислоты и жирной/горькой матрицы</x:v>
      </x:c>
      <x:c r="F30" s="28" t="str">
        <x:v>Чёрный чай имеет профиль «мальтовый, цветочный, фруктовый, древесный и слегка дымный». Партнёр «грейпфрут»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30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30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30" s="28" t="str">
        <x:v>чайный настой, холодный чай, кордиал, молочный пунш, десерт или соус с грейпфрут</x:v>
      </x:c>
      <x:c r="J30" s="28" t="str">
        <x:v>Высокая</x:v>
      </x:c>
      <x:c r="K30" s="28" t="str">
        <x:v>The Art &amp; Science of Foodpairing.pdf</x:v>
      </x:c>
      <x:c r="L30" s="28" t="str">
        <x:v>The Art &amp; Science of Foodpairing.pdf: 359</x:v>
      </x:c>
    </x:row>
    <x:row r="31" ht="64" customHeight="1">
      <x:c r="A31" s="28" t="str">
        <x:v>NCT-0561</x:v>
      </x:c>
      <x:c r="B31" s="28" t="str">
        <x:v>чёрный чай</x:v>
      </x:c>
      <x:c r="C31" s="28" t="str">
        <x:v>жасмин</x:v>
      </x:c>
      <x:c r="D31" s="28" t="str">
        <x:v>Травы, цветы и листья</x:v>
      </x:c>
      <x:c r="E31" s="28" t="str">
        <x:v>пересечение ароматических семейств</x:v>
      </x:c>
      <x:c r="F31" s="28" t="str">
        <x:v>Чёрный чай имеет профиль «мальтовый, цветочный, фруктовый, древесный и слегка дымный». Партнёр «жасмин» относится к группе «Травы, цветы и листья» и даёт животный, цветочный. Профили пересекаются в семействах: цветочный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31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31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31" s="28" t="str">
        <x:v>чайный настой, холодный чай, кордиал, молочный пунш, десерт или соус с жасмин</x:v>
      </x:c>
      <x:c r="J31" s="28" t="str">
        <x:v>Средняя</x:v>
      </x:c>
      <x:c r="K31" s="28" t="str">
        <x:v>The Art &amp; Science of Foodpairing.pdf</x:v>
      </x:c>
      <x:c r="L31" s="28" t="str">
        <x:v>The Art &amp; Science of Foodpairing.pdf: 210</x:v>
      </x:c>
    </x:row>
    <x:row r="32" ht="64" customHeight="1">
      <x:c r="A32" s="28" t="str">
        <x:v>NCT-0562</x:v>
      </x:c>
      <x:c r="B32" s="28" t="str">
        <x:v>чёрный чай</x:v>
      </x:c>
      <x:c r="C32" s="28" t="str">
        <x:v>кардамон</x:v>
      </x:c>
      <x:c r="D32" s="28" t="str">
        <x:v>Специи</x:v>
      </x:c>
      <x:c r="E32" s="28" t="str">
        <x:v>пересечение ароматических семейств</x:v>
      </x:c>
      <x:c r="F32" s="28" t="str">
        <x:v>Чёрный чай имеет профиль «мальтовый, цветочный, фруктовый, древесный и слегка дымный». Партнёр «кардамон» относится к группе «Специи» и даёт камфорный, цветочный, цитрусовый. Профили пересекаются в семействах: цветочный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32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32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32" s="28" t="str">
        <x:v>чайный настой, холодный чай, кордиал, молочный пунш, десерт или соус с кардамон</x:v>
      </x:c>
      <x:c r="J32" s="28" t="str">
        <x:v>Средняя</x:v>
      </x:c>
      <x:c r="K32" s="28" t="str">
        <x:v>The Art &amp; Science of Foodpairing.pdf</x:v>
      </x:c>
      <x:c r="L32" s="28" t="str">
        <x:v>The Art &amp; Science of Foodpairing.pdf: 256</x:v>
      </x:c>
    </x:row>
    <x:row r="33" ht="64" customHeight="1">
      <x:c r="A33" s="28" t="str">
        <x:v>NCT-0563</x:v>
      </x:c>
      <x:c r="B33" s="28" t="str">
        <x:v>чёрный чай</x:v>
      </x:c>
      <x:c r="C33" s="28" t="str">
        <x:v>картофель фри</x:v>
      </x:c>
      <x:c r="D33" s="28" t="str">
        <x:v>Овощи, бобовые и грибы</x:v>
      </x:c>
      <x:c r="E33" s="28" t="str">
        <x:v>сенсорная комплементарность</x:v>
      </x:c>
      <x:c r="F33" s="28" t="str">
        <x:v>Чёрный чай имеет профиль «мальтовый, цветочный, фруктовый, древесный и слегка дымный». Партнёр «картофель фри» относится к группе «Овощи, бобовые и грибы» и даёт зелёный, землистый или умами.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33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33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33" s="28" t="str">
        <x:v>чайный настой, холодный чай, кордиал, молочный пунш, десерт или соус с картофель фри</x:v>
      </x:c>
      <x:c r="J33" s="28" t="str">
        <x:v>Средняя</x:v>
      </x:c>
      <x:c r="K33" s="28" t="str">
        <x:v>The Art &amp; Science of Foodpairing.pdf</x:v>
      </x:c>
      <x:c r="L33" s="28" t="str">
        <x:v>The Art &amp; Science of Foodpairing.pdf: 196</x:v>
      </x:c>
    </x:row>
    <x:row r="34" ht="64" customHeight="1">
      <x:c r="A34" s="28" t="str">
        <x:v>NCT-0564</x:v>
      </x:c>
      <x:c r="B34" s="28" t="str">
        <x:v>чёрный чай</x:v>
      </x:c>
      <x:c r="C34" s="28" t="str">
        <x:v>кокос</x:v>
      </x:c>
      <x:c r="D34" s="28" t="str">
        <x:v>Прочее</x:v>
      </x:c>
      <x:c r="E34" s="28" t="str">
        <x:v>сенсорная комплементарность</x:v>
      </x:c>
      <x:c r="F34" s="28" t="str">
        <x:v>Чёрный чай имеет профиль «мальтовый, цветочный, фруктовый, древесный и слегка дымный». Партнёр «кокос» относится к группе «Прочее» и даёт лактонный, сливочный.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34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34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34" s="28" t="str">
        <x:v>чайный настой, холодный чай, кордиал, молочный пунш, десерт или соус с кокос</x:v>
      </x:c>
      <x:c r="J34" s="28" t="str">
        <x:v>Средняя</x:v>
      </x:c>
      <x:c r="K34" s="28" t="str">
        <x:v>The Art &amp; Science of Foodpairing.pdf</x:v>
      </x:c>
      <x:c r="L34" s="28" t="str">
        <x:v>The Art &amp; Science of Foodpairing.pdf: 135</x:v>
      </x:c>
    </x:row>
    <x:row r="35" ht="64" customHeight="1">
      <x:c r="A35" s="28" t="str">
        <x:v>NCT-0565</x:v>
      </x:c>
      <x:c r="B35" s="28" t="str">
        <x:v>чёрный чай</x:v>
      </x:c>
      <x:c r="C35" s="28" t="str">
        <x:v>манго</x:v>
      </x:c>
      <x:c r="D35" s="28" t="str">
        <x:v>Фрукты и ягоды</x:v>
      </x:c>
      <x:c r="E35" s="28" t="str">
        <x:v>пересечение ароматических семейств, контраст кислоты и жирной/горькой матрицы</x:v>
      </x:c>
      <x:c r="F35" s="28" t="str">
        <x:v>Чёрный чай имеет профиль «мальтовый, цветочный, фруктовый, древесный и слегка дымный». Партнёр «манго»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35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35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35" s="28" t="str">
        <x:v>чайный настой, холодный чай, кордиал, молочный пунш, десерт или соус с манго</x:v>
      </x:c>
      <x:c r="J35" s="28" t="str">
        <x:v>Средняя</x:v>
      </x:c>
      <x:c r="K35" s="28" t="str">
        <x:v>The Art &amp; Science of Foodpairing.pdf</x:v>
      </x:c>
      <x:c r="L35" s="28" t="str">
        <x:v>The Art &amp; Science of Foodpairing.pdf: 312</x:v>
      </x:c>
    </x:row>
    <x:row r="36" ht="64" customHeight="1">
      <x:c r="A36" s="28" t="str">
        <x:v>NCT-0566</x:v>
      </x:c>
      <x:c r="B36" s="28" t="str">
        <x:v>чёрный чай</x:v>
      </x:c>
      <x:c r="C36" s="28" t="str">
        <x:v>маниок</x:v>
      </x:c>
      <x:c r="D36" s="28" t="str">
        <x:v>Прочее</x:v>
      </x:c>
      <x:c r="E36" s="28" t="str">
        <x:v>сенсорная комплементарность</x:v>
      </x:c>
      <x:c r="F36" s="28" t="str">
        <x:v>Чёрный чай имеет профиль «мальтовый, цветочный, фруктовый, древесный и слегка дымный». Партнёр «маниок» относится к группе «Прочее» и даёт профиль зависит от конкретного продукта.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36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36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36" s="28" t="str">
        <x:v>чайный настой, холодный чай, кордиал, молочный пунш, десерт или соус с маниок</x:v>
      </x:c>
      <x:c r="J36" s="28" t="str">
        <x:v>Средняя</x:v>
      </x:c>
      <x:c r="K36" s="28" t="str">
        <x:v>The Art &amp; Science of Foodpairing.pdf</x:v>
      </x:c>
      <x:c r="L36" s="28" t="str">
        <x:v>The Art &amp; Science of Foodpairing.pdf: 251</x:v>
      </x:c>
    </x:row>
    <x:row r="37" ht="64" customHeight="1">
      <x:c r="A37" s="28" t="str">
        <x:v>NCT-0567</x:v>
      </x:c>
      <x:c r="B37" s="28" t="str">
        <x:v>чёрный чай</x:v>
      </x:c>
      <x:c r="C37" s="28" t="str">
        <x:v>оливковое масло</x:v>
      </x:c>
      <x:c r="D37" s="28" t="str">
        <x:v>Масла и жиры</x:v>
      </x:c>
      <x:c r="E37" s="28" t="str">
        <x:v>сенсорная комплементарность</x:v>
      </x:c>
      <x:c r="F37" s="28" t="str">
        <x:v>Чёрный чай имеет профиль «мальтовый, цветочный, фруктовый, древесный и слегка дымный». Партнёр «оливковое масло» относится к группе «Масла и жиры» и даёт жирный и мягкий.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37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37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37" s="28" t="str">
        <x:v>чайный настой, холодный чай, кордиал, молочный пунш, десерт или соус с оливковое масло</x:v>
      </x:c>
      <x:c r="J37" s="28" t="str">
        <x:v>Средняя</x:v>
      </x:c>
      <x:c r="K37" s="28" t="str">
        <x:v>The Art &amp; Science of Foodpairing.pdf</x:v>
      </x:c>
      <x:c r="L37" s="28" t="str">
        <x:v>The Art &amp; Science of Foodpairing.pdf: 172</x:v>
      </x:c>
    </x:row>
    <x:row r="38" ht="64" customHeight="1">
      <x:c r="A38" s="28" t="str">
        <x:v>NCT-0568</x:v>
      </x:c>
      <x:c r="B38" s="28" t="str">
        <x:v>чёрный чай</x:v>
      </x:c>
      <x:c r="C38" s="28" t="str">
        <x:v>цветы бузины</x:v>
      </x:c>
      <x:c r="D38" s="28" t="str">
        <x:v>Травы, цветы и листья</x:v>
      </x:c>
      <x:c r="E38" s="28" t="str">
        <x:v>пересечение ароматических семейств</x:v>
      </x:c>
      <x:c r="F38" s="28" t="str">
        <x:v>Чёрный чай имеет профиль «мальтовый, цветочный, фруктовый, древесный и слегка дымный». Партнёр «цветы бузины» относится к группе «Травы, цветы и листья» и даёт зелёный, цветочный и терпеновый. Профили пересекаются в семействах: цветочный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38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38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38" s="28" t="str">
        <x:v>чайный настой, холодный чай, кордиал, молочный пунш, десерт или соус с цветы бузины</x:v>
      </x:c>
      <x:c r="J38" s="28" t="str">
        <x:v>Высокая</x:v>
      </x:c>
      <x:c r="K38" s="28" t="str">
        <x:v>The Art &amp; Science of Foodpairing.pdf</x:v>
      </x:c>
      <x:c r="L38" s="28" t="str">
        <x:v>The Art &amp; Science of Foodpairing.pdf: 365</x:v>
      </x:c>
    </x:row>
  </x:sheetData>
  <x:conditionalFormatting sqref="J2:J38">
    <x:cfRule type="expression" dxfId="12" priority="1">
      <x:formula>J2="Высокая"</x:formula>
    </x:cfRule>
    <x:cfRule type="expression" dxfId="13" priority="2">
      <x:formula>J2="Средняя"</x:formula>
    </x:cfRule>
    <x:cfRule type="expression" dxfId="14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48dbfb21228492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31" hidden="0" customWidth="1"/>
    <x:col min="4" max="4" width="29" hidden="0" customWidth="1"/>
    <x:col min="5" max="5" width="39" hidden="0" customWidth="1"/>
    <x:col min="6" max="6" width="68" hidden="0" customWidth="1"/>
    <x:col min="7" max="7" width="55" hidden="0" customWidth="1"/>
    <x:col min="8" max="8" width="55" hidden="0" customWidth="1"/>
    <x:col min="9" max="9" width="49" hidden="0" customWidth="1"/>
    <x:col min="10" max="10" width="22" hidden="0" customWidth="1"/>
    <x:col min="11" max="11" width="40" hidden="0" customWidth="1"/>
    <x:col min="12" max="12" width="48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4" customHeight="1">
      <x:c r="A2" s="28" t="str">
        <x:v>NCT-0012</x:v>
      </x:c>
      <x:c r="B2" s="28" t="str">
        <x:v>арахис</x:v>
      </x:c>
      <x:c r="C2" s="28" t="str">
        <x:v>виноград</x:v>
      </x:c>
      <x:c r="D2" s="28" t="str">
        <x:v>Алкогольные напитки</x:v>
      </x:c>
      <x:c r="E2" s="28" t="str">
        <x:v>общие ароматические соединения</x:v>
      </x:c>
      <x:c r="F2" s="28" t="str">
        <x:v>Арахис имеет профиль «бобовый и зелёный в сыром виде; жареный, ореховый и какаоподобный после обжарки». Партнёр «виноград» относится к группе «Алкогольные напитки» и даёт спиртовой, фруктовый или древесный.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" s="28" t="str">
        <x:v>сильный аллерген; риск прогоркания и загрязнения плесенью при плохом хранении</x:v>
      </x:c>
      <x:c r="I2" s="28" t="str">
        <x:v>пралине, паста, выпечка, гарнир, соус, молочный или коктейльный компонент с виноград</x:v>
      </x:c>
      <x:c r="J2" s="28" t="str">
        <x:v>Средняя</x:v>
      </x:c>
      <x:c r="K2" s="28" t="str">
        <x:v>Тезариус вкусов (Ники Сегнит)(1).pdf</x:v>
      </x:c>
      <x:c r="L2" s="28" t="str">
        <x:v>Тезариус вкусов (Ники Сегнит)(1).pdf: 52, 665</x:v>
      </x:c>
    </x:row>
    <x:row r="3" ht="64" customHeight="1">
      <x:c r="A3" s="28" t="str">
        <x:v>NCT-0020</x:v>
      </x:c>
      <x:c r="B3" s="28" t="str">
        <x:v>арахис</x:v>
      </x:c>
      <x:c r="C3" s="28" t="str">
        <x:v>кофе</x:v>
      </x:c>
      <x:c r="D3" s="28" t="str">
        <x:v>Кофе</x:v>
      </x:c>
      <x:c r="E3" s="28" t="str">
        <x:v>общие ароматические соединения, пересечение ароматических семейств, жареная химия и реакции Майяра</x:v>
      </x:c>
      <x:c r="F3" s="28" t="str">
        <x:v>Арахис имеет профиль «бобовый и зелёный в сыром виде; жареный, ореховый и какаоподобный после обжарки».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ореховый; пиразины, фураны.</x:v>
      </x:c>
      <x:c r="G3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" s="28" t="str">
        <x:v>сильный аллерген; риск прогоркания и загрязнения плесенью при плохом хранении</x:v>
      </x:c>
      <x:c r="I3" s="28" t="str">
        <x:v>пралине, паста, выпечка, гарнир, соус, молочный или коктейльный компонент с кофе</x:v>
      </x:c>
      <x:c r="J3" s="28" t="str">
        <x:v>Гипотеза / практическая</x:v>
      </x:c>
      <x:c r="K3" s="28" t="str">
        <x:v>Таблица сочетания(1).pdf</x:v>
      </x:c>
      <x:c r="L3" s="28" t="str">
        <x:v>Таблица сочетания(1).pdf: 15</x:v>
      </x:c>
    </x:row>
    <x:row r="4" ht="64" customHeight="1">
      <x:c r="A4" s="28" t="str">
        <x:v>NCT-0056</x:v>
      </x:c>
      <x:c r="B4" s="28" t="str">
        <x:v>белый шоколад</x:v>
      </x:c>
      <x:c r="C4" s="28" t="str">
        <x:v>кофе</x:v>
      </x:c>
      <x:c r="D4" s="28" t="str">
        <x:v>Кофе</x:v>
      </x:c>
      <x:c r="E4" s="28" t="str">
        <x:v>общие ароматические соединения, пересечение ароматических семейств, жареная химия и реакции Майяра</x:v>
      </x:c>
      <x:c r="F4" s="28" t="str">
        <x:v>Белый шоколад имеет профиль «сливочный, ванильный, карамельный и маслянистый без выраженного какаового жареного профиля».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диацетил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карамельный; диацетил.</x:v>
      </x:c>
      <x:c r="G4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4" s="28" t="str">
        <x:v>легко становится приторным и восковым; требует точной температуры темперирования</x:v>
      </x:c>
      <x:c r="I4" s="28" t="str">
        <x:v>ганаш, плитка, крем, мусс, напиток, глазурь или соус с кофе</x:v>
      </x:c>
      <x:c r="J4" s="28" t="str">
        <x:v>Высокая</x:v>
      </x:c>
      <x:c r="K4" s="28" t="str">
        <x:v>The Art &amp; Science of Foodpairing.pdf | Тезариус вкусов (Ники Сегнит)(1).pdf</x:v>
      </x:c>
      <x:c r="L4" s="28" t="str">
        <x:v>The Art &amp; Science of Foodpairing.pdf: 297; Тезариус вкусов (Ники Сегнит)(1).pdf: 43, 924</x:v>
      </x:c>
    </x:row>
    <x:row r="5" ht="64" customHeight="1">
      <x:c r="A5" s="28" t="str">
        <x:v>NCT-0065</x:v>
      </x:c>
      <x:c r="B5" s="28" t="str">
        <x:v>белый шоколад</x:v>
      </x:c>
      <x:c r="C5" s="28" t="str">
        <x:v>чёрный чай</x:v>
      </x:c>
      <x:c r="D5" s="28" t="str">
        <x:v>Чай</x:v>
      </x:c>
      <x:c r="E5" s="28" t="str">
        <x:v>сенсорная комплементарность</x:v>
      </x:c>
      <x:c r="F5" s="28" t="str">
        <x:v>Белый шоколад имеет профиль «сливочный, ванильный, карамельный и маслянистый без выраженного какаового жареного профиля». Партнёр «чёрный чай» относится к группе «Чай» и даёт мальтовый, цветочный, фруктовый, древесный и слегка дымный.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5" s="28" t="str">
        <x:v>легко становится приторным и восковым; требует точной температуры темперирования</x:v>
      </x:c>
      <x:c r="I5" s="28" t="str">
        <x:v>ганаш, плитка, крем, мусс, напиток, глазурь или соус с чёрный чай</x:v>
      </x:c>
      <x:c r="J5" s="28" t="str">
        <x:v>Высокая</x:v>
      </x:c>
      <x:c r="K5" s="28" t="str">
        <x:v>The Art &amp; Science of Foodpairing.pdf</x:v>
      </x:c>
      <x:c r="L5" s="28" t="str">
        <x:v>The Art &amp; Science of Foodpairing.pdf: 365</x:v>
      </x:c>
    </x:row>
    <x:row r="6" ht="64" customHeight="1">
      <x:c r="A6" s="28" t="str">
        <x:v>NCT-0081</x:v>
      </x:c>
      <x:c r="B6" s="28" t="str">
        <x:v>грецкий орех</x:v>
      </x:c>
      <x:c r="C6" s="28" t="str">
        <x:v>виноград</x:v>
      </x:c>
      <x:c r="D6" s="28" t="str">
        <x:v>Алкогольные напитки</x:v>
      </x:c>
      <x:c r="E6" s="28" t="str">
        <x:v>пересечение ароматических семейств</x:v>
      </x:c>
      <x:c r="F6" s="28" t="str">
        <x:v>Грецкий орех имеет профиль «ореховый, древесный, землистый, слегка горький и маслянистый». Партнёр «виноград» относится к группе «Алкогольные напитки» и даёт спиртовой, фруктовый или древесный. Профили пересекаются в семействах: древесный Ореховый жир служит носителем ароматов и создаёт текстурный контраст, но окисление быстро превращает профиль в прогорклый. Итог: древесный; механизм не следует сводить к одной общей молекуле.</x:v>
      </x:c>
      <x:c r="G6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6" s="28" t="str">
        <x:v>аллерген; быстро окисляется; горькая кожица способна доминировать</x:v>
      </x:c>
      <x:c r="I6" s="28" t="str">
        <x:v>пралине, паста, выпечка, гарнир, соус, молочный или коктейльный компонент с виноград</x:v>
      </x:c>
      <x:c r="J6" s="28" t="str">
        <x:v>Средняя</x:v>
      </x:c>
      <x:c r="K6" s="28" t="str">
        <x:v>Тезариус вкусов (Ники Сегнит)(1).pdf</x:v>
      </x:c>
      <x:c r="L6" s="28" t="str">
        <x:v>Тезариус вкусов (Ники Сегнит)(1).pdf: 625, 666</x:v>
      </x:c>
    </x:row>
    <x:row r="7" ht="64" customHeight="1">
      <x:c r="A7" s="28" t="str">
        <x:v>NCT-0092</x:v>
      </x:c>
      <x:c r="B7" s="28" t="str">
        <x:v>грецкий орех</x:v>
      </x:c>
      <x:c r="C7" s="28" t="str">
        <x:v>кленовый сироп</x:v>
      </x:c>
      <x:c r="D7" s="28" t="str">
        <x:v>Выпечка, сахара и десерты</x:v>
      </x:c>
      <x:c r="E7" s="28" t="str">
        <x:v>общие ароматические соединения, жареная химия и реакции Майяра</x:v>
      </x:c>
      <x:c r="F7" s="28" t="str">
        <x:v>Грецкий орех имеет профиль «ореховый, древесный, землистый, слегка горький и маслянистый». Партнёр «кленовый сироп» относится к группе «Выпечка, сахара и десерты» и даёт сладкий, карамельный и жареный.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7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" s="28" t="str">
        <x:v>аллерген; быстро окисляется; горькая кожица способна доминировать</x:v>
      </x:c>
      <x:c r="I7" s="28" t="str">
        <x:v>пралине, паста, выпечка, гарнир, соус, молочный или коктейльный компонент с кленовый сироп</x:v>
      </x:c>
      <x:c r="J7" s="28" t="str">
        <x:v>Гипотеза / практическая</x:v>
      </x:c>
      <x:c r="K7" s="28" t="str">
        <x:v>Таблица сочетания(1).pdf</x:v>
      </x:c>
      <x:c r="L7" s="28" t="str">
        <x:v>Таблица сочетания(1).pdf: 13</x:v>
      </x:c>
    </x:row>
    <x:row r="8" ht="64" customHeight="1">
      <x:c r="A8" s="28" t="str">
        <x:v>NCT-0097</x:v>
      </x:c>
      <x:c r="B8" s="28" t="str">
        <x:v>грецкий орех</x:v>
      </x:c>
      <x:c r="C8" s="28" t="str">
        <x:v>кофе</x:v>
      </x:c>
      <x:c r="D8" s="28" t="str">
        <x:v>Кофе</x:v>
      </x:c>
      <x:c r="E8" s="28" t="str">
        <x:v>общие ароматические соединения, пересечение ароматических семейств, жареная химия и реакции Майяра</x:v>
      </x:c>
      <x:c r="F8" s="28" t="str">
        <x:v>Грецкий орех имеет профиль «ореховый, древесный, землистый, слегка горький и маслянистый».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пиразины.</x:v>
      </x:c>
      <x:c r="G8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" s="28" t="str">
        <x:v>аллерген; быстро окисляется; горькая кожица способна доминировать</x:v>
      </x:c>
      <x:c r="I8" s="28" t="str">
        <x:v>пралине, паста, выпечка, гарнир, соус, молочный или коктейльный компонент с кофе</x:v>
      </x:c>
      <x:c r="J8" s="28" t="str">
        <x:v>Высокая</x:v>
      </x:c>
      <x:c r="K8" s="28" t="str">
        <x:v>Таблица сочетания(1).pdf | Тезариус вкусов (Ники Сегнит)(1).pdf</x:v>
      </x:c>
      <x:c r="L8" s="28" t="str">
        <x:v>Таблица сочетания(1).pdf: 6, 21; Тезариус вкусов (Ники Сегнит)(1).pdf: 44, 626</x:v>
      </x:c>
    </x:row>
    <x:row r="9" ht="64" customHeight="1">
      <x:c r="A9" s="28" t="str">
        <x:v>NCT-0124</x:v>
      </x:c>
      <x:c r="B9" s="28" t="str">
        <x:v>зелёный чай</x:v>
      </x:c>
      <x:c r="C9" s="28" t="str">
        <x:v>apple and apple sauce</x:v>
      </x:c>
      <x:c r="D9" s="28" t="str">
        <x:v>Фрукты и ягоды</x:v>
      </x:c>
      <x:c r="E9" s="28" t="str">
        <x:v>пересечение ароматических семейств, контраст кислоты и жирной/горькой матрицы</x:v>
      </x:c>
      <x:c r="F9" s="28" t="str">
        <x:v>Зелёный чай имеет профиль «зелёный, морской, травянистый, цветочный и слегка жареный; у матча — умами». Партнёр «apple and apple sauce»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9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9" s="28" t="str">
        <x:v>переэкстракция; матча легко становится меловой и горькой;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9" s="28" t="str">
        <x:v>чайный настой, холодный чай, кордиал, молочный пунш, десерт или соус с apple and apple sauce</x:v>
      </x:c>
      <x:c r="J9" s="28" t="str">
        <x:v>Средняя</x:v>
      </x:c>
      <x:c r="K9" s="28" t="str">
        <x:v>The Art &amp; Science of Foodpairing.pdf</x:v>
      </x:c>
      <x:c r="L9" s="28" t="str">
        <x:v>The Art &amp; Science of Foodpairing.pdf: 47</x:v>
      </x:c>
    </x:row>
    <x:row r="10" ht="64" customHeight="1">
      <x:c r="A10" s="28" t="str">
        <x:v>NCT-0125</x:v>
      </x:c>
      <x:c r="B10" s="28" t="str">
        <x:v>зелёный чай</x:v>
      </x:c>
      <x:c r="C10" s="28" t="str">
        <x:v>brie and camembert</x:v>
      </x:c>
      <x:c r="D10" s="28" t="str">
        <x:v>Молочные продукты и сыры</x:v>
      </x:c>
      <x:c r="E10" s="28" t="str">
        <x:v>жировая экстракция и связывание полифенолов белком</x:v>
      </x:c>
      <x:c r="F10" s="28" t="str">
        <x:v>Зелёный чай имеет профиль «зелёный, морской, травянистый, цветочный и слегка жареный; у матча — умами». Партнёр «brie and camembert»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0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0" s="28" t="str">
        <x:v>переэкстракция; матча легко становится меловой и горькой; кофеин; слишком горячая вода и долгое заваривание усиливают терпкость; жир способен приглушить тонкую ароматику; белок связывает полифенолы</x:v>
      </x:c>
      <x:c r="I10" s="28" t="str">
        <x:v>чайный настой, холодный чай, кордиал, молочный пунш, десерт или соус с brie and camembert</x:v>
      </x:c>
      <x:c r="J10" s="28" t="str">
        <x:v>Средняя</x:v>
      </x:c>
      <x:c r="K10" s="28" t="str">
        <x:v>The Art &amp; Science of Foodpairing.pdf</x:v>
      </x:c>
      <x:c r="L10" s="28" t="str">
        <x:v>The Art &amp; Science of Foodpairing.pdf: 336</x:v>
      </x:c>
    </x:row>
    <x:row r="11" ht="64" customHeight="1">
      <x:c r="A11" s="28" t="str">
        <x:v>NCT-0126</x:v>
      </x:c>
      <x:c r="B11" s="28" t="str">
        <x:v>зелёный чай</x:v>
      </x:c>
      <x:c r="C11" s="28" t="str">
        <x:v>fish</x:v>
      </x:c>
      <x:c r="D11" s="28" t="str">
        <x:v>Рыба и морепродукты</x:v>
      </x:c>
      <x:c r="E11" s="28" t="str">
        <x:v>пересечение ароматических семейств, солёно-умами контраст</x:v>
      </x:c>
      <x:c r="F11" s="28" t="str">
        <x:v>Зелёный чай имеет профиль «зелёный, морской, травянистый, цветочный и слегка жареный; у матча — умами». Партнёр «fish» относится к группе «Рыба и морепродукты» и даёт морской, солоноватый и умами. Профили пересекаются в семействах: морской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морской; механизм не следует сводить к одной общей молекуле.</x:v>
      </x:c>
      <x:c r="G11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1" s="28" t="str">
        <x:v>переэкстракция; матча легко становится меловой и горькой; кофеин; слишком горячая вода и долгое заваривание усиливают терпкость; малейшая прогорклость ореха или шоколада усиливает неприятные рыбные оттенки</x:v>
      </x:c>
      <x:c r="I11" s="28" t="str">
        <x:v>чайный настой, холодный чай, кордиал, молочный пунш, десерт или соус с fish</x:v>
      </x:c>
      <x:c r="J11" s="28" t="str">
        <x:v>Средняя</x:v>
      </x:c>
      <x:c r="K11" s="28" t="str">
        <x:v>The Art &amp; Science of Foodpairing.pdf</x:v>
      </x:c>
      <x:c r="L11" s="28" t="str">
        <x:v>The Art &amp; Science of Foodpairing.pdf: 104</x:v>
      </x:c>
    </x:row>
    <x:row r="12" ht="64" customHeight="1">
      <x:c r="A12" s="28" t="str">
        <x:v>NCT-0127</x:v>
      </x:c>
      <x:c r="B12" s="28" t="str">
        <x:v>зелёный чай</x:v>
      </x:c>
      <x:c r="C12" s="28" t="str">
        <x:v>garlic</x:v>
      </x:c>
      <x:c r="D12" s="28" t="str">
        <x:v>Овощи, бобовые и грибы</x:v>
      </x:c>
      <x:c r="E12" s="28" t="str">
        <x:v>пересечение ароматических семейств</x:v>
      </x:c>
      <x:c r="F12" s="28" t="str">
        <x:v>Зелёный чай имеет профиль «зелёный, морской, травянистый, цветочный и слегка жареный; у матча — умами». Партнёр «garlic» относится к группе «Овощи, бобовые и грибы» и даёт зелёный, землистый или умами. Профили пересекаются в семействах: зелёный Полифенолы создают терпкость, поэтому сахар, жир, соль или умами могут смягчить сухость; чрезмерно танинный партнёр, наоборот, её усиливает. Итог: зелёный; механизм не следует сводить к одной общей молекуле.</x:v>
      </x:c>
      <x:c r="G12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2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12" s="28" t="str">
        <x:v>чайный настой, холодный чай, кордиал, молочный пунш, десерт или соус с garlic</x:v>
      </x:c>
      <x:c r="J12" s="28" t="str">
        <x:v>Средняя</x:v>
      </x:c>
      <x:c r="K12" s="28" t="str">
        <x:v>The Art &amp; Science of Foodpairing.pdf</x:v>
      </x:c>
      <x:c r="L12" s="28" t="str">
        <x:v>The Art &amp; Science of Foodpairing.pdf: 113</x:v>
      </x:c>
    </x:row>
    <x:row r="13" ht="64" customHeight="1">
      <x:c r="A13" s="28" t="str">
        <x:v>NCT-0128</x:v>
      </x:c>
      <x:c r="B13" s="28" t="str">
        <x:v>зелёный чай</x:v>
      </x:c>
      <x:c r="C13" s="28" t="str">
        <x:v>meat</x:v>
      </x:c>
      <x:c r="D13" s="28" t="str">
        <x:v>Мясо и птица</x:v>
      </x:c>
      <x:c r="E13" s="28" t="str">
        <x:v>жареная химия и реакции Майяра, солёно-умами контраст</x:v>
      </x:c>
      <x:c r="F13" s="28" t="str">
        <x:v>Зелёный чай имеет профиль «зелёный, морской, травянистый, цветочный и слегка жареный; у матча — умами». Партнёр «meat»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3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3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13" s="28" t="str">
        <x:v>чайный настой, холодный чай, кордиал, молочный пунш, десерт или соус с meat</x:v>
      </x:c>
      <x:c r="J13" s="28" t="str">
        <x:v>Средняя</x:v>
      </x:c>
      <x:c r="K13" s="28" t="str">
        <x:v>The Art &amp; Science of Foodpairing.pdf</x:v>
      </x:c>
      <x:c r="L13" s="28" t="str">
        <x:v>The Art &amp; Science of Foodpairing.pdf: 186</x:v>
      </x:c>
    </x:row>
    <x:row r="14" ht="64" customHeight="1">
      <x:c r="A14" s="28" t="str">
        <x:v>NCT-0129</x:v>
      </x:c>
      <x:c r="B14" s="28" t="str">
        <x:v>зелёный чай</x:v>
      </x:c>
      <x:c r="C14" s="28" t="str">
        <x:v>peppercorns</x:v>
      </x:c>
      <x:c r="D14" s="28" t="str">
        <x:v>Специи</x:v>
      </x:c>
      <x:c r="E14" s="28" t="str">
        <x:v>сенсорная комплементарность</x:v>
      </x:c>
      <x:c r="F14" s="28" t="str">
        <x:v>Зелёный чай имеет профиль «зелёный, морской, травянистый, цветочный и слегка жареный; у матча — умами». Партнёр «peppercorns» относится к группе «Специи» и даёт пряный и древесный.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4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4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14" s="28" t="str">
        <x:v>чайный настой, холодный чай, кордиал, молочный пунш, десерт или соус с peppercorns</x:v>
      </x:c>
      <x:c r="J14" s="28" t="str">
        <x:v>Средняя</x:v>
      </x:c>
      <x:c r="K14" s="28" t="str">
        <x:v>The Art &amp; Science of Foodpairing.pdf</x:v>
      </x:c>
      <x:c r="L14" s="28" t="str">
        <x:v>The Art &amp; Science of Foodpairing.pdf: 274</x:v>
      </x:c>
    </x:row>
    <x:row r="15" ht="64" customHeight="1">
      <x:c r="A15" s="28" t="str">
        <x:v>NCT-0130</x:v>
      </x:c>
      <x:c r="B15" s="28" t="str">
        <x:v>зелёный чай</x:v>
      </x:c>
      <x:c r="C15" s="28" t="str">
        <x:v>red bell pepper and paprika</x:v>
      </x:c>
      <x:c r="D15" s="28" t="str">
        <x:v>Специи</x:v>
      </x:c>
      <x:c r="E15" s="28" t="str">
        <x:v>сенсорная комплементарность</x:v>
      </x:c>
      <x:c r="F15" s="28" t="str">
        <x:v>Зелёный чай имеет профиль «зелёный, морской, травянистый, цветочный и слегка жареный; у матча — умами». Партнёр «red bell pepper and paprika» относится к группе «Специи» и даёт пряный и древесный.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5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5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15" s="28" t="str">
        <x:v>чайный настой, холодный чай, кордиал, молочный пунш, десерт или соус с red bell pepper and paprika</x:v>
      </x:c>
      <x:c r="J15" s="28" t="str">
        <x:v>Средняя</x:v>
      </x:c>
      <x:c r="K15" s="28" t="str">
        <x:v>The Art &amp; Science of Foodpairing.pdf</x:v>
      </x:c>
      <x:c r="L15" s="28" t="str">
        <x:v>The Art &amp; Science of Foodpairing.pdf: 108</x:v>
      </x:c>
    </x:row>
    <x:row r="16" ht="64" customHeight="1">
      <x:c r="A16" s="28" t="str">
        <x:v>NCT-0131</x:v>
      </x:c>
      <x:c r="B16" s="28" t="str">
        <x:v>зелёный чай</x:v>
      </x:c>
      <x:c r="C16" s="28" t="str">
        <x:v>sesame seeds, halva and tahini</x:v>
      </x:c>
      <x:c r="D16" s="28" t="str">
        <x:v>Прочее</x:v>
      </x:c>
      <x:c r="E16" s="28" t="str">
        <x:v>сенсорная комплементарность</x:v>
      </x:c>
      <x:c r="F16" s="28" t="str">
        <x:v>Зелёный чай имеет профиль «зелёный, морской, травянистый, цветочный и слегка жареный; у матча — умами». Партнёр «sesame seeds, halva and tahini» относится к группе «Прочее» и даёт профиль зависит от конкретного продукта.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6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6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16" s="28" t="str">
        <x:v>чайный настой, холодный чай, кордиал, молочный пунш, десерт или соус с sesame seeds, halva and tahini</x:v>
      </x:c>
      <x:c r="J16" s="28" t="str">
        <x:v>Средняя</x:v>
      </x:c>
      <x:c r="K16" s="28" t="str">
        <x:v>The Art &amp; Science of Foodpairing.pdf</x:v>
      </x:c>
      <x:c r="L16" s="28" t="str">
        <x:v>The Art &amp; Science of Foodpairing.pdf: 308</x:v>
      </x:c>
    </x:row>
    <x:row r="17" ht="64" customHeight="1">
      <x:c r="A17" s="28" t="str">
        <x:v>NCT-0132</x:v>
      </x:c>
      <x:c r="B17" s="28" t="str">
        <x:v>зелёный чай</x:v>
      </x:c>
      <x:c r="C17" s="28" t="str">
        <x:v>tequila, buckwheat honey</x:v>
      </x:c>
      <x:c r="D17" s="28" t="str">
        <x:v>Выпечка, сахара и десерты</x:v>
      </x:c>
      <x:c r="E17" s="28" t="str">
        <x:v>жареная химия и реакции Майяра</x:v>
      </x:c>
      <x:c r="F17" s="28" t="str">
        <x:v>Зелёный чай имеет профиль «зелёный, морской, травянистый, цветочный и слегка жареный; у матча — умами». Партнёр «tequila, buckwheat honey» относится к группе «Выпечка, сахара и десерты» и даёт сладкий, карамельный и жареный.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7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7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17" s="28" t="str">
        <x:v>чайный настой, холодный чай, кордиал, молочный пунш, десерт или соус с tequila, buckwheat honey</x:v>
      </x:c>
      <x:c r="J17" s="28" t="str">
        <x:v>Высокая</x:v>
      </x:c>
      <x:c r="K17" s="28" t="str">
        <x:v>The Art &amp; Science of Foodpairing.pdf</x:v>
      </x:c>
      <x:c r="L17" s="28" t="str">
        <x:v>The Art &amp; Science of Foodpairing.pdf: 82</x:v>
      </x:c>
    </x:row>
    <x:row r="18" ht="64" customHeight="1">
      <x:c r="A18" s="28" t="str">
        <x:v>NCT-0133</x:v>
      </x:c>
      <x:c r="B18" s="28" t="str">
        <x:v>зелёный чай</x:v>
      </x:c>
      <x:c r="C18" s="28" t="str">
        <x:v>авокадо</x:v>
      </x:c>
      <x:c r="D18" s="28" t="str">
        <x:v>Прочее</x:v>
      </x:c>
      <x:c r="E18" s="28" t="str">
        <x:v>сенсорная комплементарность</x:v>
      </x:c>
      <x:c r="F18" s="28" t="str">
        <x:v>Зелёный чай имеет профиль «зелёный, морской, травянистый, цветочный и слегка жареный; у матча — умами». Партнёр «авокадо» относится к группе «Прочее» и даёт профиль зависит от конкретного продукта.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8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8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18" s="28" t="str">
        <x:v>чайный настой, холодный чай, кордиал, молочный пунш, десерт или соус с авокадо</x:v>
      </x:c>
      <x:c r="J18" s="28" t="str">
        <x:v>Гипотеза / практическая</x:v>
      </x:c>
      <x:c r="K18" s="28" t="str">
        <x:v>Таблица сочетания(1).pdf</x:v>
      </x:c>
      <x:c r="L18" s="28" t="str">
        <x:v>Таблица сочетания(1).pdf: 2</x:v>
      </x:c>
    </x:row>
    <x:row r="19" ht="64" customHeight="1">
      <x:c r="A19" s="28" t="str">
        <x:v>NCT-0134</x:v>
      </x:c>
      <x:c r="B19" s="28" t="str">
        <x:v>зелёный чай</x:v>
      </x:c>
      <x:c r="C19" s="28" t="str">
        <x:v>банан</x:v>
      </x:c>
      <x:c r="D19" s="28" t="str">
        <x:v>Фрукты и ягоды</x:v>
      </x:c>
      <x:c r="E19" s="28" t="str">
        <x:v>контраст кислоты и жирной/горькой матрицы</x:v>
      </x:c>
      <x:c r="F19" s="28" t="str">
        <x:v>Зелёный чай имеет профиль «зелёный, морской, травянистый, цветочный и слегка жареный; у матча — умами».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9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9" s="28" t="str">
        <x:v>переэкстракция; матча легко становится меловой и горькой;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19" s="28" t="str">
        <x:v>чайный настой, холодный чай, кордиал, молочный пунш, десерт или соус с банан</x:v>
      </x:c>
      <x:c r="J19" s="28" t="str">
        <x:v>Средняя</x:v>
      </x:c>
      <x:c r="K19" s="28" t="str">
        <x:v>The Art &amp; Science of Foodpairing.pdf</x:v>
      </x:c>
      <x:c r="L19" s="28" t="str">
        <x:v>The Art &amp; Science of Foodpairing.pdf: 342</x:v>
      </x:c>
    </x:row>
    <x:row r="20" ht="64" customHeight="1">
      <x:c r="A20" s="28" t="str">
        <x:v>NCT-0135</x:v>
      </x:c>
      <x:c r="B20" s="28" t="str">
        <x:v>зелёный чай</x:v>
      </x:c>
      <x:c r="C20" s="28" t="str">
        <x:v>груша</x:v>
      </x:c>
      <x:c r="D20" s="28" t="str">
        <x:v>Фрукты и ягоды</x:v>
      </x:c>
      <x:c r="E20" s="28" t="str">
        <x:v>пересечение ароматических семейств, контраст кислоты и жирной/горькой матрицы</x:v>
      </x:c>
      <x:c r="F20" s="28" t="str">
        <x:v>Зелёный чай имеет профиль «зелёный, морской, травянистый, цветочный и слегка жареный; у матча — умами». Партнёр «груша»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20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0" s="28" t="str">
        <x:v>переэкстракция; матча легко становится меловой и горькой;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20" s="28" t="str">
        <x:v>чайный настой, холодный чай, кордиал, молочный пунш, десерт или соус с груша</x:v>
      </x:c>
      <x:c r="J20" s="28" t="str">
        <x:v>Средняя</x:v>
      </x:c>
      <x:c r="K20" s="28" t="str">
        <x:v>The Art &amp; Science of Foodpairing.pdf</x:v>
      </x:c>
      <x:c r="L20" s="28" t="str">
        <x:v>The Art &amp; Science of Foodpairing.pdf: 350</x:v>
      </x:c>
    </x:row>
    <x:row r="21" ht="64" customHeight="1">
      <x:c r="A21" s="28" t="str">
        <x:v>NCT-0136</x:v>
      </x:c>
      <x:c r="B21" s="28" t="str">
        <x:v>зелёный чай</x:v>
      </x:c>
      <x:c r="C21" s="28" t="str">
        <x:v>имбирь</x:v>
      </x:c>
      <x:c r="D21" s="28" t="str">
        <x:v>Специи</x:v>
      </x:c>
      <x:c r="E21" s="28" t="str">
        <x:v>сенсорная комплементарность</x:v>
      </x:c>
      <x:c r="F21" s="28" t="str">
        <x:v>Зелёный чай имеет профиль «зелёный, морской, травянистый, цветочный и слегка жареный; у матча — умами». Партнёр «имбирь» относится к группе «Специи» и даёт пряный, тёплый, цитрусовый.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21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1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21" s="28" t="str">
        <x:v>чайный настой, холодный чай, кордиал, молочный пунш, десерт или соус с имбирь</x:v>
      </x:c>
      <x:c r="J21" s="28" t="str">
        <x:v>Средняя</x:v>
      </x:c>
      <x:c r="K21" s="28" t="str">
        <x:v>The Art &amp; Science of Foodpairing.pdf</x:v>
      </x:c>
      <x:c r="L21" s="28" t="str">
        <x:v>The Art &amp; Science of Foodpairing.pdf: 142</x:v>
      </x:c>
    </x:row>
    <x:row r="22" ht="64" customHeight="1">
      <x:c r="A22" s="28" t="str">
        <x:v>NCT-0137</x:v>
      </x:c>
      <x:c r="B22" s="28" t="str">
        <x:v>зелёный чай</x:v>
      </x:c>
      <x:c r="C22" s="28" t="str">
        <x:v>кардамон</x:v>
      </x:c>
      <x:c r="D22" s="28" t="str">
        <x:v>Специи</x:v>
      </x:c>
      <x:c r="E22" s="28" t="str">
        <x:v>общие ароматические соединения, пересечение ароматических семейств</x:v>
      </x:c>
      <x:c r="F22" s="28" t="str">
        <x:v>Зелёный чай имеет профиль «зелёный, морской, травянистый, цветочный и слегка жареный; у матча — умами». Партнёр «кардамон» относится к группе «Специи» и даёт камфорный, цветочный, цитрусовый. Молекулярный мост создают линалоол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линалоол.</x:v>
      </x:c>
      <x:c r="G22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2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22" s="28" t="str">
        <x:v>чайный настой, холодный чай, кордиал, молочный пунш, десерт или соус с кардамон</x:v>
      </x:c>
      <x:c r="J22" s="28" t="str">
        <x:v>Средняя</x:v>
      </x:c>
      <x:c r="K22" s="28" t="str">
        <x:v>The Art &amp; Science of Foodpairing.pdf</x:v>
      </x:c>
      <x:c r="L22" s="28" t="str">
        <x:v>The Art &amp; Science of Foodpairing.pdf: 256</x:v>
      </x:c>
    </x:row>
    <x:row r="23" ht="64" customHeight="1">
      <x:c r="A23" s="28" t="str">
        <x:v>NCT-0138</x:v>
      </x:c>
      <x:c r="B23" s="28" t="str">
        <x:v>зелёный чай</x:v>
      </x:c>
      <x:c r="C23" s="28" t="str">
        <x:v>корица и кассия</x:v>
      </x:c>
      <x:c r="D23" s="28" t="str">
        <x:v>Специи</x:v>
      </x:c>
      <x:c r="E23" s="28" t="str">
        <x:v>сенсорная комплементарность</x:v>
      </x:c>
      <x:c r="F23" s="28" t="str">
        <x:v>Зелёный чай имеет профиль «зелёный, морской, травянистый, цветочный и слегка жареный; у матча — умами». Партнёр «корица и кассия» относится к группе «Специи» и даёт древесный, пряный.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23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3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23" s="28" t="str">
        <x:v>чайный настой, холодный чай, кордиал, молочный пунш, десерт или соус с корица и кассия</x:v>
      </x:c>
      <x:c r="J23" s="28" t="str">
        <x:v>Средняя</x:v>
      </x:c>
      <x:c r="K23" s="28" t="str">
        <x:v>The Art &amp; Science of Foodpairing.pdf</x:v>
      </x:c>
      <x:c r="L23" s="28" t="str">
        <x:v>The Art &amp; Science of Foodpairing.pdf: 130</x:v>
      </x:c>
    </x:row>
    <x:row r="24" ht="64" customHeight="1">
      <x:c r="A24" s="28" t="str">
        <x:v>NCT-0139</x:v>
      </x:c>
      <x:c r="B24" s="28" t="str">
        <x:v>зелёный чай</x:v>
      </x:c>
      <x:c r="C24" s="28" t="str">
        <x:v>трюфель</x:v>
      </x:c>
      <x:c r="D24" s="28" t="str">
        <x:v>Прочее</x:v>
      </x:c>
      <x:c r="E24" s="28" t="str">
        <x:v>сенсорная комплементарность</x:v>
      </x:c>
      <x:c r="F24" s="28" t="str">
        <x:v>Зелёный чай имеет профиль «зелёный, морской, травянистый, цветочный и слегка жареный; у матча — умами». Партнёр «трюфель» относится к группе «Прочее» и даёт профиль зависит от конкретного продукта.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24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4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24" s="28" t="str">
        <x:v>чайный настой, холодный чай, кордиал, молочный пунш, десерт или соус с трюфель</x:v>
      </x:c>
      <x:c r="J24" s="28" t="str">
        <x:v>Средняя</x:v>
      </x:c>
      <x:c r="K24" s="28" t="str">
        <x:v>The Art &amp; Science of Foodpairing.pdf</x:v>
      </x:c>
      <x:c r="L24" s="28" t="str">
        <x:v>The Art &amp; Science of Foodpairing.pdf: 192</x:v>
      </x:c>
    </x:row>
    <x:row r="25" ht="64" customHeight="1">
      <x:c r="A25" s="28" t="str">
        <x:v>NCT-0151</x:v>
      </x:c>
      <x:c r="B25" s="28" t="str">
        <x:v>каштан</x:v>
      </x:c>
      <x:c r="C25" s="28" t="str">
        <x:v>кленовый сироп</x:v>
      </x:c>
      <x:c r="D25" s="28" t="str">
        <x:v>Выпечка, сахара и десерты</x:v>
      </x:c>
      <x:c r="E25" s="28" t="str">
        <x:v>общие ароматические соединения, жареная химия и реакции Майяра</x:v>
      </x:c>
      <x:c r="F25" s="28" t="str">
        <x:v>Каштан имеет профиль «крахмалистый, сладкий, древесный, слегка какаовый и печёный». Партнёр «кленовый сироп» относится к группе «Выпечка, сахара и десерты» и даёт сладкий, карамельный и жареный. Молекулярный мост создают мальтол,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мальтол, пиразины, фураны.</x:v>
      </x:c>
      <x:c r="G25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25" s="28" t="str">
        <x:v>сырой каштан жёсткий; требуется надрез перед запеканием; водянистое пюре размывает аромат</x:v>
      </x:c>
      <x:c r="I25" s="28" t="str">
        <x:v>пралине, паста, выпечка, гарнир, соус, молочный или коктейльный компонент с кленовый сироп</x:v>
      </x:c>
      <x:c r="J25" s="28" t="str">
        <x:v>Гипотеза / практическая</x:v>
      </x:c>
      <x:c r="K25" s="28" t="str">
        <x:v>Таблица сочетания(1).pdf</x:v>
      </x:c>
      <x:c r="L25" s="28" t="str">
        <x:v>Таблица сочетания(1).pdf: 4</x:v>
      </x:c>
    </x:row>
    <x:row r="26" ht="64" customHeight="1">
      <x:c r="A26" s="28" t="str">
        <x:v>NCT-0152</x:v>
      </x:c>
      <x:c r="B26" s="28" t="str">
        <x:v>каштан</x:v>
      </x:c>
      <x:c r="C26" s="28" t="str">
        <x:v>кофе</x:v>
      </x:c>
      <x:c r="D26" s="28" t="str">
        <x:v>Кофе</x:v>
      </x:c>
      <x:c r="E26" s="28" t="str">
        <x:v>общие ароматические соединения, жареная химия и реакции Майяра</x:v>
      </x:c>
      <x:c r="F26" s="28" t="str">
        <x:v>Каштан имеет профиль «крахмалистый, сладкий, древесный, слегка какаовый и печёный».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пиразины, фураны.</x:v>
      </x:c>
      <x:c r="G26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26" s="28" t="str">
        <x:v>сырой каштан жёсткий; требуется надрез перед запеканием; водянистое пюре размывает аромат</x:v>
      </x:c>
      <x:c r="I26" s="28" t="str">
        <x:v>пралине, паста, выпечка, гарнир, соус, молочный или коктейльный компонент с кофе</x:v>
      </x:c>
      <x:c r="J26" s="28" t="str">
        <x:v>Гипотеза / практическая</x:v>
      </x:c>
      <x:c r="K26" s="28" t="str">
        <x:v>Таблица сочетания(1).pdf</x:v>
      </x:c>
      <x:c r="L26" s="28" t="str">
        <x:v>Таблица сочетания(1).pdf: 4</x:v>
      </x:c>
    </x:row>
    <x:row r="27" ht="64" customHeight="1">
      <x:c r="A27" s="28" t="str">
        <x:v>NCT-0173</x:v>
      </x:c>
      <x:c r="B27" s="28" t="str">
        <x:v>кедровый орех</x:v>
      </x:c>
      <x:c r="C27" s="28" t="str">
        <x:v>кленовый сироп</x:v>
      </x:c>
      <x:c r="D27" s="28" t="str">
        <x:v>Выпечка, сахара и десерты</x:v>
      </x:c>
      <x:c r="E27" s="28" t="str">
        <x:v>общие ароматические соединения, жареная химия и реакции Майяра</x:v>
      </x:c>
      <x:c r="F27" s="28" t="str">
        <x:v>Кедровый орех имеет профиль «смолистый, сливочный, зелёный и ореховый». Партнёр «кленовый сироп» относится к группе «Выпечка, сахара и десерты» и даёт сладкий, карамельный и жареный.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27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27" s="28" t="str">
        <x:v>аллерген; прогоркание; у части партий возможен длительный горький привкус</x:v>
      </x:c>
      <x:c r="I27" s="28" t="str">
        <x:v>пралине, паста, выпечка, гарнир, соус, молочный или коктейльный компонент с кленовый сироп</x:v>
      </x:c>
      <x:c r="J27" s="28" t="str">
        <x:v>Гипотеза / практическая</x:v>
      </x:c>
      <x:c r="K27" s="28" t="str">
        <x:v>Таблица сочетания(1).pdf</x:v>
      </x:c>
      <x:c r="L27" s="28" t="str">
        <x:v>Таблица сочетания(1).pdf: 16</x:v>
      </x:c>
    </x:row>
    <x:row r="28" ht="64" customHeight="1">
      <x:c r="A28" s="28" t="str">
        <x:v>NCT-0193</x:v>
      </x:c>
      <x:c r="B28" s="28" t="str">
        <x:v>кешью</x:v>
      </x:c>
      <x:c r="C28" s="28" t="str">
        <x:v>кофе</x:v>
      </x:c>
      <x:c r="D28" s="28" t="str">
        <x:v>Кофе</x:v>
      </x:c>
      <x:c r="E28" s="28" t="str">
        <x:v>общие ароматические соединения, пересечение ароматических семейств, жареная химия и реакции Майяра</x:v>
      </x:c>
      <x:c r="F28" s="28" t="str">
        <x:v>Кешью имеет профиль «сливочный, мягко-ореховый, сладковатый и жареный».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ореховый; пиразины, фураны.</x:v>
      </x:c>
      <x:c r="G28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28" s="28" t="str">
        <x:v>аллерген; оболочка сырого ореха содержит раздражающие вещества, поэтому используется обработанный пищевой продукт</x:v>
      </x:c>
      <x:c r="I28" s="28" t="str">
        <x:v>пралине, паста, выпечка, гарнир, соус, молочный или коктейльный компонент с кофе</x:v>
      </x:c>
      <x:c r="J28" s="28" t="str">
        <x:v>Средняя</x:v>
      </x:c>
      <x:c r="K28" s="28" t="str">
        <x:v>The Art &amp; Science of Foodpairing.pdf</x:v>
      </x:c>
      <x:c r="L28" s="28" t="str">
        <x:v>The Art &amp; Science of Foodpairing.pdf: 297</x:v>
      </x:c>
    </x:row>
    <x:row r="29" ht="64" customHeight="1">
      <x:c r="A29" s="28" t="str">
        <x:v>NCT-0201</x:v>
      </x:c>
      <x:c r="B29" s="28" t="str">
        <x:v>кофе</x:v>
      </x:c>
      <x:c r="C29" s="28" t="str">
        <x:v>apple and apple sauce</x:v>
      </x:c>
      <x:c r="D29" s="28" t="str">
        <x:v>Фрукты и ягоды</x:v>
      </x:c>
      <x:c r="E29" s="28" t="str">
        <x:v>пересечение ароматических семейств, контраст кислоты и жирной/горькой матрицы</x:v>
      </x:c>
      <x:c r="F29" s="28" t="str">
        <x:v>Кофе имеет профиль «жареный, ореховый, карамельный, цветочный, фруктовый, фенольный и древесный». Партнёр «apple and apple sauce»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2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29" s="28" t="str">
        <x:v>кофейный напиток, холодный кофе, крем, сироп, десерт или соус с apple and apple sauce</x:v>
      </x:c>
      <x:c r="J29" s="28" t="str">
        <x:v>Средняя</x:v>
      </x:c>
      <x:c r="K29" s="28" t="str">
        <x:v>The Art &amp; Science of Foodpairing.pdf</x:v>
      </x:c>
      <x:c r="L29" s="28" t="str">
        <x:v>The Art &amp; Science of Foodpairing.pdf: 47</x:v>
      </x:c>
    </x:row>
    <x:row r="30" ht="64" customHeight="1">
      <x:c r="A30" s="28" t="str">
        <x:v>NCT-0202</x:v>
      </x:c>
      <x:c r="B30" s="28" t="str">
        <x:v>кофе</x:v>
      </x:c>
      <x:c r="C30" s="28" t="str">
        <x:v>bayonne ham</x:v>
      </x:c>
      <x:c r="D30" s="28" t="str">
        <x:v>Мясо и птица</x:v>
      </x:c>
      <x:c r="E3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0" s="28" t="str">
        <x:v>Кофе имеет профиль «жареный, ореховый, карамельный, цветочный, фруктовый, фенольный и древесный». Партнёр «bayonne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3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30" s="28" t="str">
        <x:v>кофейный напиток, холодный кофе, крем, сироп, десерт или соус с bayonne ham</x:v>
      </x:c>
      <x:c r="J30" s="28" t="str">
        <x:v>Средняя</x:v>
      </x:c>
      <x:c r="K30" s="28" t="str">
        <x:v>The Art &amp; Science of Foodpairing.pdf</x:v>
      </x:c>
      <x:c r="L30" s="28" t="str">
        <x:v>The Art &amp; Science of Foodpairing.pdf: 297</x:v>
      </x:c>
    </x:row>
    <x:row r="31" ht="64" customHeight="1">
      <x:c r="A31" s="28" t="str">
        <x:v>NCT-0203</x:v>
      </x:c>
      <x:c r="B31" s="28" t="str">
        <x:v>кофе</x:v>
      </x:c>
      <x:c r="C31" s="28" t="str">
        <x:v>boiled carrot</x:v>
      </x:c>
      <x:c r="D31" s="28" t="str">
        <x:v>Овощи, бобовые и грибы</x:v>
      </x:c>
      <x:c r="E31" s="28" t="str">
        <x:v>сенсорная комплементарность</x:v>
      </x:c>
      <x:c r="F31" s="28" t="str">
        <x:v>Кофе имеет профиль «жареный, ореховый, карамельный, цветочный, фруктовый, фенольный и древесный». Партнёр «boiled carrot»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3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31" s="28" t="str">
        <x:v>кофейный напиток, холодный кофе, крем, сироп, десерт или соус с boiled carrot</x:v>
      </x:c>
      <x:c r="J31" s="28" t="str">
        <x:v>Средняя</x:v>
      </x:c>
      <x:c r="K31" s="28" t="str">
        <x:v>The Art &amp; Science of Foodpairing.pdf</x:v>
      </x:c>
      <x:c r="L31" s="28" t="str">
        <x:v>The Art &amp; Science of Foodpairing.pdf: 297</x:v>
      </x:c>
    </x:row>
    <x:row r="32" ht="64" customHeight="1">
      <x:c r="A32" s="28" t="str">
        <x:v>NCT-0204</x:v>
      </x:c>
      <x:c r="B32" s="28" t="str">
        <x:v>кофе</x:v>
      </x:c>
      <x:c r="C32" s="28" t="str">
        <x:v>boiled tomatillo</x:v>
      </x:c>
      <x:c r="D32" s="28" t="str">
        <x:v>Масла и жиры</x:v>
      </x:c>
      <x:c r="E32" s="28" t="str">
        <x:v>сенсорная комплементарность</x:v>
      </x:c>
      <x:c r="F32" s="28" t="str">
        <x:v>Кофе имеет профиль «жареный, ореховый, карамельный, цветочный, фруктовый, фенольный и древесный». Партнёр «boiled tomatillo» относится к группе «Масла и жиры» и даёт жирный и мягкий.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3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32" s="28" t="str">
        <x:v>кофейный напиток, холодный кофе, крем, сироп, десерт или соус с boiled tomatillo</x:v>
      </x:c>
      <x:c r="J32" s="28" t="str">
        <x:v>Средняя</x:v>
      </x:c>
      <x:c r="K32" s="28" t="str">
        <x:v>The Art &amp; Science of Foodpairing.pdf</x:v>
      </x:c>
      <x:c r="L32" s="28" t="str">
        <x:v>The Art &amp; Science of Foodpairing.pdf: 297</x:v>
      </x:c>
    </x:row>
    <x:row r="33" ht="64" customHeight="1">
      <x:c r="A33" s="28" t="str">
        <x:v>NCT-0205</x:v>
      </x:c>
      <x:c r="B33" s="28" t="str">
        <x:v>кофе</x:v>
      </x:c>
      <x:c r="C33" s="28" t="str">
        <x:v>buckwheat bread</x:v>
      </x:c>
      <x:c r="D33" s="28" t="str">
        <x:v>Выпечка, сахара и десерты</x:v>
      </x:c>
      <x:c r="E33" s="28" t="str">
        <x:v>общие ароматические соединения, пересечение ароматических семейств, жареная химия и реакции Майяра</x:v>
      </x:c>
      <x:c r="F33" s="28" t="str">
        <x:v>Кофе имеет профиль «жареный, ореховый, карамельный, цветочный, фруктовый, фенольный и древесный». Партнёр «buckwheat bread»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жареный, карамельный; пиразины, фураны.</x:v>
      </x:c>
      <x:c r="G3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33" s="28" t="str">
        <x:v>кофейный напиток, холодный кофе, крем, сироп, десерт или соус с buckwheat bread</x:v>
      </x:c>
      <x:c r="J33" s="28" t="str">
        <x:v>Средняя</x:v>
      </x:c>
      <x:c r="K33" s="28" t="str">
        <x:v>The Art &amp; Science of Foodpairing.pdf</x:v>
      </x:c>
      <x:c r="L33" s="28" t="str">
        <x:v>The Art &amp; Science of Foodpairing.pdf: 297</x:v>
      </x:c>
    </x:row>
    <x:row r="34" ht="64" customHeight="1">
      <x:c r="A34" s="28" t="str">
        <x:v>NCT-0206</x:v>
      </x:c>
      <x:c r="B34" s="28" t="str">
        <x:v>кофе</x:v>
      </x:c>
      <x:c r="C34" s="28" t="str">
        <x:v>buffalo mozzarella</x:v>
      </x:c>
      <x:c r="D34" s="28" t="str">
        <x:v>Молочные продукты и сыры</x:v>
      </x:c>
      <x:c r="E34" s="28" t="str">
        <x:v>общие ароматические соединения, жировая экстракция и связывание полифенолов белком</x:v>
      </x:c>
      <x:c r="F34" s="28" t="str">
        <x:v>Кофе имеет профиль «жареный, ореховый, карамельный, цветочный, фруктовый, фенольный и древесный». Партнёр «buffalo mozzarella»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3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34" s="28" t="str">
        <x:v>кофейный напиток, холодный кофе, крем, сироп, десерт или соус с buffalo mozzarella</x:v>
      </x:c>
      <x:c r="J34" s="28" t="str">
        <x:v>Средняя</x:v>
      </x:c>
      <x:c r="K34" s="28" t="str">
        <x:v>The Art &amp; Science of Foodpairing.pdf</x:v>
      </x:c>
      <x:c r="L34" s="28" t="str">
        <x:v>The Art &amp; Science of Foodpairing.pdf: 297</x:v>
      </x:c>
    </x:row>
    <x:row r="35" ht="64" customHeight="1">
      <x:c r="A35" s="28" t="str">
        <x:v>NCT-0207</x:v>
      </x:c>
      <x:c r="B35" s="28" t="str">
        <x:v>кофе</x:v>
      </x:c>
      <x:c r="C35" s="28" t="str">
        <x:v>camembert</x:v>
      </x:c>
      <x:c r="D35" s="28" t="str">
        <x:v>Молочные продукты и сыры</x:v>
      </x:c>
      <x:c r="E35" s="28" t="str">
        <x:v>общие ароматические соединения, жировая экстракция и связывание полифенолов белком</x:v>
      </x:c>
      <x:c r="F35" s="28" t="str">
        <x:v>Кофе имеет профиль «жареный, ореховый, карамельный, цветочный, фруктовый, фенольный и древесный». Партнёр «camembert»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3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35" s="28" t="str">
        <x:v>кофейный напиток, холодный кофе, крем, сироп, десерт или соус с camembert</x:v>
      </x:c>
      <x:c r="J35" s="28" t="str">
        <x:v>Средняя</x:v>
      </x:c>
      <x:c r="K35" s="28" t="str">
        <x:v>The Art &amp; Science of Foodpairing.pdf</x:v>
      </x:c>
      <x:c r="L35" s="28" t="str">
        <x:v>The Art &amp; Science of Foodpairing.pdf: 297</x:v>
      </x:c>
    </x:row>
    <x:row r="36" ht="64" customHeight="1">
      <x:c r="A36" s="28" t="str">
        <x:v>NCT-0208</x:v>
      </x:c>
      <x:c r="B36" s="28" t="str">
        <x:v>кофе</x:v>
      </x:c>
      <x:c r="C36" s="28" t="str">
        <x:v>cottage cheese</x:v>
      </x:c>
      <x:c r="D36" s="28" t="str">
        <x:v>Молочные продукты и сыры</x:v>
      </x:c>
      <x:c r="E36" s="28" t="str">
        <x:v>общие ароматические соединения, жировая экстракция и связывание полифенолов белком</x:v>
      </x:c>
      <x:c r="F36" s="28" t="str">
        <x:v>Кофе имеет профиль «жареный, ореховый, карамельный, цветочный, фруктовый, фенольный и древесный». Партнёр «cottage cheese»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3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36" s="28" t="str">
        <x:v>кофейный напиток, холодный кофе, крем, сироп, десерт или соус с cottage cheese</x:v>
      </x:c>
      <x:c r="J36" s="28" t="str">
        <x:v>Средняя</x:v>
      </x:c>
      <x:c r="K36" s="28" t="str">
        <x:v>The Art &amp; Science of Foodpairing.pdf</x:v>
      </x:c>
      <x:c r="L36" s="28" t="str">
        <x:v>The Art &amp; Science of Foodpairing.pdf: 297</x:v>
      </x:c>
    </x:row>
    <x:row r="37" ht="64" customHeight="1">
      <x:c r="A37" s="28" t="str">
        <x:v>NCT-0209</x:v>
      </x:c>
      <x:c r="B37" s="28" t="str">
        <x:v>кофе</x:v>
      </x:c>
      <x:c r="C37" s="28" t="str">
        <x:v>douchi</x:v>
      </x:c>
      <x:c r="D37" s="28" t="str">
        <x:v>Ферментированные продукты и соусы</x:v>
      </x:c>
      <x:c r="E37" s="28" t="str">
        <x:v>общие ароматические соединения, пересечение ароматических семейств, солёно-умами контраст</x:v>
      </x:c>
      <x:c r="F37" s="28" t="str">
        <x:v>Кофе имеет профиль «жареный, ореховый, карамельный, цветочный, фруктовый, фенольный и древесный». Партнёр «douchi»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пиразины, фураны.</x:v>
      </x:c>
      <x:c r="G3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37" s="28" t="str">
        <x:v>кофейный напиток, холодный кофе, крем, сироп, десерт или соус с douchi</x:v>
      </x:c>
      <x:c r="J37" s="28" t="str">
        <x:v>Средняя</x:v>
      </x:c>
      <x:c r="K37" s="28" t="str">
        <x:v>The Art &amp; Science of Foodpairing.pdf</x:v>
      </x:c>
      <x:c r="L37" s="28" t="str">
        <x:v>The Art &amp; Science of Foodpairing.pdf: 297</x:v>
      </x:c>
    </x:row>
    <x:row r="38" ht="64" customHeight="1">
      <x:c r="A38" s="28" t="str">
        <x:v>NCT-0210</x:v>
      </x:c>
      <x:c r="B38" s="28" t="str">
        <x:v>кофе</x:v>
      </x:c>
      <x:c r="C38" s="28" t="str">
        <x:v>flat-leaf parsley</x:v>
      </x:c>
      <x:c r="D38" s="28" t="str">
        <x:v>Травы, цветы и листья</x:v>
      </x:c>
      <x:c r="E38" s="28" t="str">
        <x:v>пересечение ароматических семейств</x:v>
      </x:c>
      <x:c r="F38" s="28" t="str">
        <x:v>Кофе имеет профиль «жареный, ореховый, карамельный, цветочный, фруктовый, фенольный и древесный». Партнёр «flat-leaf parsley» относится к группе «Травы, цветы и листья» и даёт зелёный, цветочный и терпеновый. Профили пересекаются в семействах: цветочный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3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38" s="28" t="str">
        <x:v>кофейный напиток, холодный кофе, крем, сироп, десерт или соус с flat-leaf parsley</x:v>
      </x:c>
      <x:c r="J38" s="28" t="str">
        <x:v>Средняя</x:v>
      </x:c>
      <x:c r="K38" s="28" t="str">
        <x:v>The Art &amp; Science of Foodpairing.pdf</x:v>
      </x:c>
      <x:c r="L38" s="28" t="str">
        <x:v>The Art &amp; Science of Foodpairing.pdf: 297</x:v>
      </x:c>
    </x:row>
    <x:row r="39" ht="64" customHeight="1">
      <x:c r="A39" s="28" t="str">
        <x:v>NCT-0211</x:v>
      </x:c>
      <x:c r="B39" s="28" t="str">
        <x:v>кофе</x:v>
      </x:c>
      <x:c r="C39" s="28" t="str">
        <x:v>fried chilli paste</x:v>
      </x:c>
      <x:c r="D39" s="28" t="str">
        <x:v>Специи</x:v>
      </x:c>
      <x:c r="E39" s="28" t="str">
        <x:v>сенсорная комплементарность</x:v>
      </x:c>
      <x:c r="F39" s="28" t="str">
        <x:v>Кофе имеет профиль «жареный, ореховый, карамельный, цветочный, фруктовый, фенольный и древесный». Партнёр «fried chilli paste» относится к группе «Специи» и даёт пряный и древесный.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3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3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39" s="28" t="str">
        <x:v>кофейный напиток, холодный кофе, крем, сироп, десерт или соус с fried chilli paste</x:v>
      </x:c>
      <x:c r="J39" s="28" t="str">
        <x:v>Средняя</x:v>
      </x:c>
      <x:c r="K39" s="28" t="str">
        <x:v>The Art &amp; Science of Foodpairing.pdf</x:v>
      </x:c>
      <x:c r="L39" s="28" t="str">
        <x:v>The Art &amp; Science of Foodpairing.pdf: 297</x:v>
      </x:c>
    </x:row>
    <x:row r="40" ht="64" customHeight="1">
      <x:c r="A40" s="28" t="str">
        <x:v>NCT-0212</x:v>
      </x:c>
      <x:c r="B40" s="28" t="str">
        <x:v>кофе</x:v>
      </x:c>
      <x:c r="C40" s="28" t="str">
        <x:v>garlic</x:v>
      </x:c>
      <x:c r="D40" s="28" t="str">
        <x:v>Овощи, бобовые и грибы</x:v>
      </x:c>
      <x:c r="E40" s="28" t="str">
        <x:v>сенсорная комплементарность</x:v>
      </x:c>
      <x:c r="F40" s="28" t="str">
        <x:v>Кофе имеет профиль «жареный, ореховый, карамельный, цветочный, фруктовый, фенольный и древесный». Партнёр «garlic»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0" s="28" t="str">
        <x:v>кофейный напиток, холодный кофе, крем, сироп, десерт или соус с garlic</x:v>
      </x:c>
      <x:c r="J40" s="28" t="str">
        <x:v>Средняя</x:v>
      </x:c>
      <x:c r="K40" s="28" t="str">
        <x:v>The Art &amp; Science of Foodpairing.pdf</x:v>
      </x:c>
      <x:c r="L40" s="28" t="str">
        <x:v>The Art &amp; Science of Foodpairing.pdf: 113</x:v>
      </x:c>
    </x:row>
    <x:row r="41" ht="64" customHeight="1">
      <x:c r="A41" s="28" t="str">
        <x:v>NCT-0213</x:v>
      </x:c>
      <x:c r="B41" s="28" t="str">
        <x:v>кофе</x:v>
      </x:c>
      <x:c r="C41" s="28" t="str">
        <x:v>gorgonzola</x:v>
      </x:c>
      <x:c r="D41" s="28" t="str">
        <x:v>Молочные продукты и сыры</x:v>
      </x:c>
      <x:c r="E41" s="28" t="str">
        <x:v>общие ароматические соединения, жировая экстракция и связывание полифенолов белком</x:v>
      </x:c>
      <x:c r="F41" s="28" t="str">
        <x:v>Кофе имеет профиль «жареный, ореховый, карамельный, цветочный, фруктовый, фенольный и древесный». Партнёр «gorgonzola»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4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41" s="28" t="str">
        <x:v>кофейный напиток, холодный кофе, крем, сироп, десерт или соус с gorgonzola</x:v>
      </x:c>
      <x:c r="J41" s="28" t="str">
        <x:v>Средняя</x:v>
      </x:c>
      <x:c r="K41" s="28" t="str">
        <x:v>The Art &amp; Science of Foodpairing.pdf</x:v>
      </x:c>
      <x:c r="L41" s="28" t="str">
        <x:v>The Art &amp; Science of Foodpairing.pdf: 297</x:v>
      </x:c>
    </x:row>
    <x:row r="42" ht="64" customHeight="1">
      <x:c r="A42" s="28" t="str">
        <x:v>NCT-0214</x:v>
      </x:c>
      <x:c r="B42" s="28" t="str">
        <x:v>кофе</x:v>
      </x:c>
      <x:c r="C42" s="28" t="str">
        <x:v>grilled turbot</x:v>
      </x:c>
      <x:c r="D42" s="28" t="str">
        <x:v>Рыба и морепродукты</x:v>
      </x:c>
      <x:c r="E42" s="28" t="str">
        <x:v>солёно-умами контраст</x:v>
      </x:c>
      <x:c r="F42" s="28" t="str">
        <x:v>Кофе имеет профиль «жареный, ореховый, карамельный, цветочный, фруктовый, фенольный и древесный». Партнёр «grilled turbot»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42" s="28" t="str">
        <x:v>кофейный напиток, холодный кофе, крем, сироп, десерт или соус с grilled turbot</x:v>
      </x:c>
      <x:c r="J42" s="28" t="str">
        <x:v>Средняя</x:v>
      </x:c>
      <x:c r="K42" s="28" t="str">
        <x:v>The Art &amp; Science of Foodpairing.pdf</x:v>
      </x:c>
      <x:c r="L42" s="28" t="str">
        <x:v>The Art &amp; Science of Foodpairing.pdf: 297</x:v>
      </x:c>
    </x:row>
    <x:row r="43" ht="64" customHeight="1">
      <x:c r="A43" s="28" t="str">
        <x:v>NCT-0215</x:v>
      </x:c>
      <x:c r="B43" s="28" t="str">
        <x:v>кофе</x:v>
      </x:c>
      <x:c r="C43" s="28" t="str">
        <x:v>isot pepper (urfa chilli flakes)</x:v>
      </x:c>
      <x:c r="D43" s="28" t="str">
        <x:v>Специи</x:v>
      </x:c>
      <x:c r="E43" s="28" t="str">
        <x:v>сенсорная комплементарность</x:v>
      </x:c>
      <x:c r="F43" s="28" t="str">
        <x:v>Кофе имеет профиль «жареный, ореховый, карамельный, цветочный, фруктовый, фенольный и древесный». Партнёр «isot pepper (urfa chilli flakes)» относится к группе «Специи» и даёт пряный и древесный.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3" s="28" t="str">
        <x:v>кофейный напиток, холодный кофе, крем, сироп, десерт или соус с isot pepper (urfa chilli flakes)</x:v>
      </x:c>
      <x:c r="J43" s="28" t="str">
        <x:v>Средняя</x:v>
      </x:c>
      <x:c r="K43" s="28" t="str">
        <x:v>The Art &amp; Science of Foodpairing.pdf</x:v>
      </x:c>
      <x:c r="L43" s="28" t="str">
        <x:v>The Art &amp; Science of Foodpairing.pdf: 297</x:v>
      </x:c>
    </x:row>
    <x:row r="44" ht="64" customHeight="1">
      <x:c r="A44" s="28" t="str">
        <x:v>NCT-0216</x:v>
      </x:c>
      <x:c r="B44" s="28" t="str">
        <x:v>кофе</x:v>
      </x:c>
      <x:c r="C44" s="28" t="str">
        <x:v>korean fish sauce</x:v>
      </x:c>
      <x:c r="D44" s="28" t="str">
        <x:v>Рыба и морепродукты</x:v>
      </x:c>
      <x:c r="E44" s="28" t="str">
        <x:v>солёно-умами контраст</x:v>
      </x:c>
      <x:c r="F44" s="28" t="str">
        <x:v>Кофе имеет профиль «жареный, ореховый, карамельный, цветочный, фруктовый, фенольный и древесный». Партнёр «korean fish sauce»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44" s="28" t="str">
        <x:v>кофейный напиток, холодный кофе, крем, сироп, десерт или соус с korean fish sauce</x:v>
      </x:c>
      <x:c r="J44" s="28" t="str">
        <x:v>Средняя</x:v>
      </x:c>
      <x:c r="K44" s="28" t="str">
        <x:v>The Art &amp; Science of Foodpairing.pdf</x:v>
      </x:c>
      <x:c r="L44" s="28" t="str">
        <x:v>The Art &amp; Science of Foodpairing.pdf: 297</x:v>
      </x:c>
    </x:row>
    <x:row r="45" ht="64" customHeight="1">
      <x:c r="A45" s="28" t="str">
        <x:v>NCT-0217</x:v>
      </x:c>
      <x:c r="B45" s="28" t="str">
        <x:v>кофе</x:v>
      </x:c>
      <x:c r="C45" s="28" t="str">
        <x:v>lberico ham (jam6n 100% lberico</x:v>
      </x:c>
      <x:c r="D45" s="28" t="str">
        <x:v>Мясо и птица</x:v>
      </x:c>
      <x:c r="E45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5" s="28" t="str">
        <x:v>Кофе имеет профиль «жареный, ореховый, карамельный, цветочный, фруктовый, фенольный и древесный». Партнёр «lberico ham (jam6n 100% lberico»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4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5" s="28" t="str">
        <x:v>кофейный напиток, холодный кофе, крем, сироп, десерт или соус с lberico ham (jam6n 100% lberico</x:v>
      </x:c>
      <x:c r="J45" s="28" t="str">
        <x:v>Средняя</x:v>
      </x:c>
      <x:c r="K45" s="28" t="str">
        <x:v>The Art &amp; Science of Foodpairing.pdf</x:v>
      </x:c>
      <x:c r="L45" s="28" t="str">
        <x:v>The Art &amp; Science of Foodpairing.pdf: 297</x:v>
      </x:c>
    </x:row>
    <x:row r="46" ht="64" customHeight="1">
      <x:c r="A46" s="28" t="str">
        <x:v>NCT-0218</x:v>
      </x:c>
      <x:c r="B46" s="28" t="str">
        <x:v>кофе</x:v>
      </x:c>
      <x:c r="C46" s="28" t="str">
        <x:v>lobster</x:v>
      </x:c>
      <x:c r="D46" s="28" t="str">
        <x:v>Рыба и морепродукты</x:v>
      </x:c>
      <x:c r="E46" s="28" t="str">
        <x:v>солёно-умами контраст</x:v>
      </x:c>
      <x:c r="F46" s="28" t="str">
        <x:v>Кофе имеет профиль «жареный, ореховый, карамельный, цветочный, фруктовый, фенольный и древесный». Партнёр «lobster»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46" s="28" t="str">
        <x:v>кофейный напиток, холодный кофе, крем, сироп, десерт или соус с lobster</x:v>
      </x:c>
      <x:c r="J46" s="28" t="str">
        <x:v>Высокая</x:v>
      </x:c>
      <x:c r="K46" s="28" t="str">
        <x:v>The Art &amp; Science of Foodpairing.pdf</x:v>
      </x:c>
      <x:c r="L46" s="28" t="str">
        <x:v>The Art &amp; Science of Foodpairing.pdf: 296</x:v>
      </x:c>
    </x:row>
    <x:row r="47" ht="64" customHeight="1">
      <x:c r="A47" s="28" t="str">
        <x:v>NCT-0219</x:v>
      </x:c>
      <x:c r="B47" s="28" t="str">
        <x:v>кофе</x:v>
      </x:c>
      <x:c r="C47" s="28" t="str">
        <x:v>pan-fried duck breast</x:v>
      </x:c>
      <x:c r="D47" s="28" t="str">
        <x:v>Мясо и птица</x:v>
      </x:c>
      <x:c r="E47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7" s="28" t="str">
        <x:v>Кофе имеет профиль «жареный, ореховый, карамельный, цветочный, фруктовый, фенольный и древесный». Партнёр «pan-fried duck breast»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4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7" s="28" t="str">
        <x:v>кофейный напиток, холодный кофе, крем, сироп, десерт или соус с pan-fried duck breast</x:v>
      </x:c>
      <x:c r="J47" s="28" t="str">
        <x:v>Средняя</x:v>
      </x:c>
      <x:c r="K47" s="28" t="str">
        <x:v>The Art &amp; Science of Foodpairing.pdf</x:v>
      </x:c>
      <x:c r="L47" s="28" t="str">
        <x:v>The Art &amp; Science of Foodpairing.pdf: 297</x:v>
      </x:c>
    </x:row>
    <x:row r="48" ht="64" customHeight="1">
      <x:c r="A48" s="28" t="str">
        <x:v>NCT-0220</x:v>
      </x:c>
      <x:c r="B48" s="28" t="str">
        <x:v>кофе</x:v>
      </x:c>
      <x:c r="C48" s="28" t="str">
        <x:v>pan-fried quail</x:v>
      </x:c>
      <x:c r="D48" s="28" t="str">
        <x:v>Мясо и птица</x:v>
      </x:c>
      <x:c r="E4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8" s="28" t="str">
        <x:v>Кофе имеет профиль «жареный, ореховый, карамельный, цветочный, фруктовый, фенольный и древесный». Партнёр «pan-fried quail»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4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8" s="28" t="str">
        <x:v>кофейный напиток, холодный кофе, крем, сироп, десерт или соус с pan-fried quail</x:v>
      </x:c>
      <x:c r="J48" s="28" t="str">
        <x:v>Средняя</x:v>
      </x:c>
      <x:c r="K48" s="28" t="str">
        <x:v>The Art &amp; Science of Foodpairing.pdf</x:v>
      </x:c>
      <x:c r="L48" s="28" t="str">
        <x:v>The Art &amp; Science of Foodpairing.pdf: 297</x:v>
      </x:c>
    </x:row>
    <x:row r="49" ht="64" customHeight="1">
      <x:c r="A49" s="28" t="str">
        <x:v>NCT-0221</x:v>
      </x:c>
      <x:c r="B49" s="28" t="str">
        <x:v>кофе</x:v>
      </x:c>
      <x:c r="C49" s="28" t="str">
        <x:v>parmesan-style cheese</x:v>
      </x:c>
      <x:c r="D49" s="28" t="str">
        <x:v>Молочные продукты и сыры</x:v>
      </x:c>
      <x:c r="E49" s="28" t="str">
        <x:v>общие ароматические соединения, жировая экстракция и связывание полифенолов белком</x:v>
      </x:c>
      <x:c r="F49" s="28" t="str">
        <x:v>Кофе имеет профиль «жареный, ореховый, карамельный, цветочный, фруктовый, фенольный и древесный». Партнёр «parmesan-style cheese»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4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49" s="28" t="str">
        <x:v>кофейный напиток, холодный кофе, крем, сироп, десерт или соус с parmesan-style cheese</x:v>
      </x:c>
      <x:c r="J49" s="28" t="str">
        <x:v>Средняя</x:v>
      </x:c>
      <x:c r="K49" s="28" t="str">
        <x:v>The Art &amp; Science of Foodpairing.pdf</x:v>
      </x:c>
      <x:c r="L49" s="28" t="str">
        <x:v>The Art &amp; Science of Foodpairing.pdf: 297</x:v>
      </x:c>
    </x:row>
    <x:row r="50" ht="64" customHeight="1">
      <x:c r="A50" s="28" t="str">
        <x:v>NCT-0222</x:v>
      </x:c>
      <x:c r="B50" s="28" t="str">
        <x:v>кофе</x:v>
      </x:c>
      <x:c r="C50" s="28" t="str">
        <x:v>peppercorns</x:v>
      </x:c>
      <x:c r="D50" s="28" t="str">
        <x:v>Специи</x:v>
      </x:c>
      <x:c r="E50" s="28" t="str">
        <x:v>сенсорная комплементарность</x:v>
      </x:c>
      <x:c r="F50" s="28" t="str">
        <x:v>Кофе имеет профиль «жареный, ореховый, карамельный, цветочный, фруктовый, фенольный и древесный». Партнёр «peppercorns» относится к группе «Специи» и даёт пряный и древесный.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0" s="28" t="str">
        <x:v>кофейный напиток, холодный кофе, крем, сироп, десерт или соус с peppercorns</x:v>
      </x:c>
      <x:c r="J50" s="28" t="str">
        <x:v>Средняя</x:v>
      </x:c>
      <x:c r="K50" s="28" t="str">
        <x:v>The Art &amp; Science of Foodpairing.pdf</x:v>
      </x:c>
      <x:c r="L50" s="28" t="str">
        <x:v>The Art &amp; Science of Foodpairing.pdf: 274</x:v>
      </x:c>
    </x:row>
    <x:row r="51" ht="64" customHeight="1">
      <x:c r="A51" s="28" t="str">
        <x:v>NCT-0223</x:v>
      </x:c>
      <x:c r="B51" s="28" t="str">
        <x:v>кофе</x:v>
      </x:c>
      <x:c r="C51" s="28" t="str">
        <x:v>poached grey mullet</x:v>
      </x:c>
      <x:c r="D51" s="28" t="str">
        <x:v>Рыба и морепродукты</x:v>
      </x:c>
      <x:c r="E51" s="28" t="str">
        <x:v>солёно-умами контраст</x:v>
      </x:c>
      <x:c r="F51" s="28" t="str">
        <x:v>Кофе имеет профиль «жареный, ореховый, карамельный, цветочный, фруктовый, фенольный и древесный». Партнёр «poached grey mullet»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51" s="28" t="str">
        <x:v>кофейный напиток, холодный кофе, крем, сироп, десерт или соус с poached grey mullet</x:v>
      </x:c>
      <x:c r="J51" s="28" t="str">
        <x:v>Средняя</x:v>
      </x:c>
      <x:c r="K51" s="28" t="str">
        <x:v>The Art &amp; Science of Foodpairing.pdf</x:v>
      </x:c>
      <x:c r="L51" s="28" t="str">
        <x:v>The Art &amp; Science of Foodpairing.pdf: 297</x:v>
      </x:c>
    </x:row>
    <x:row r="52" ht="64" customHeight="1">
      <x:c r="A52" s="28" t="str">
        <x:v>NCT-0224</x:v>
      </x:c>
      <x:c r="B52" s="28" t="str">
        <x:v>кофе</x:v>
      </x:c>
      <x:c r="C52" s="28" t="str">
        <x:v>rainbow trout</x:v>
      </x:c>
      <x:c r="D52" s="28" t="str">
        <x:v>Рыба и морепродукты</x:v>
      </x:c>
      <x:c r="E52" s="28" t="str">
        <x:v>солёно-умами контраст</x:v>
      </x:c>
      <x:c r="F52" s="28" t="str">
        <x:v>Кофе имеет профиль «жареный, ореховый, карамельный, цветочный, фруктовый, фенольный и древесный». Партнёр «rainbow trout»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52" s="28" t="str">
        <x:v>кофейный напиток, холодный кофе, крем, сироп, десерт или соус с rainbow trout</x:v>
      </x:c>
      <x:c r="J52" s="28" t="str">
        <x:v>Средняя</x:v>
      </x:c>
      <x:c r="K52" s="28" t="str">
        <x:v>The Art &amp; Science of Foodpairing.pdf</x:v>
      </x:c>
      <x:c r="L52" s="28" t="str">
        <x:v>The Art &amp; Science of Foodpairing.pdf: 297</x:v>
      </x:c>
    </x:row>
    <x:row r="53" ht="64" customHeight="1">
      <x:c r="A53" s="28" t="str">
        <x:v>NCT-0225</x:v>
      </x:c>
      <x:c r="B53" s="28" t="str">
        <x:v>кофе</x:v>
      </x:c>
      <x:c r="C53" s="28" t="str">
        <x:v>rapeseed oil</x:v>
      </x:c>
      <x:c r="D53" s="28" t="str">
        <x:v>Масла и жиры</x:v>
      </x:c>
      <x:c r="E53" s="28" t="str">
        <x:v>сенсорная комплементарность</x:v>
      </x:c>
      <x:c r="F53" s="28" t="str">
        <x:v>Кофе имеет профиль «жареный, ореховый, карамельный, цветочный, фруктовый, фенольный и древесный». Партнёр «rapeseed oil» относится к группе «Масла и жиры» и даёт жирный и мягкий.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3" s="28" t="str">
        <x:v>кофейный напиток, холодный кофе, крем, сироп, десерт или соус с rapeseed oil</x:v>
      </x:c>
      <x:c r="J53" s="28" t="str">
        <x:v>Средняя</x:v>
      </x:c>
      <x:c r="K53" s="28" t="str">
        <x:v>The Art &amp; Science of Foodpairing.pdf</x:v>
      </x:c>
      <x:c r="L53" s="28" t="str">
        <x:v>The Art &amp; Science of Foodpairing.pdf: 297</x:v>
      </x:c>
    </x:row>
    <x:row r="54" ht="64" customHeight="1">
      <x:c r="A54" s="28" t="str">
        <x:v>NCT-0226</x:v>
      </x:c>
      <x:c r="B54" s="28" t="str">
        <x:v>кофе</x:v>
      </x:c>
      <x:c r="C54" s="28" t="str">
        <x:v>red bell pepper and paprika</x:v>
      </x:c>
      <x:c r="D54" s="28" t="str">
        <x:v>Специи</x:v>
      </x:c>
      <x:c r="E54" s="28" t="str">
        <x:v>сенсорная комплементарность</x:v>
      </x:c>
      <x:c r="F54" s="28" t="str">
        <x:v>Кофе имеет профиль «жареный, ореховый, карамельный, цветочный, фруктовый, фенольный и древесный». Партнёр «red bell pepper and paprika» относится к группе «Специи» и даёт пряный и древесный.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4" s="28" t="str">
        <x:v>кофейный напиток, холодный кофе, крем, сироп, десерт или соус с red bell pepper and paprika</x:v>
      </x:c>
      <x:c r="J54" s="28" t="str">
        <x:v>Средняя</x:v>
      </x:c>
      <x:c r="K54" s="28" t="str">
        <x:v>The Art &amp; Science of Foodpairing.pdf</x:v>
      </x:c>
      <x:c r="L54" s="28" t="str">
        <x:v>The Art &amp; Science of Foodpairing.pdf: 108</x:v>
      </x:c>
    </x:row>
    <x:row r="55" ht="64" customHeight="1">
      <x:c r="A55" s="28" t="str">
        <x:v>NCT-0227</x:v>
      </x:c>
      <x:c r="B55" s="28" t="str">
        <x:v>кофе</x:v>
      </x:c>
      <x:c r="C55" s="28" t="str">
        <x:v>roasted veal sweetbreads</x:v>
      </x:c>
      <x:c r="D55" s="28" t="str">
        <x:v>Мясо и птица</x:v>
      </x:c>
      <x:c r="E55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5" s="28" t="str">
        <x:v>Кофе имеет профиль «жареный, ореховый, карамельный, цветочный, фруктовый, фенольный и древесный». Партнёр «roasted veal sweetbreads»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5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5" s="28" t="str">
        <x:v>кофейный напиток, холодный кофе, крем, сироп, десерт или соус с roasted veal sweetbreads</x:v>
      </x:c>
      <x:c r="J55" s="28" t="str">
        <x:v>Средняя</x:v>
      </x:c>
      <x:c r="K55" s="28" t="str">
        <x:v>The Art &amp; Science of Foodpairing.pdf</x:v>
      </x:c>
      <x:c r="L55" s="28" t="str">
        <x:v>The Art &amp; Science of Foodpairing.pdf: 297</x:v>
      </x:c>
    </x:row>
    <x:row r="56" ht="64" customHeight="1">
      <x:c r="A56" s="28" t="str">
        <x:v>NCT-0228</x:v>
      </x:c>
      <x:c r="B56" s="28" t="str">
        <x:v>кофе</x:v>
      </x:c>
      <x:c r="C56" s="28" t="str">
        <x:v>roastedarabica coffeebean</x:v>
      </x:c>
      <x:c r="D56" s="28" t="str">
        <x:v>Кофе</x:v>
      </x:c>
      <x:c r="E56" s="28" t="str">
        <x:v>общие ароматические соединения, пересечение ароматических семейств, жареная химия и реакции Майяра</x:v>
      </x:c>
      <x:c r="F56" s="28" t="str">
        <x:v>Кофе имеет профиль «жареный, ореховый, карамельный, цветочный, фруктовый, фенольный и древесный». Партнёр «roastedarabica coffeebean» относится к группе «Кофе» и даёт жареный, ореховый и карамельный. Молекулярный мост создают гваякол, пиразины, фураны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жареный, карамельный, ореховый; гваякол, пиразины, фураны.</x:v>
      </x:c>
      <x:c r="G5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6" s="28" t="str">
        <x:v>кофейный напиток, холодный кофе, крем, сироп, десерт или соус с roastedarabica coffeebean</x:v>
      </x:c>
      <x:c r="J56" s="28" t="str">
        <x:v>Средняя</x:v>
      </x:c>
      <x:c r="K56" s="28" t="str">
        <x:v>The Art &amp; Science of Foodpairing.pdf</x:v>
      </x:c>
      <x:c r="L56" s="28" t="str">
        <x:v>The Art &amp; Science of Foodpairing.pdf: 297</x:v>
      </x:c>
    </x:row>
    <x:row r="57" ht="64" customHeight="1">
      <x:c r="A57" s="28" t="str">
        <x:v>NCT-0229</x:v>
      </x:c>
      <x:c r="B57" s="28" t="str">
        <x:v>кофе</x:v>
      </x:c>
      <x:c r="C57" s="28" t="str">
        <x:v>rocoto chilli</x:v>
      </x:c>
      <x:c r="D57" s="28" t="str">
        <x:v>Специи</x:v>
      </x:c>
      <x:c r="E57" s="28" t="str">
        <x:v>сенсорная комплементарность</x:v>
      </x:c>
      <x:c r="F57" s="28" t="str">
        <x:v>Кофе имеет профиль «жареный, ореховый, карамельный, цветочный, фруктовый, фенольный и древесный». Партнёр «rocoto chilli» относится к группе «Специи» и даёт пряный и древесный.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7" s="28" t="str">
        <x:v>кофейный напиток, холодный кофе, крем, сироп, десерт или соус с rocoto chilli</x:v>
      </x:c>
      <x:c r="J57" s="28" t="str">
        <x:v>Средняя</x:v>
      </x:c>
      <x:c r="K57" s="28" t="str">
        <x:v>The Art &amp; Science of Foodpairing.pdf</x:v>
      </x:c>
      <x:c r="L57" s="28" t="str">
        <x:v>The Art &amp; Science of Foodpairing.pdf: 297</x:v>
      </x:c>
    </x:row>
    <x:row r="58" ht="64" customHeight="1">
      <x:c r="A58" s="28" t="str">
        <x:v>NCT-0230</x:v>
      </x:c>
      <x:c r="B58" s="28" t="str">
        <x:v>кофе</x:v>
      </x:c>
      <x:c r="C58" s="28" t="str">
        <x:v>sheep's milk yogurt</x:v>
      </x:c>
      <x:c r="D58" s="28" t="str">
        <x:v>Молочные продукты и сыры</x:v>
      </x:c>
      <x:c r="E58" s="28" t="str">
        <x:v>общие ароматические соединения, жировая экстракция и связывание полифенолов белком</x:v>
      </x:c>
      <x:c r="F58" s="28" t="str">
        <x:v>Кофе имеет профиль «жареный, ореховый, карамельный, цветочный, фруктовый, фенольный и древесный». Партнёр «sheep's milk yogurt»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5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58" s="28" t="str">
        <x:v>кофейный напиток, холодный кофе, крем, сироп, десерт или соус с sheep's milk yogurt</x:v>
      </x:c>
      <x:c r="J58" s="28" t="str">
        <x:v>Средняя</x:v>
      </x:c>
      <x:c r="K58" s="28" t="str">
        <x:v>The Art &amp; Science of Foodpairing.pdf</x:v>
      </x:c>
      <x:c r="L58" s="28" t="str">
        <x:v>The Art &amp; Science of Foodpairing.pdf: 297</x:v>
      </x:c>
    </x:row>
    <x:row r="59" ht="64" customHeight="1">
      <x:c r="A59" s="28" t="str">
        <x:v>NCT-0231</x:v>
      </x:c>
      <x:c r="B59" s="28" t="str">
        <x:v>кофе</x:v>
      </x:c>
      <x:c r="C59" s="28" t="str">
        <x:v>smoked atlantic salmon</x:v>
      </x:c>
      <x:c r="D59" s="28" t="str">
        <x:v>Рыба и морепродукты</x:v>
      </x:c>
      <x:c r="E59" s="28" t="str">
        <x:v>солёно-умами контраст</x:v>
      </x:c>
      <x:c r="F59" s="28" t="str">
        <x:v>Кофе имеет профиль «жареный, ореховый, карамельный, цветочный, фруктовый, фенольный и древесный». Партнёр «smoked atlantic salmon»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59" s="28" t="str">
        <x:v>кофейный напиток, холодный кофе, крем, сироп, десерт или соус с smoked atlantic salmon</x:v>
      </x:c>
      <x:c r="J59" s="28" t="str">
        <x:v>Средняя</x:v>
      </x:c>
      <x:c r="K59" s="28" t="str">
        <x:v>The Art &amp; Science of Foodpairing.pdf</x:v>
      </x:c>
      <x:c r="L59" s="28" t="str">
        <x:v>The Art &amp; Science of Foodpairing.pdf: 297</x:v>
      </x:c>
    </x:row>
    <x:row r="60" ht="64" customHeight="1">
      <x:c r="A60" s="28" t="str">
        <x:v>NCT-0232</x:v>
      </x:c>
      <x:c r="B60" s="28" t="str">
        <x:v>кофе</x:v>
      </x:c>
      <x:c r="C60" s="28" t="str">
        <x:v>sprouted chickpea</x:v>
      </x:c>
      <x:c r="D60" s="28" t="str">
        <x:v>Овощи, бобовые и грибы</x:v>
      </x:c>
      <x:c r="E60" s="28" t="str">
        <x:v>сенсорная комплементарность</x:v>
      </x:c>
      <x:c r="F60" s="28" t="str">
        <x:v>Кофе имеет профиль «жареный, ореховый, карамельный, цветочный, фруктовый, фенольный и древесный». Партнёр «sprouted chickpea»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0" s="28" t="str">
        <x:v>кофейный напиток, холодный кофе, крем, сироп, десерт или соус с sprouted chickpea</x:v>
      </x:c>
      <x:c r="J60" s="28" t="str">
        <x:v>Средняя</x:v>
      </x:c>
      <x:c r="K60" s="28" t="str">
        <x:v>The Art &amp; Science of Foodpairing.pdf</x:v>
      </x:c>
      <x:c r="L60" s="28" t="str">
        <x:v>The Art &amp; Science of Foodpairing.pdf: 297</x:v>
      </x:c>
    </x:row>
    <x:row r="61" ht="64" customHeight="1">
      <x:c r="A61" s="28" t="str">
        <x:v>NCT-0233</x:v>
      </x:c>
      <x:c r="B61" s="28" t="str">
        <x:v>кофе</x:v>
      </x:c>
      <x:c r="C61" s="28" t="str">
        <x:v>stewed pork gravy</x:v>
      </x:c>
      <x:c r="D61" s="28" t="str">
        <x:v>Мясо и птица</x:v>
      </x:c>
      <x:c r="E61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61" s="28" t="str">
        <x:v>Кофе имеет профиль «жареный, ореховый, карамельный, цветочный, фруктовый, фенольный и древесный». Партнёр «stewed pork gravy»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6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1" s="28" t="str">
        <x:v>кофейный напиток, холодный кофе, крем, сироп, десерт или соус с stewed pork gravy</x:v>
      </x:c>
      <x:c r="J61" s="28" t="str">
        <x:v>Средняя</x:v>
      </x:c>
      <x:c r="K61" s="28" t="str">
        <x:v>The Art &amp; Science of Foodpairing.pdf</x:v>
      </x:c>
      <x:c r="L61" s="28" t="str">
        <x:v>The Art &amp; Science of Foodpairing.pdf: 297</x:v>
      </x:c>
    </x:row>
    <x:row r="62" ht="64" customHeight="1">
      <x:c r="A62" s="28" t="str">
        <x:v>NCT-0234</x:v>
      </x:c>
      <x:c r="B62" s="28" t="str">
        <x:v>кофе</x:v>
      </x:c>
      <x:c r="C62" s="28" t="str">
        <x:v>strawberry jam</x:v>
      </x:c>
      <x:c r="D62" s="28" t="str">
        <x:v>Выпечка, сахара и десерты</x:v>
      </x:c>
      <x:c r="E62" s="28" t="str">
        <x:v>общие ароматические соединения, пересечение ароматических семейств, жареная химия и реакции Майяра</x:v>
      </x:c>
      <x:c r="F62" s="28" t="str">
        <x:v>Кофе имеет профиль «жареный, ореховый, карамельный, цветочный, фруктовый, фенольный и древесный». Партнёр «strawberry jam»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жареный, карамельный; пиразины, фураны.</x:v>
      </x:c>
      <x:c r="G6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2" s="28" t="str">
        <x:v>кофейный напиток, холодный кофе, крем, сироп, десерт или соус с strawberry jam</x:v>
      </x:c>
      <x:c r="J62" s="28" t="str">
        <x:v>Средняя</x:v>
      </x:c>
      <x:c r="K62" s="28" t="str">
        <x:v>The Art &amp; Science of Foodpairing.pdf</x:v>
      </x:c>
      <x:c r="L62" s="28" t="str">
        <x:v>The Art &amp; Science of Foodpairing.pdf: 297</x:v>
      </x:c>
    </x:row>
    <x:row r="63" ht="64" customHeight="1">
      <x:c r="A63" s="28" t="str">
        <x:v>NCT-0235</x:v>
      </x:c>
      <x:c r="B63" s="28" t="str">
        <x:v>кофе</x:v>
      </x:c>
      <x:c r="C63" s="28" t="str">
        <x:v>sweet potato</x:v>
      </x:c>
      <x:c r="D63" s="28" t="str">
        <x:v>Овощи, бобовые и грибы</x:v>
      </x:c>
      <x:c r="E63" s="28" t="str">
        <x:v>сенсорная комплементарность</x:v>
      </x:c>
      <x:c r="F63" s="28" t="str">
        <x:v>Кофе имеет профиль «жареный, ореховый, карамельный, цветочный, фруктовый, фенольный и древесный». Партнёр «sweet potato»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3" s="28" t="str">
        <x:v>кофейный напиток, холодный кофе, крем, сироп, десерт или соус с sweet potato</x:v>
      </x:c>
      <x:c r="J63" s="28" t="str">
        <x:v>Средняя</x:v>
      </x:c>
      <x:c r="K63" s="28" t="str">
        <x:v>The Art &amp; Science of Foodpairing.pdf</x:v>
      </x:c>
      <x:c r="L63" s="28" t="str">
        <x:v>The Art &amp; Science of Foodpairing.pdf: 119</x:v>
      </x:c>
    </x:row>
    <x:row r="64" ht="64" customHeight="1">
      <x:c r="A64" s="28" t="str">
        <x:v>NCT-0236</x:v>
      </x:c>
      <x:c r="B64" s="28" t="str">
        <x:v>кофе</x:v>
      </x:c>
      <x:c r="C64" s="28" t="str">
        <x:v>white toastingbread</x:v>
      </x:c>
      <x:c r="D64" s="28" t="str">
        <x:v>Выпечка, сахара и десерты</x:v>
      </x:c>
      <x:c r="E64" s="28" t="str">
        <x:v>общие ароматические соединения, пересечение ароматических семейств, жареная химия и реакции Майяра</x:v>
      </x:c>
      <x:c r="F64" s="28" t="str">
        <x:v>Кофе имеет профиль «жареный, ореховый, карамельный, цветочный, фруктовый, фенольный и древесный». Партнёр «white toastingbread»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жареный, карамельный; пиразины, фураны.</x:v>
      </x:c>
      <x:c r="G6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4" s="28" t="str">
        <x:v>кофейный напиток, холодный кофе, крем, сироп, десерт или соус с white toastingbread</x:v>
      </x:c>
      <x:c r="J64" s="28" t="str">
        <x:v>Средняя</x:v>
      </x:c>
      <x:c r="K64" s="28" t="str">
        <x:v>The Art &amp; Science of Foodpairing.pdf</x:v>
      </x:c>
      <x:c r="L64" s="28" t="str">
        <x:v>The Art &amp; Science of Foodpairing.pdf: 297</x:v>
      </x:c>
    </x:row>
    <x:row r="65" ht="64" customHeight="1">
      <x:c r="A65" s="28" t="str">
        <x:v>NCT-0237</x:v>
      </x:c>
      <x:c r="B65" s="28" t="str">
        <x:v>кофе</x:v>
      </x:c>
      <x:c r="C65" s="28" t="str">
        <x:v>абрикос</x:v>
      </x:c>
      <x:c r="D65" s="28" t="str">
        <x:v>Фрукты и ягоды</x:v>
      </x:c>
      <x:c r="E65" s="28" t="str">
        <x:v>контраст кислоты и жирной/горькой матрицы</x:v>
      </x:c>
      <x:c r="F65" s="28" t="str">
        <x:v>Кофе имеет профиль «жареный, ореховый, карамельный, цветочный, фруктовый, фенольный и древесный». Партнёр «абрикос» относится к группе «Фрукты и ягоды» и даёт лактонный, миндальный, фруктовый.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65" s="28" t="str">
        <x:v>кофейный напиток, холодный кофе, крем, сироп, десерт или соус с абрикос</x:v>
      </x:c>
      <x:c r="J65" s="28" t="str">
        <x:v>Гипотеза / практическая</x:v>
      </x:c>
      <x:c r="K65" s="28" t="str">
        <x:v>Таблица сочетания(1).pdf</x:v>
      </x:c>
      <x:c r="L65" s="28" t="str">
        <x:v>Таблица сочетания(1).pdf: 6</x:v>
      </x:c>
    </x:row>
    <x:row r="66" ht="64" customHeight="1">
      <x:c r="A66" s="28" t="str">
        <x:v>NCT-0238</x:v>
      </x:c>
      <x:c r="B66" s="28" t="str">
        <x:v>кофе</x:v>
      </x:c>
      <x:c r="C66" s="28" t="str">
        <x:v>авокадо</x:v>
      </x:c>
      <x:c r="D66" s="28" t="str">
        <x:v>Прочее</x:v>
      </x:c>
      <x:c r="E66" s="28" t="str">
        <x:v>сенсорная комплементарность</x:v>
      </x:c>
      <x:c r="F66" s="28" t="str">
        <x:v>Кофе имеет профиль «жареный, ореховый, карамельный, цветочный, фруктовый, фенольный и древесный». Партнёр «авокадо»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6" s="28" t="str">
        <x:v>кофейный напиток, холодный кофе, крем, сироп, десерт или соус с авокадо</x:v>
      </x:c>
      <x:c r="J66" s="28" t="str">
        <x:v>Средняя</x:v>
      </x:c>
      <x:c r="K66" s="28" t="str">
        <x:v>Тезариус вкусов (Ники Сегнит)(1).pdf</x:v>
      </x:c>
      <x:c r="L66" s="28" t="str">
        <x:v>Тезариус вкусов (Ники Сегнит)(1).pdf: 42, 527</x:v>
      </x:c>
    </x:row>
    <x:row r="67" ht="64" customHeight="1">
      <x:c r="A67" s="28" t="str">
        <x:v>NCT-0239</x:v>
      </x:c>
      <x:c r="B67" s="28" t="str">
        <x:v>кофе</x:v>
      </x:c>
      <x:c r="C67" s="28" t="str">
        <x:v>агава</x:v>
      </x:c>
      <x:c r="D67" s="28" t="str">
        <x:v>Прочее</x:v>
      </x:c>
      <x:c r="E67" s="28" t="str">
        <x:v>сенсорная комплементарность</x:v>
      </x:c>
      <x:c r="F67" s="28" t="str">
        <x:v>Кофе имеет профиль «жареный, ореховый, карамельный, цветочный, фруктовый, фенольный и древесный». Партнёр «агава»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7" s="28" t="str">
        <x:v>кофейный напиток, холодный кофе, крем, сироп, десерт или соус с агава</x:v>
      </x:c>
      <x:c r="J67" s="28" t="str">
        <x:v>Гипотеза / практическая</x:v>
      </x:c>
      <x:c r="K67" s="28" t="str">
        <x:v>Таблица сочетания(1).pdf</x:v>
      </x:c>
      <x:c r="L67" s="28" t="str">
        <x:v>Таблица сочетания(1).pdf: 1</x:v>
      </x:c>
    </x:row>
    <x:row r="68" ht="64" customHeight="1">
      <x:c r="A68" s="28" t="str">
        <x:v>NCT-0240</x:v>
      </x:c>
      <x:c r="B68" s="28" t="str">
        <x:v>кофе</x:v>
      </x:c>
      <x:c r="C68" s="28" t="str">
        <x:v>акациевый мёд</x:v>
      </x:c>
      <x:c r="D68" s="28" t="str">
        <x:v>Выпечка, сахара и десерты</x:v>
      </x:c>
      <x:c r="E68" s="28" t="str">
        <x:v>пересечение ароматических семейств, жареная химия и реакции Майяра</x:v>
      </x:c>
      <x:c r="F68" s="28" t="str">
        <x:v>Кофе имеет профиль «жареный, ореховый, карамельный, цветочный, фруктовый, фенольный и древесный». Партнёр «акациевый мёд» относится к группе «Выпечка, сахара и десерты» и даёт медовый, цветочный. Профили пересекаются в семействах: цветочный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6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8" s="28" t="str">
        <x:v>кофейный напиток, холодный кофе, крем, сироп, десерт или соус с акациевый мёд</x:v>
      </x:c>
      <x:c r="J68" s="28" t="str">
        <x:v>Высокая</x:v>
      </x:c>
      <x:c r="K68" s="28" t="str">
        <x:v>The Art &amp; Science of Foodpairing.pdf</x:v>
      </x:c>
      <x:c r="L68" s="28" t="str">
        <x:v>The Art &amp; Science of Foodpairing.pdf: 297</x:v>
      </x:c>
    </x:row>
    <x:row r="69" ht="64" customHeight="1">
      <x:c r="A69" s="28" t="str">
        <x:v>NCT-0241</x:v>
      </x:c>
      <x:c r="B69" s="28" t="str">
        <x:v>кофе</x:v>
      </x:c>
      <x:c r="C69" s="28" t="str">
        <x:v>анис</x:v>
      </x:c>
      <x:c r="D69" s="28" t="str">
        <x:v>Прочее</x:v>
      </x:c>
      <x:c r="E69" s="28" t="str">
        <x:v>сенсорная комплементарность</x:v>
      </x:c>
      <x:c r="F69" s="28" t="str">
        <x:v>Кофе имеет профиль «жареный, ореховый, карамельный, цветочный, фруктовый, фенольный и древесный». Партнёр «анис»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9" s="28" t="str">
        <x:v>кофейный напиток, холодный кофе, крем, сироп, десерт или соус с анис</x:v>
      </x:c>
      <x:c r="J69" s="28" t="str">
        <x:v>Гипотеза / практическая</x:v>
      </x:c>
      <x:c r="K69" s="28" t="str">
        <x:v>Таблица сочетания(1).pdf</x:v>
      </x:c>
      <x:c r="L69" s="28" t="str">
        <x:v>Таблица сочетания(1).pdf: 6</x:v>
      </x:c>
    </x:row>
    <x:row r="70" ht="64" customHeight="1">
      <x:c r="A70" s="28" t="str">
        <x:v>NCT-0242</x:v>
      </x:c>
      <x:c r="B70" s="28" t="str">
        <x:v>кофе</x:v>
      </x:c>
      <x:c r="C70" s="28" t="str">
        <x:v>апельсин</x:v>
      </x:c>
      <x:c r="D70" s="28" t="str">
        <x:v>Фрукты и ягоды</x:v>
      </x:c>
      <x:c r="E70" s="28" t="str">
        <x:v>контраст кислоты и жирной/горькой матрицы</x:v>
      </x:c>
      <x:c r="F70" s="28" t="str">
        <x:v>Кофе имеет профиль «жареный, ореховый, карамельный, цветочный, фруктовый, фенольный и древесный». Партнёр «апельсин»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7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70" s="28" t="str">
        <x:v>кофейный напиток, холодный кофе, крем, сироп, десерт или соус с апельсин</x:v>
      </x:c>
      <x:c r="J70" s="28" t="str">
        <x:v>Высокая</x:v>
      </x:c>
      <x:c r="K70" s="28" t="str">
        <x:v>The Art &amp; Science of Foodpairing.pdf | Таблица сочетания(1).pdf | Тезариус вкусов (Ники Сегнит)(1).pdf</x:v>
      </x:c>
      <x:c r="L70" s="28" t="str">
        <x:v>The Art &amp; Science of Foodpairing.pdf: 236; Таблица сочетания(1).pdf: 6; Тезариус вкусов (Ники Сегнит)(1).pdf: 42, 776</x:v>
      </x:c>
    </x:row>
    <x:row r="71" ht="64" customHeight="1">
      <x:c r="A71" s="28" t="str">
        <x:v>NCT-0243</x:v>
      </x:c>
      <x:c r="B71" s="28" t="str">
        <x:v>кофе</x:v>
      </x:c>
      <x:c r="C71" s="28" t="str">
        <x:v>банан</x:v>
      </x:c>
      <x:c r="D71" s="28" t="str">
        <x:v>Фрукты и ягоды</x:v>
      </x:c>
      <x:c r="E71" s="28" t="str">
        <x:v>контраст кислоты и жирной/горькой матрицы</x:v>
      </x:c>
      <x:c r="F71" s="28" t="str">
        <x:v>Кофе имеет профиль «жареный, ореховый, карамельный, цветочный, фруктовый, фенольный и древесный».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7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71" s="28" t="str">
        <x:v>кофейный напиток, холодный кофе, крем, сироп, десерт или соус с банан</x:v>
      </x:c>
      <x:c r="J71" s="28" t="str">
        <x:v>Высокая</x:v>
      </x:c>
      <x:c r="K71" s="28" t="str">
        <x:v>Таблица сочетания(1).pdf | Тезариус вкусов (Ники Сегнит)(1).pdf</x:v>
      </x:c>
      <x:c r="L71" s="28" t="str">
        <x:v>Таблица сочетания(1).pdf: 2; Тезариус вкусов (Ники Сегнит)(1).pdf: 43, 733</x:v>
      </x:c>
    </x:row>
    <x:row r="72" ht="64" customHeight="1">
      <x:c r="A72" s="28" t="str">
        <x:v>NCT-0244</x:v>
      </x:c>
      <x:c r="B72" s="28" t="str">
        <x:v>кофе</x:v>
      </x:c>
      <x:c r="C72" s="28" t="str">
        <x:v>ваниль</x:v>
      </x:c>
      <x:c r="D72" s="28" t="str">
        <x:v>Специи</x:v>
      </x:c>
      <x:c r="E72" s="28" t="str">
        <x:v>пересечение ароматических семейств</x:v>
      </x:c>
      <x:c r="F72" s="28" t="str">
        <x:v>Кофе имеет профиль «жареный, ореховый, карамельный, цветочный, фруктовый, фенольный и древесный». Партнёр «ваниль» относится к группе «Специи» и даёт ванильный, цветочный. Профили пересекаются в семействах: цветочный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7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72" s="28" t="str">
        <x:v>кофейный напиток, холодный кофе, крем, сироп, десерт или соус с ваниль</x:v>
      </x:c>
      <x:c r="J72" s="28" t="str">
        <x:v>Высокая</x:v>
      </x:c>
      <x:c r="K72" s="28" t="str">
        <x:v>Таблица сочетания(1).pdf | Тезариус вкусов (Ники Сегнит)(1).pdf</x:v>
      </x:c>
      <x:c r="L72" s="28" t="str">
        <x:v>Таблица сочетания(1).pdf: 6, 21; Тезариус вкусов (Ники Сегнит)(1).pdf: 43, 917</x:v>
      </x:c>
    </x:row>
    <x:row r="73" ht="64" customHeight="1">
      <x:c r="A73" s="28" t="str">
        <x:v>NCT-0245</x:v>
      </x:c>
      <x:c r="B73" s="28" t="str">
        <x:v>кофе</x:v>
      </x:c>
      <x:c r="C73" s="28" t="str">
        <x:v>вишня</x:v>
      </x:c>
      <x:c r="D73" s="28" t="str">
        <x:v>Фрукты и ягоды</x:v>
      </x:c>
      <x:c r="E73" s="28" t="str">
        <x:v>контраст кислоты и жирной/горькой матрицы</x:v>
      </x:c>
      <x:c r="F73" s="28" t="str">
        <x:v>Кофе имеет профиль «жареный, ореховый, карамельный, цветочный, фруктовый, фенольный и древесный». Партнёр «вишня» относится к группе «Фрукты и ягоды» и даёт миндальный, фруктовый.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7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73" s="28" t="str">
        <x:v>кофейный напиток, холодный кофе, крем, сироп, десерт или соус с вишня</x:v>
      </x:c>
      <x:c r="J73" s="28" t="str">
        <x:v>Высокая</x:v>
      </x:c>
      <x:c r="K73" s="28" t="str">
        <x:v>Таблица сочетания(1).pdf | Тезариус вкусов (Ники Сегнит)(1).pdf</x:v>
      </x:c>
      <x:c r="L73" s="28" t="str">
        <x:v>Таблица сочетания(1).pdf: 6; Тезариус вкусов (Ники Сегнит)(1).pdf: 43, 655</x:v>
      </x:c>
    </x:row>
    <x:row r="74" ht="64" customHeight="1">
      <x:c r="A74" s="28" t="str">
        <x:v>NCT-0246</x:v>
      </x:c>
      <x:c r="B74" s="28" t="str">
        <x:v>кофе</x:v>
      </x:c>
      <x:c r="C74" s="28" t="str">
        <x:v>гвоздика</x:v>
      </x:c>
      <x:c r="D74" s="28" t="str">
        <x:v>Специи</x:v>
      </x:c>
      <x:c r="E74" s="28" t="str">
        <x:v>сенсорная комплементарность</x:v>
      </x:c>
      <x:c r="F74" s="28" t="str">
        <x:v>Кофе имеет профиль «жареный, ореховый, карамельный, цветочный, фруктовый, фенольный и древесный». Партнёр «гвоздика» относится к группе «Специи» и даёт древесный, пряный, фенольный.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7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74" s="28" t="str">
        <x:v>кофейный напиток, холодный кофе, крем, сироп, десерт или соус с гвоздика</x:v>
      </x:c>
      <x:c r="J74" s="28" t="str">
        <x:v>Высокая</x:v>
      </x:c>
      <x:c r="K74" s="28" t="str">
        <x:v>Таблица сочетания(1).pdf | Тезариус вкусов (Ники Сегнит)(1).pdf</x:v>
      </x:c>
      <x:c r="L74" s="28" t="str">
        <x:v>Таблица сочетания(1).pdf: 6; Тезариус вкусов (Ники Сегнит)(1).pdf: 43, 583</x:v>
      </x:c>
    </x:row>
    <x:row r="75" ht="64" customHeight="1">
      <x:c r="A75" s="28" t="str">
        <x:v>NCT-0247</x:v>
      </x:c>
      <x:c r="B75" s="28" t="str">
        <x:v>кофе</x:v>
      </x:c>
      <x:c r="C75" s="28" t="str">
        <x:v>говядина</x:v>
      </x:c>
      <x:c r="D75" s="28" t="str">
        <x:v>Мясо и птица</x:v>
      </x:c>
      <x:c r="E75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75" s="28" t="str">
        <x:v>Кофе имеет профиль «жареный, ореховый, карамельный, цветочный, фруктовый, фенольный и древесный». Партнёр «говядина»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7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75" s="28" t="str">
        <x:v>кофейный напиток, холодный кофе, крем, сироп, десерт или соус с говядина</x:v>
      </x:c>
      <x:c r="J75" s="28" t="str">
        <x:v>Средняя</x:v>
      </x:c>
      <x:c r="K75" s="28" t="str">
        <x:v>Тезариус вкусов (Ники Сегнит)(1).pdf</x:v>
      </x:c>
      <x:c r="L75" s="28" t="str">
        <x:v>Тезариус вкусов (Ники Сегнит)(1).pdf: 43, 113</x:v>
      </x:c>
    </x:row>
    <x:row r="76" ht="64" customHeight="1">
      <x:c r="A76" s="28" t="str">
        <x:v>NCT-0248</x:v>
      </x:c>
      <x:c r="B76" s="28" t="str">
        <x:v>кофе</x:v>
      </x:c>
      <x:c r="C76" s="28" t="str">
        <x:v>гранатовый сок</x:v>
      </x:c>
      <x:c r="D76" s="28" t="str">
        <x:v>Прочее</x:v>
      </x:c>
      <x:c r="E76" s="28" t="str">
        <x:v>сенсорная комплементарность</x:v>
      </x:c>
      <x:c r="F76" s="28" t="str">
        <x:v>Кофе имеет профиль «жареный, ореховый, карамельный, цветочный, фруктовый, фенольный и древесный». Партнёр «гранатовый сок»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7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76" s="28" t="str">
        <x:v>кофейный напиток, холодный кофе, крем, сироп, десерт или соус с гранатовый сок</x:v>
      </x:c>
      <x:c r="J76" s="28" t="str">
        <x:v>Средняя</x:v>
      </x:c>
      <x:c r="K76" s="28" t="str">
        <x:v>The Art &amp; Science of Foodpairing.pdf</x:v>
      </x:c>
      <x:c r="L76" s="28" t="str">
        <x:v>The Art &amp; Science of Foodpairing.pdf: 297</x:v>
      </x:c>
    </x:row>
    <x:row r="77" ht="64" customHeight="1">
      <x:c r="A77" s="28" t="str">
        <x:v>NCT-0249</x:v>
      </x:c>
      <x:c r="B77" s="28" t="str">
        <x:v>кофе</x:v>
      </x:c>
      <x:c r="C77" s="28" t="str">
        <x:v>имбирь</x:v>
      </x:c>
      <x:c r="D77" s="28" t="str">
        <x:v>Специи</x:v>
      </x:c>
      <x:c r="E77" s="28" t="str">
        <x:v>сенсорная комплементарность</x:v>
      </x:c>
      <x:c r="F77" s="28" t="str">
        <x:v>Кофе имеет профиль «жареный, ореховый, карамельный, цветочный, фруктовый, фенольный и древесный». Партнёр «имбирь» относится к группе «Специи» и даёт пряный, тёплый, цитрусовый.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7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77" s="28" t="str">
        <x:v>кофейный напиток, холодный кофе, крем, сироп, десерт или соус с имбирь</x:v>
      </x:c>
      <x:c r="J77" s="28" t="str">
        <x:v>Высокая</x:v>
      </x:c>
      <x:c r="K77" s="28" t="str">
        <x:v>The Art &amp; Science of Foodpairing.pdf | Тезариус вкусов (Ники Сегнит)(1).pdf</x:v>
      </x:c>
      <x:c r="L77" s="28" t="str">
        <x:v>The Art &amp; Science of Foodpairing.pdf: 142; Тезариус вкусов (Ники Сегнит)(1).pdf: 45, 817</x:v>
      </x:c>
    </x:row>
    <x:row r="78" ht="64" customHeight="1">
      <x:c r="A78" s="28" t="str">
        <x:v>NCT-0250</x:v>
      </x:c>
      <x:c r="B78" s="28" t="str">
        <x:v>кофе</x:v>
      </x:c>
      <x:c r="C78" s="28" t="str">
        <x:v>испанский чоризо</x:v>
      </x:c>
      <x:c r="D78" s="28" t="str">
        <x:v>Прочее</x:v>
      </x:c>
      <x:c r="E78" s="28" t="str">
        <x:v>сенсорная комплементарность</x:v>
      </x:c>
      <x:c r="F78" s="28" t="str">
        <x:v>Кофе имеет профиль «жареный, ореховый, карамельный, цветочный, фруктовый, фенольный и древесный». Партнёр «испанский чоризо»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7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78" s="28" t="str">
        <x:v>кофейный напиток, холодный кофе, крем, сироп, десерт или соус с испанский чоризо</x:v>
      </x:c>
      <x:c r="J78" s="28" t="str">
        <x:v>Средняя</x:v>
      </x:c>
      <x:c r="K78" s="28" t="str">
        <x:v>The Art &amp; Science of Foodpairing.pdf</x:v>
      </x:c>
      <x:c r="L78" s="28" t="str">
        <x:v>The Art &amp; Science of Foodpairing.pdf: 297</x:v>
      </x:c>
    </x:row>
    <x:row r="79" ht="64" customHeight="1">
      <x:c r="A79" s="28" t="str">
        <x:v>NCT-0251</x:v>
      </x:c>
      <x:c r="B79" s="28" t="str">
        <x:v>кофе</x:v>
      </x:c>
      <x:c r="C79" s="28" t="str">
        <x:v>карамбола</x:v>
      </x:c>
      <x:c r="D79" s="28" t="str">
        <x:v>Прочее</x:v>
      </x:c>
      <x:c r="E79" s="28" t="str">
        <x:v>сенсорная комплементарность</x:v>
      </x:c>
      <x:c r="F79" s="28" t="str">
        <x:v>Кофе имеет профиль «жареный, ореховый, карамельный, цветочный, фруктовый, фенольный и древесный». Партнёр «карамбола»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7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7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79" s="28" t="str">
        <x:v>кофейный напиток, холодный кофе, крем, сироп, десерт или соус с карамбола</x:v>
      </x:c>
      <x:c r="J79" s="28" t="str">
        <x:v>Средняя</x:v>
      </x:c>
      <x:c r="K79" s="28" t="str">
        <x:v>The Art &amp; Science of Foodpairing.pdf</x:v>
      </x:c>
      <x:c r="L79" s="28" t="str">
        <x:v>The Art &amp; Science of Foodpairing.pdf: 297</x:v>
      </x:c>
    </x:row>
    <x:row r="80" ht="64" customHeight="1">
      <x:c r="A80" s="28" t="str">
        <x:v>NCT-0252</x:v>
      </x:c>
      <x:c r="B80" s="28" t="str">
        <x:v>кофе</x:v>
      </x:c>
      <x:c r="C80" s="28" t="str">
        <x:v>карамель</x:v>
      </x:c>
      <x:c r="D80" s="28" t="str">
        <x:v>Выпечка, сахара и десерты</x:v>
      </x:c>
      <x:c r="E80" s="28" t="str">
        <x:v>общие ароматические соединения, пересечение ароматических семейств, жареная химия и реакции Майяра</x:v>
      </x:c>
      <x:c r="F80" s="28" t="str">
        <x:v>Кофе имеет профиль «жареный, ореховый, карамельный, цветочный, фруктовый, фенольный и древесный». Партнёр «карамель» относится к группе «Выпечка, сахара и десерты» и даёт жареный, карамельный. Молекулярный мост создают фураны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жареный, карамельный; фураны.</x:v>
      </x:c>
      <x:c r="G8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80" s="28" t="str">
        <x:v>кофейный напиток, холодный кофе, крем, сироп, десерт или соус с карамель</x:v>
      </x:c>
      <x:c r="J80" s="28" t="str">
        <x:v>Гипотеза / практическая</x:v>
      </x:c>
      <x:c r="K80" s="28" t="str">
        <x:v>Таблица сочетания(1).pdf</x:v>
      </x:c>
      <x:c r="L80" s="28" t="str">
        <x:v>Таблица сочетания(1).pdf: 3</x:v>
      </x:c>
    </x:row>
    <x:row r="81" ht="64" customHeight="1">
      <x:c r="A81" s="28" t="str">
        <x:v>NCT-0253</x:v>
      </x:c>
      <x:c r="B81" s="28" t="str">
        <x:v>кофе</x:v>
      </x:c>
      <x:c r="C81" s="28" t="str">
        <x:v>кардамон</x:v>
      </x:c>
      <x:c r="D81" s="28" t="str">
        <x:v>Специи</x:v>
      </x:c>
      <x:c r="E81" s="28" t="str">
        <x:v>пересечение ароматических семейств</x:v>
      </x:c>
      <x:c r="F81" s="28" t="str">
        <x:v>Кофе имеет профиль «жареный, ореховый, карамельный, цветочный, фруктовый, фенольный и древесный». Партнёр «кардамон» относится к группе «Специи» и даёт камфорный, цветочный, цитрусовый. Профили пересекаются в семействах: цветочный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8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81" s="28" t="str">
        <x:v>кофейный напиток, холодный кофе, крем, сироп, десерт или соус с кардамон</x:v>
      </x:c>
      <x:c r="J81" s="28" t="str">
        <x:v>Высокая</x:v>
      </x:c>
      <x:c r="K81" s="28" t="str">
        <x:v>Таблица сочетания(1).pdf | Тезариус вкусов (Ники Сегнит)(1).pdf</x:v>
      </x:c>
      <x:c r="L81" s="28" t="str">
        <x:v>Таблица сочетания(1).pdf: 6; Тезариус вкусов (Ники Сегнит)(1).pdf: 45, 828</x:v>
      </x:c>
    </x:row>
    <x:row r="82" ht="64" customHeight="1">
      <x:c r="A82" s="28" t="str">
        <x:v>NCT-0254</x:v>
      </x:c>
      <x:c r="B82" s="28" t="str">
        <x:v>кофе</x:v>
      </x:c>
      <x:c r="C82" s="28" t="str">
        <x:v>картофель фри</x:v>
      </x:c>
      <x:c r="D82" s="28" t="str">
        <x:v>Овощи, бобовые и грибы</x:v>
      </x:c>
      <x:c r="E82" s="28" t="str">
        <x:v>сенсорная комплементарность</x:v>
      </x:c>
      <x:c r="F82" s="28" t="str">
        <x:v>Кофе имеет профиль «жареный, ореховый, карамельный, цветочный, фруктовый, фенольный и древесный». Партнёр «картофель фри»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8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82" s="28" t="str">
        <x:v>кофейный напиток, холодный кофе, крем, сироп, десерт или соус с картофель фри</x:v>
      </x:c>
      <x:c r="J82" s="28" t="str">
        <x:v>Средняя</x:v>
      </x:c>
      <x:c r="K82" s="28" t="str">
        <x:v>The Art &amp; Science of Foodpairing.pdf</x:v>
      </x:c>
      <x:c r="L82" s="28" t="str">
        <x:v>The Art &amp; Science of Foodpairing.pdf: 196</x:v>
      </x:c>
    </x:row>
    <x:row r="83" ht="64" customHeight="1">
      <x:c r="A83" s="28" t="str">
        <x:v>NCT-0255</x:v>
      </x:c>
      <x:c r="B83" s="28" t="str">
        <x:v>кофе</x:v>
      </x:c>
      <x:c r="C83" s="28" t="str">
        <x:v>киви</x:v>
      </x:c>
      <x:c r="D83" s="28" t="str">
        <x:v>Фрукты и ягоды</x:v>
      </x:c>
      <x:c r="E83" s="28" t="str">
        <x:v>пересечение ароматических семейств, контраст кислоты и жирной/горькой матрицы</x:v>
      </x:c>
      <x:c r="F83" s="28" t="str">
        <x:v>Кофе имеет профиль «жареный, ореховый, карамельный, цветочный, фруктовый, фенольный и древесный». Партнёр «киви»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8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83" s="28" t="str">
        <x:v>кофейный напиток, холодный кофе, крем, сироп, десерт или соус с киви</x:v>
      </x:c>
      <x:c r="J83" s="28" t="str">
        <x:v>Средняя</x:v>
      </x:c>
      <x:c r="K83" s="28" t="str">
        <x:v>The Art &amp; Science of Foodpairing.pdf</x:v>
      </x:c>
      <x:c r="L83" s="28" t="str">
        <x:v>The Art &amp; Science of Foodpairing.pdf: 297</x:v>
      </x:c>
    </x:row>
    <x:row r="84" ht="64" customHeight="1">
      <x:c r="A84" s="28" t="str">
        <x:v>NCT-0256</x:v>
      </x:c>
      <x:c r="B84" s="28" t="str">
        <x:v>кофе</x:v>
      </x:c>
      <x:c r="C84" s="28" t="str">
        <x:v>клубника</x:v>
      </x:c>
      <x:c r="D84" s="28" t="str">
        <x:v>Прочее</x:v>
      </x:c>
      <x:c r="E84" s="28" t="str">
        <x:v>пересечение ароматических семейств</x:v>
      </x:c>
      <x:c r="F84" s="28" t="str">
        <x:v>Кофе имеет профиль «жареный, ореховый, карамельный, цветочный, фруктовый, фенольный и древесный». Партнёр «клубника» относится к группе «Прочее» и даёт зелёный, карамельный, фруктовый. Профили пересекаются в семействах: карамельный Кофейные летучие соединения очень быстро теряются после помола и заваривания, поэтому сочетание зависит от свежести и степени обжарки. Итог: карамельный; механизм не следует сводить к одной общей молекуле.</x:v>
      </x:c>
      <x:c r="G8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84" s="28" t="str">
        <x:v>кофейный напиток, холодный кофе, крем, сироп, десерт или соус с клубника</x:v>
      </x:c>
      <x:c r="J84" s="28" t="str">
        <x:v>Средняя</x:v>
      </x:c>
      <x:c r="K84" s="28" t="str">
        <x:v>The Art &amp; Science of Foodpairing.pdf</x:v>
      </x:c>
      <x:c r="L84" s="28" t="str">
        <x:v>The Art &amp; Science of Foodpairing.pdf: 297</x:v>
      </x:c>
    </x:row>
    <x:row r="85" ht="64" customHeight="1">
      <x:c r="A85" s="28" t="str">
        <x:v>NCT-0257</x:v>
      </x:c>
      <x:c r="B85" s="28" t="str">
        <x:v>кофе</x:v>
      </x:c>
      <x:c r="C85" s="28" t="str">
        <x:v>козий сыр</x:v>
      </x:c>
      <x:c r="D85" s="28" t="str">
        <x:v>Молочные продукты и сыры</x:v>
      </x:c>
      <x:c r="E85" s="28" t="str">
        <x:v>общие ароматические соединения, жировая экстракция и связывание полифенолов белком</x:v>
      </x:c>
      <x:c r="F85" s="28" t="str">
        <x:v>Кофе имеет профиль «жареный, ореховый, карамельный, цветочный, фруктовый, фенольный и древесный». Партнёр «козий сыр» относится к группе «Молочные продукты и сыры» и даёт молочный, умами,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8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85" s="28" t="str">
        <x:v>кофейный напиток, холодный кофе, крем, сироп, десерт или соус с козий сыр</x:v>
      </x:c>
      <x:c r="J85" s="28" t="str">
        <x:v>Средняя</x:v>
      </x:c>
      <x:c r="K85" s="28" t="str">
        <x:v>Тезариус вкусов (Ники Сегнит)(1).pdf</x:v>
      </x:c>
      <x:c r="L85" s="28" t="str">
        <x:v>Тезариус вкусов (Ники Сегнит)(1).pdf: 46, 140</x:v>
      </x:c>
    </x:row>
    <x:row r="86" ht="64" customHeight="1">
      <x:c r="A86" s="28" t="str">
        <x:v>NCT-0258</x:v>
      </x:c>
      <x:c r="B86" s="28" t="str">
        <x:v>кофе</x:v>
      </x:c>
      <x:c r="C86" s="28" t="str">
        <x:v>корица</x:v>
      </x:c>
      <x:c r="D86" s="28" t="str">
        <x:v>Специи</x:v>
      </x:c>
      <x:c r="E86" s="28" t="str">
        <x:v>сенсорная комплементарность</x:v>
      </x:c>
      <x:c r="F86" s="28" t="str">
        <x:v>Кофе имеет профиль «жареный, ореховый, карамельный, цветочный, фруктовый, фенольный и древесный». Партнёр «корица» относится к группе «Специи» и даёт древесный, пряный.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8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86" s="28" t="str">
        <x:v>кофейный напиток, холодный кофе, крем, сироп, десерт или соус с корица</x:v>
      </x:c>
      <x:c r="J86" s="28" t="str">
        <x:v>Высокая</x:v>
      </x:c>
      <x:c r="K86" s="28" t="str">
        <x:v>Таблица сочетания(1).pdf | Тезариус вкусов (Ники Сегнит)(1).pdf</x:v>
      </x:c>
      <x:c r="L86" s="28" t="str">
        <x:v>Таблица сочетания(1).pdf: 6; Тезариус вкусов (Ники Сегнит)(1).pdf: 46, 577</x:v>
      </x:c>
    </x:row>
    <x:row r="87" ht="64" customHeight="1">
      <x:c r="A87" s="28" t="str">
        <x:v>NCT-0259</x:v>
      </x:c>
      <x:c r="B87" s="28" t="str">
        <x:v>кофе</x:v>
      </x:c>
      <x:c r="C87" s="28" t="str">
        <x:v>корица и кассия</x:v>
      </x:c>
      <x:c r="D87" s="28" t="str">
        <x:v>Специи</x:v>
      </x:c>
      <x:c r="E87" s="28" t="str">
        <x:v>сенсорная комплементарность</x:v>
      </x:c>
      <x:c r="F87" s="28" t="str">
        <x:v>Кофе имеет профиль «жареный, ореховый, карамельный, цветочный, фруктовый, фенольный и древесный». Партнёр «корица и кассия» относится к группе «Специи» и даёт древесный, пряный.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8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87" s="28" t="str">
        <x:v>кофейный напиток, холодный кофе, крем, сироп, десерт или соус с корица и кассия</x:v>
      </x:c>
      <x:c r="J87" s="28" t="str">
        <x:v>Средняя</x:v>
      </x:c>
      <x:c r="K87" s="28" t="str">
        <x:v>The Art &amp; Science of Foodpairing.pdf</x:v>
      </x:c>
      <x:c r="L87" s="28" t="str">
        <x:v>The Art &amp; Science of Foodpairing.pdf: 130</x:v>
      </x:c>
    </x:row>
    <x:row r="88" ht="64" customHeight="1">
      <x:c r="A88" s="28" t="str">
        <x:v>NCT-0260</x:v>
      </x:c>
      <x:c r="B88" s="28" t="str">
        <x:v>кофе</x:v>
      </x:c>
      <x:c r="C88" s="28" t="str">
        <x:v>корневой кервель</x:v>
      </x:c>
      <x:c r="D88" s="28" t="str">
        <x:v>Прочее</x:v>
      </x:c>
      <x:c r="E88" s="28" t="str">
        <x:v>сенсорная комплементарность</x:v>
      </x:c>
      <x:c r="F88" s="28" t="str">
        <x:v>Кофе имеет профиль «жареный, ореховый, карамельный, цветочный, фруктовый, фенольный и древесный». Партнёр «корневой кервель»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8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88" s="28" t="str">
        <x:v>кофейный напиток, холодный кофе, крем, сироп, десерт или соус с корневой кервель</x:v>
      </x:c>
      <x:c r="J88" s="28" t="str">
        <x:v>Средняя</x:v>
      </x:c>
      <x:c r="K88" s="28" t="str">
        <x:v>The Art &amp; Science of Foodpairing.pdf</x:v>
      </x:c>
      <x:c r="L88" s="28" t="str">
        <x:v>The Art &amp; Science of Foodpairing.pdf: 297</x:v>
      </x:c>
    </x:row>
    <x:row r="89" ht="64" customHeight="1">
      <x:c r="A89" s="28" t="str">
        <x:v>NCT-0261</x:v>
      </x:c>
      <x:c r="B89" s="28" t="str">
        <x:v>кофе</x:v>
      </x:c>
      <x:c r="C89" s="28" t="str">
        <x:v>кумкват</x:v>
      </x:c>
      <x:c r="D89" s="28" t="str">
        <x:v>Прочее</x:v>
      </x:c>
      <x:c r="E89" s="28" t="str">
        <x:v>сенсорная комплементарность</x:v>
      </x:c>
      <x:c r="F89" s="28" t="str">
        <x:v>Кофе имеет профиль «жареный, ореховый, карамельный, цветочный, фруктовый, фенольный и древесный». Партнёр «кумкват»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8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8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89" s="28" t="str">
        <x:v>кофейный напиток, холодный кофе, крем, сироп, десерт или соус с кумкват</x:v>
      </x:c>
      <x:c r="J89" s="28" t="str">
        <x:v>Гипотеза / практическая</x:v>
      </x:c>
      <x:c r="K89" s="28" t="str">
        <x:v>Таблица сочетания(1).pdf</x:v>
      </x:c>
      <x:c r="L89" s="28" t="str">
        <x:v>Таблица сочетания(1).pdf: 10</x:v>
      </x:c>
    </x:row>
    <x:row r="90" ht="64" customHeight="1">
      <x:c r="A90" s="28" t="str">
        <x:v>NCT-0262</x:v>
      </x:c>
      <x:c r="B90" s="28" t="str">
        <x:v>кофе</x:v>
      </x:c>
      <x:c r="C90" s="28" t="str">
        <x:v>лангустин</x:v>
      </x:c>
      <x:c r="D90" s="28" t="str">
        <x:v>Прочее</x:v>
      </x:c>
      <x:c r="E90" s="28" t="str">
        <x:v>сенсорная комплементарность</x:v>
      </x:c>
      <x:c r="F90" s="28" t="str">
        <x:v>Кофе имеет профиль «жареный, ореховый, карамельный, цветочный, фруктовый, фенольный и древесный». Партнёр «лангустин»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9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9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90" s="28" t="str">
        <x:v>кофейный напиток, холодный кофе, крем, сироп, десерт или соус с лангустин</x:v>
      </x:c>
      <x:c r="J90" s="28" t="str">
        <x:v>Высокая</x:v>
      </x:c>
      <x:c r="K90" s="28" t="str">
        <x:v>The Art &amp; Science of Foodpairing.pdf</x:v>
      </x:c>
      <x:c r="L90" s="28" t="str">
        <x:v>The Art &amp; Science of Foodpairing.pdf: 151</x:v>
      </x:c>
    </x:row>
    <x:row r="91" ht="64" customHeight="1">
      <x:c r="A91" s="28" t="str">
        <x:v>NCT-0263</x:v>
      </x:c>
      <x:c r="B91" s="28" t="str">
        <x:v>кофе</x:v>
      </x:c>
      <x:c r="C91" s="28" t="str">
        <x:v>лепестки розы</x:v>
      </x:c>
      <x:c r="D91" s="28" t="str">
        <x:v>Прочее</x:v>
      </x:c>
      <x:c r="E91" s="28" t="str">
        <x:v>сенсорная комплементарность</x:v>
      </x:c>
      <x:c r="F91" s="28" t="str">
        <x:v>Кофе имеет профиль «жареный, ореховый, карамельный, цветочный, фруктовый, фенольный и древесный». Партнёр «лепестки розы»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9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9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91" s="28" t="str">
        <x:v>кофейный напиток, холодный кофе, крем, сироп, десерт или соус с лепестки розы</x:v>
      </x:c>
      <x:c r="J91" s="28" t="str">
        <x:v>Средняя</x:v>
      </x:c>
      <x:c r="K91" s="28" t="str">
        <x:v>The Art &amp; Science of Foodpairing.pdf</x:v>
      </x:c>
      <x:c r="L91" s="28" t="str">
        <x:v>The Art &amp; Science of Foodpairing.pdf: 297</x:v>
      </x:c>
    </x:row>
    <x:row r="92" ht="64" customHeight="1">
      <x:c r="A92" s="28" t="str">
        <x:v>NCT-0264</x:v>
      </x:c>
      <x:c r="B92" s="28" t="str">
        <x:v>кофе</x:v>
      </x:c>
      <x:c r="C92" s="28" t="str">
        <x:v>мадрасская паста карри</x:v>
      </x:c>
      <x:c r="D92" s="28" t="str">
        <x:v>Прочее</x:v>
      </x:c>
      <x:c r="E92" s="28" t="str">
        <x:v>сенсорная комплементарность</x:v>
      </x:c>
      <x:c r="F92" s="28" t="str">
        <x:v>Кофе имеет профиль «жареный, ореховый, карамельный, цветочный, фруктовый, фенольный и древесный». Партнёр «мадрасская паста карри»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9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9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92" s="28" t="str">
        <x:v>кофейный напиток, холодный кофе, крем, сироп, десерт или соус с мадрасская паста карри</x:v>
      </x:c>
      <x:c r="J92" s="28" t="str">
        <x:v>Средняя</x:v>
      </x:c>
      <x:c r="K92" s="28" t="str">
        <x:v>The Art &amp; Science of Foodpairing.pdf</x:v>
      </x:c>
      <x:c r="L92" s="28" t="str">
        <x:v>The Art &amp; Science of Foodpairing.pdf: 297</x:v>
      </x:c>
    </x:row>
    <x:row r="93" ht="64" customHeight="1">
      <x:c r="A93" s="28" t="str">
        <x:v>NCT-0265</x:v>
      </x:c>
      <x:c r="B93" s="28" t="str">
        <x:v>кофе</x:v>
      </x:c>
      <x:c r="C93" s="28" t="str">
        <x:v>манго</x:v>
      </x:c>
      <x:c r="D93" s="28" t="str">
        <x:v>Фрукты и ягоды</x:v>
      </x:c>
      <x:c r="E93" s="28" t="str">
        <x:v>пересечение ароматических семейств, контраст кислоты и жирной/горькой матрицы</x:v>
      </x:c>
      <x:c r="F93" s="28" t="str">
        <x:v>Кофе имеет профиль «жареный, ореховый, карамельный, цветочный, фруктовый, фенольный и древесный». Партнёр «манго»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9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9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93" s="28" t="str">
        <x:v>кофейный напиток, холодный кофе, крем, сироп, десерт или соус с манго</x:v>
      </x:c>
      <x:c r="J93" s="28" t="str">
        <x:v>Средняя</x:v>
      </x:c>
      <x:c r="K93" s="28" t="str">
        <x:v>The Art &amp; Science of Foodpairing.pdf</x:v>
      </x:c>
      <x:c r="L93" s="28" t="str">
        <x:v>The Art &amp; Science of Foodpairing.pdf: 312</x:v>
      </x:c>
    </x:row>
    <x:row r="94" ht="64" customHeight="1">
      <x:c r="A94" s="28" t="str">
        <x:v>NCT-0266</x:v>
      </x:c>
      <x:c r="B94" s="28" t="str">
        <x:v>кофе</x:v>
      </x:c>
      <x:c r="C94" s="28" t="str">
        <x:v>мандарин</x:v>
      </x:c>
      <x:c r="D94" s="28" t="str">
        <x:v>Прочее</x:v>
      </x:c>
      <x:c r="E94" s="28" t="str">
        <x:v>сенсорная комплементарность</x:v>
      </x:c>
      <x:c r="F94" s="28" t="str">
        <x:v>Кофе имеет профиль «жареный, ореховый, карамельный, цветочный, фруктовый, фенольный и древесный». Партнёр «мандарин»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9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9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94" s="28" t="str">
        <x:v>кофейный напиток, холодный кофе, крем, сироп, десерт или соус с мандарин</x:v>
      </x:c>
      <x:c r="J94" s="28" t="str">
        <x:v>Гипотеза / практическая</x:v>
      </x:c>
      <x:c r="K94" s="28" t="str">
        <x:v>Таблица сочетания(1).pdf</x:v>
      </x:c>
      <x:c r="L94" s="28" t="str">
        <x:v>Таблица сочетания(1).pdf: 12</x:v>
      </x:c>
    </x:row>
    <x:row r="95" ht="64" customHeight="1">
      <x:c r="A95" s="28" t="str">
        <x:v>NCT-0267</x:v>
      </x:c>
      <x:c r="B95" s="28" t="str">
        <x:v>кофе</x:v>
      </x:c>
      <x:c r="C95" s="28" t="str">
        <x:v>мирин</x:v>
      </x:c>
      <x:c r="D95" s="28" t="str">
        <x:v>Прочее</x:v>
      </x:c>
      <x:c r="E95" s="28" t="str">
        <x:v>сенсорная комплементарность</x:v>
      </x:c>
      <x:c r="F95" s="28" t="str">
        <x:v>Кофе имеет профиль «жареный, ореховый, карамельный, цветочный, фруктовый, фенольный и древесный». Партнёр «мирин»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9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9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95" s="28" t="str">
        <x:v>кофейный напиток, холодный кофе, крем, сироп, десерт или соус с мирин</x:v>
      </x:c>
      <x:c r="J95" s="28" t="str">
        <x:v>Средняя</x:v>
      </x:c>
      <x:c r="K95" s="28" t="str">
        <x:v>The Art &amp; Science of Foodpairing.pdf</x:v>
      </x:c>
      <x:c r="L95" s="28" t="str">
        <x:v>The Art &amp; Science of Foodpairing.pdf: 297</x:v>
      </x:c>
    </x:row>
    <x:row r="96" ht="64" customHeight="1">
      <x:c r="A96" s="28" t="str">
        <x:v>NCT-0268</x:v>
      </x:c>
      <x:c r="B96" s="28" t="str">
        <x:v>кофе</x:v>
      </x:c>
      <x:c r="C96" s="28" t="str">
        <x:v>мускатный орех</x:v>
      </x:c>
      <x:c r="D96" s="28" t="str">
        <x:v>Орехи и семена</x:v>
      </x:c>
      <x:c r="E96" s="28" t="str">
        <x:v>пересечение ароматических семейств, жареная химия и реакции Майяра</x:v>
      </x:c>
      <x:c r="F96" s="28" t="str">
        <x:v>Кофе имеет профиль «жареный, ореховый, карамельный, цветочный, фруктовый, фенольный и древесный».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ореховый; механизм не следует сводить к одной общей молекуле.</x:v>
      </x:c>
      <x:c r="G9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9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96" s="28" t="str">
        <x:v>кофейный напиток, холодный кофе, крем, сироп, десерт или соус с мускатный орех</x:v>
      </x:c>
      <x:c r="J96" s="28" t="str">
        <x:v>Гипотеза / практическая</x:v>
      </x:c>
      <x:c r="K96" s="28" t="str">
        <x:v>Таблица сочетания(1).pdf</x:v>
      </x:c>
      <x:c r="L96" s="28" t="str">
        <x:v>Таблица сочетания(1).pdf: 14</x:v>
      </x:c>
    </x:row>
    <x:row r="97" ht="64" customHeight="1">
      <x:c r="A97" s="28" t="str">
        <x:v>NCT-0269</x:v>
      </x:c>
      <x:c r="B97" s="28" t="str">
        <x:v>кофе</x:v>
      </x:c>
      <x:c r="C97" s="28" t="str">
        <x:v>мягкий сыр</x:v>
      </x:c>
      <x:c r="D97" s="28" t="str">
        <x:v>Молочные продукты и сыры</x:v>
      </x:c>
      <x:c r="E97" s="28" t="str">
        <x:v>общие ароматические соединения, жировая экстракция и связывание полифенолов белком</x:v>
      </x:c>
      <x:c r="F97" s="28" t="str">
        <x:v>Кофе имеет профиль «жареный, ореховый, карамельный, цветочный, фруктовый, фенольный и древесный». Партнёр «мягкий сыр» относится к группе «Молочные продукты и сыры» и даёт молочный, умами,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9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9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97" s="28" t="str">
        <x:v>кофейный напиток, холодный кофе, крем, сироп, десерт или соус с мягкий сыр</x:v>
      </x:c>
      <x:c r="J97" s="28" t="str">
        <x:v>Средняя</x:v>
      </x:c>
      <x:c r="K97" s="28" t="str">
        <x:v>The Art &amp; Science of Foodpairing.pdf</x:v>
      </x:c>
      <x:c r="L97" s="28" t="str">
        <x:v>The Art &amp; Science of Foodpairing.pdf: 297</x:v>
      </x:c>
    </x:row>
    <x:row r="98" ht="64" customHeight="1">
      <x:c r="A98" s="28" t="str">
        <x:v>NCT-0270</x:v>
      </x:c>
      <x:c r="B98" s="28" t="str">
        <x:v>кофе</x:v>
      </x:c>
      <x:c r="C98" s="28" t="str">
        <x:v>мята</x:v>
      </x:c>
      <x:c r="D98" s="28" t="str">
        <x:v>Травы, цветы и листья</x:v>
      </x:c>
      <x:c r="E98" s="28" t="str">
        <x:v>сенсорная комплементарность</x:v>
      </x:c>
      <x:c r="F98" s="28" t="str">
        <x:v>Кофе имеет профиль «жареный, ореховый, карамельный, цветочный, фруктовый, фенольный и древесный». Партнёр «мята» относится к группе «Травы, цветы и листья» и даёт зелёный, холодящий.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9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9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98" s="28" t="str">
        <x:v>кофейный напиток, холодный кофе, крем, сироп, десерт или соус с мята</x:v>
      </x:c>
      <x:c r="J98" s="28" t="str">
        <x:v>Гипотеза / практическая</x:v>
      </x:c>
      <x:c r="K98" s="28" t="str">
        <x:v>Таблица сочетания(1).pdf</x:v>
      </x:c>
      <x:c r="L98" s="28" t="str">
        <x:v>Таблица сочетания(1).pdf: 6</x:v>
      </x:c>
    </x:row>
    <x:row r="99" ht="64" customHeight="1">
      <x:c r="A99" s="28" t="str">
        <x:v>NCT-0271</x:v>
      </x:c>
      <x:c r="B99" s="28" t="str">
        <x:v>кофе</x:v>
      </x:c>
      <x:c r="C99" s="28" t="str">
        <x:v>мёд</x:v>
      </x:c>
      <x:c r="D99" s="28" t="str">
        <x:v>Выпечка, сахара и десерты</x:v>
      </x:c>
      <x:c r="E99" s="28" t="str">
        <x:v>пересечение ароматических семейств, жареная химия и реакции Майяра</x:v>
      </x:c>
      <x:c r="F99" s="28" t="str">
        <x:v>Кофе имеет профиль «жареный, ореховый, карамельный, цветочный, фруктовый, фенольный и древесный». Партнёр «мёд» относится к группе «Выпечка, сахара и десерты» и даёт медовый, цветочный. Профили пересекаются в семействах: цветочный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9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9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99" s="28" t="str">
        <x:v>кофейный напиток, холодный кофе, крем, сироп, десерт или соус с мёд</x:v>
      </x:c>
      <x:c r="J99" s="28" t="str">
        <x:v>Высокая</x:v>
      </x:c>
      <x:c r="K99" s="28" t="str">
        <x:v>The Art &amp; Science of Foodpairing.pdf | Таблица сочетания(1).pdf</x:v>
      </x:c>
      <x:c r="L99" s="28" t="str">
        <x:v>The Art &amp; Science of Foodpairing.pdf: 297; Таблица сочетания(1).pdf: 6</x:v>
      </x:c>
    </x:row>
    <x:row r="100" ht="64" customHeight="1">
      <x:c r="A100" s="28" t="str">
        <x:v>NCT-0272</x:v>
      </x:c>
      <x:c r="B100" s="28" t="str">
        <x:v>кофе</x:v>
      </x:c>
      <x:c r="C100" s="28" t="str">
        <x:v>оливковое масло</x:v>
      </x:c>
      <x:c r="D100" s="28" t="str">
        <x:v>Масла и жиры</x:v>
      </x:c>
      <x:c r="E100" s="28" t="str">
        <x:v>сенсорная комплементарность</x:v>
      </x:c>
      <x:c r="F100" s="28" t="str">
        <x:v>Кофе имеет профиль «жареный, ореховый, карамельный, цветочный, фруктовый, фенольный и древесный». Партнёр «оливковое масло» относится к группе «Масла и жиры» и даёт жирный и мягкий.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0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0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00" s="28" t="str">
        <x:v>кофейный напиток, холодный кофе, крем, сироп, десерт или соус с оливковое масло</x:v>
      </x:c>
      <x:c r="J100" s="28" t="str">
        <x:v>Средняя</x:v>
      </x:c>
      <x:c r="K100" s="28" t="str">
        <x:v>The Art &amp; Science of Foodpairing.pdf</x:v>
      </x:c>
      <x:c r="L100" s="28" t="str">
        <x:v>The Art &amp; Science of Foodpairing.pdf: 172</x:v>
      </x:c>
    </x:row>
    <x:row r="101" ht="64" customHeight="1">
      <x:c r="A101" s="28" t="str">
        <x:v>NCT-0273</x:v>
      </x:c>
      <x:c r="B101" s="28" t="str">
        <x:v>кофе</x:v>
      </x:c>
      <x:c r="C101" s="28" t="str">
        <x:v>оливковое масло арбекина</x:v>
      </x:c>
      <x:c r="D101" s="28" t="str">
        <x:v>Масла и жиры</x:v>
      </x:c>
      <x:c r="E101" s="28" t="str">
        <x:v>сенсорная комплементарность</x:v>
      </x:c>
      <x:c r="F101" s="28" t="str">
        <x:v>Кофе имеет профиль «жареный, ореховый, карамельный, цветочный, фруктовый, фенольный и древесный». Партнёр «оливковое масло арбекина» относится к группе «Масла и жиры» и даёт жирный и мягкий.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0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0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01" s="28" t="str">
        <x:v>кофейный напиток, холодный кофе, крем, сироп, десерт или соус с оливковое масло арбекина</x:v>
      </x:c>
      <x:c r="J101" s="28" t="str">
        <x:v>Средняя</x:v>
      </x:c>
      <x:c r="K101" s="28" t="str">
        <x:v>The Art &amp; Science of Foodpairing.pdf</x:v>
      </x:c>
      <x:c r="L101" s="28" t="str">
        <x:v>The Art &amp; Science of Foodpairing.pdf: 297</x:v>
      </x:c>
    </x:row>
    <x:row r="102" ht="64" customHeight="1">
      <x:c r="A102" s="28" t="str">
        <x:v>NCT-0274</x:v>
      </x:c>
      <x:c r="B102" s="28" t="str">
        <x:v>кофе</x:v>
      </x:c>
      <x:c r="C102" s="28" t="str">
        <x:v>полба</x:v>
      </x:c>
      <x:c r="D102" s="28" t="str">
        <x:v>Прочее</x:v>
      </x:c>
      <x:c r="E102" s="28" t="str">
        <x:v>сенсорная комплементарность</x:v>
      </x:c>
      <x:c r="F102" s="28" t="str">
        <x:v>Кофе имеет профиль «жареный, ореховый, карамельный, цветочный, фруктовый, фенольный и древесный». Партнёр «полба»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0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0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02" s="28" t="str">
        <x:v>кофейный напиток, холодный кофе, крем, сироп, десерт или соус с полба</x:v>
      </x:c>
      <x:c r="J102" s="28" t="str">
        <x:v>Средняя</x:v>
      </x:c>
      <x:c r="K102" s="28" t="str">
        <x:v>The Art &amp; Science of Foodpairing.pdf</x:v>
      </x:c>
      <x:c r="L102" s="28" t="str">
        <x:v>The Art &amp; Science of Foodpairing.pdf: 297</x:v>
      </x:c>
    </x:row>
    <x:row r="103" ht="64" customHeight="1">
      <x:c r="A103" s="28" t="str">
        <x:v>NCT-0275</x:v>
      </x:c>
      <x:c r="B103" s="28" t="str">
        <x:v>кофе</x:v>
      </x:c>
      <x:c r="C103" s="28" t="str">
        <x:v>роза</x:v>
      </x:c>
      <x:c r="D103" s="28" t="str">
        <x:v>Травы, цветы и листья</x:v>
      </x:c>
      <x:c r="E103" s="28" t="str">
        <x:v>пересечение ароматических семейств</x:v>
      </x:c>
      <x:c r="F103" s="28" t="str">
        <x:v>Кофе имеет профиль «жареный, ореховый, карамельный, цветочный, фруктовый, фенольный и древесный». Партнёр «роза» относится к группе «Травы, цветы и листья» и даёт цветочный. Профили пересекаются в семействах: цветочный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10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0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03" s="28" t="str">
        <x:v>кофейный напиток, холодный кофе, крем, сироп, десерт или соус с роза</x:v>
      </x:c>
      <x:c r="J103" s="28" t="str">
        <x:v>Средняя</x:v>
      </x:c>
      <x:c r="K103" s="28" t="str">
        <x:v>Тезариус вкусов (Ники Сегнит)(1).pdf</x:v>
      </x:c>
      <x:c r="L103" s="28" t="str">
        <x:v>Тезариус вкусов (Ники Сегнит)(1).pdf: 47, 899</x:v>
      </x:c>
    </x:row>
    <x:row r="104" ht="64" customHeight="1">
      <x:c r="A104" s="28" t="str">
        <x:v>NCT-0276</x:v>
      </x:c>
      <x:c r="B104" s="28" t="str">
        <x:v>кофе</x:v>
      </x:c>
      <x:c r="C104" s="28" t="str">
        <x:v>ромашка</x:v>
      </x:c>
      <x:c r="D104" s="28" t="str">
        <x:v>Алкогольные напитки</x:v>
      </x:c>
      <x:c r="E104" s="28" t="str">
        <x:v>сенсорная комплементарность</x:v>
      </x:c>
      <x:c r="F104" s="28" t="str">
        <x:v>Кофе имеет профиль «жареный, ореховый, карамельный, цветочный, фруктовый, фенольный и древесный». Партнёр «ромашка» относится к группе «Алкогольные напитки» и даёт спиртовой, фруктовый или древесный.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0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0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04" s="28" t="str">
        <x:v>кофейный напиток, холодный кофе, крем, сироп, десерт или соус с ромашка</x:v>
      </x:c>
      <x:c r="J104" s="28" t="str">
        <x:v>Гипотеза / практическая</x:v>
      </x:c>
      <x:c r="K104" s="28" t="str">
        <x:v>Таблица сочетания(1).pdf</x:v>
      </x:c>
      <x:c r="L104" s="28" t="str">
        <x:v>Таблица сочетания(1).pdf: 4</x:v>
      </x:c>
    </x:row>
    <x:row r="105" ht="64" customHeight="1">
      <x:c r="A105" s="28" t="str">
        <x:v>NCT-0277</x:v>
      </x:c>
      <x:c r="B105" s="28" t="str">
        <x:v>кофе</x:v>
      </x:c>
      <x:c r="C105" s="28" t="str">
        <x:v>свёкла</x:v>
      </x:c>
      <x:c r="D105" s="28" t="str">
        <x:v>Овощи, бобовые и грибы</x:v>
      </x:c>
      <x:c r="E105" s="28" t="str">
        <x:v>сенсорная комплементарность</x:v>
      </x:c>
      <x:c r="F105" s="28" t="str">
        <x:v>Кофе имеет профиль «жареный, ореховый, карамельный, цветочный, фруктовый, фенольный и древесный». Партнёр «свёкла» относится к группе «Овощи, бобовые и грибы» и даёт землистый, сладкий.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0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0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05" s="28" t="str">
        <x:v>кофейный напиток, холодный кофе, крем, сироп, десерт или соус с свёкла</x:v>
      </x:c>
      <x:c r="J105" s="28" t="str">
        <x:v>Средняя</x:v>
      </x:c>
      <x:c r="K105" s="28" t="str">
        <x:v>The Art &amp; Science of Foodpairing.pdf</x:v>
      </x:c>
      <x:c r="L105" s="28" t="str">
        <x:v>The Art &amp; Science of Foodpairing.pdf: 297</x:v>
      </x:c>
    </x:row>
    <x:row r="106" ht="64" customHeight="1">
      <x:c r="A106" s="28" t="str">
        <x:v>NCT-0278</x:v>
      </x:c>
      <x:c r="B106" s="28" t="str">
        <x:v>кофе</x:v>
      </x:c>
      <x:c r="C106" s="28" t="str">
        <x:v>семена кориандра</x:v>
      </x:c>
      <x:c r="D106" s="28" t="str">
        <x:v>Травы, цветы и листья</x:v>
      </x:c>
      <x:c r="E106" s="28" t="str">
        <x:v>пересечение ароматических семейств</x:v>
      </x:c>
      <x:c r="F106" s="28" t="str">
        <x:v>Кофе имеет профиль «жареный, ореховый, карамельный, цветочный, фруктовый, фенольный и древесный». Партнёр «семена кориандра» относится к группе «Травы, цветы и листья» и даёт зелёный, цветочный и терпеновый. Профили пересекаются в семействах: цветочный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10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0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06" s="28" t="str">
        <x:v>кофейный напиток, холодный кофе, крем, сироп, десерт или соус с семена кориандра</x:v>
      </x:c>
      <x:c r="J106" s="28" t="str">
        <x:v>Средняя</x:v>
      </x:c>
      <x:c r="K106" s="28" t="str">
        <x:v>Тезариус вкусов (Ники Сегнит)(1).pdf</x:v>
      </x:c>
      <x:c r="L106" s="28" t="str">
        <x:v>Тезариус вкусов (Ники Сегнит)(1).pdf: 47, 907</x:v>
      </x:c>
    </x:row>
    <x:row r="107" ht="64" customHeight="1">
      <x:c r="A107" s="28" t="str">
        <x:v>NCT-0279</x:v>
      </x:c>
      <x:c r="B107" s="28" t="str">
        <x:v>кофе</x:v>
      </x:c>
      <x:c r="C107" s="28" t="str">
        <x:v>сладкая паприка</x:v>
      </x:c>
      <x:c r="D107" s="28" t="str">
        <x:v>Прочее</x:v>
      </x:c>
      <x:c r="E107" s="28" t="str">
        <x:v>сенсорная комплементарность</x:v>
      </x:c>
      <x:c r="F107" s="28" t="str">
        <x:v>Кофе имеет профиль «жареный, ореховый, карамельный, цветочный, фруктовый, фенольный и древесный». Партнёр «сладкая паприка»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0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0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07" s="28" t="str">
        <x:v>кофейный напиток, холодный кофе, крем, сироп, десерт или соус с сладкая паприка</x:v>
      </x:c>
      <x:c r="J107" s="28" t="str">
        <x:v>Средняя</x:v>
      </x:c>
      <x:c r="K107" s="28" t="str">
        <x:v>The Art &amp; Science of Foodpairing.pdf</x:v>
      </x:c>
      <x:c r="L107" s="28" t="str">
        <x:v>The Art &amp; Science of Foodpairing.pdf: 297</x:v>
      </x:c>
    </x:row>
    <x:row r="108" ht="64" customHeight="1">
      <x:c r="A108" s="28" t="str">
        <x:v>NCT-0280</x:v>
      </x:c>
      <x:c r="B108" s="28" t="str">
        <x:v>кофе</x:v>
      </x:c>
      <x:c r="C108" s="28" t="str">
        <x:v>сливочный сыр</x:v>
      </x:c>
      <x:c r="D108" s="28" t="str">
        <x:v>Молочные продукты и сыры</x:v>
      </x:c>
      <x:c r="E108" s="28" t="str">
        <x:v>общие ароматические соединения, жировая экстракция и связывание полифенолов белком</x:v>
      </x:c>
      <x:c r="F108" s="28" t="str">
        <x:v>Кофе имеет профиль «жареный, ореховый, карамельный, цветочный, фруктовый, фенольный и древесный». Партнёр «сливочный сыр» относится к группе «Молочные продукты и сыры» и даёт молочный, умами,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10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0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108" s="28" t="str">
        <x:v>кофейный напиток, холодный кофе, крем, сироп, десерт или соус с сливочный сыр</x:v>
      </x:c>
      <x:c r="J108" s="28" t="str">
        <x:v>Средняя</x:v>
      </x:c>
      <x:c r="K108" s="28" t="str">
        <x:v>The Art &amp; Science of Foodpairing.pdf</x:v>
      </x:c>
      <x:c r="L108" s="28" t="str">
        <x:v>The Art &amp; Science of Foodpairing.pdf: 297</x:v>
      </x:c>
    </x:row>
    <x:row r="109" ht="64" customHeight="1">
      <x:c r="A109" s="28" t="str">
        <x:v>NCT-0281</x:v>
      </x:c>
      <x:c r="B109" s="28" t="str">
        <x:v>кофе</x:v>
      </x:c>
      <x:c r="C109" s="28" t="str">
        <x:v>соевый соус</x:v>
      </x:c>
      <x:c r="D109" s="28" t="str">
        <x:v>Ферментированные продукты и соусы</x:v>
      </x:c>
      <x:c r="E109" s="28" t="str">
        <x:v>общие ароматические соединения, пересечение ароматических семейств, солёно-умами контраст</x:v>
      </x:c>
      <x:c r="F109" s="28" t="str">
        <x:v>Кофе имеет профиль «жареный, ореховый, карамельный, цветочный, фруктовый, фенольный и древесный». Партнёр «соевый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пиразины, фураны.</x:v>
      </x:c>
      <x:c r="G10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0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09" s="28" t="str">
        <x:v>кофейный напиток, холодный кофе, крем, сироп, десерт или соус с соевый соус</x:v>
      </x:c>
      <x:c r="J109" s="28" t="str">
        <x:v>Высокая</x:v>
      </x:c>
      <x:c r="K109" s="28" t="str">
        <x:v>The Art &amp; Science of Foodpairing.pdf</x:v>
      </x:c>
      <x:c r="L109" s="28" t="str">
        <x:v>The Art &amp; Science of Foodpairing.pdf: 297</x:v>
      </x:c>
    </x:row>
    <x:row r="110" ht="64" customHeight="1">
      <x:c r="A110" s="28" t="str">
        <x:v>NCT-0282</x:v>
      </x:c>
      <x:c r="B110" s="28" t="str">
        <x:v>кофе</x:v>
      </x:c>
      <x:c r="C110" s="28" t="str">
        <x:v>соус тукупи</x:v>
      </x:c>
      <x:c r="D110" s="28" t="str">
        <x:v>Ферментированные продукты и соусы</x:v>
      </x:c>
      <x:c r="E110" s="28" t="str">
        <x:v>общие ароматические соединения, пересечение ароматических семейств, солёно-умами контраст</x:v>
      </x:c>
      <x:c r="F110" s="28" t="str">
        <x:v>Кофе имеет профиль «жареный, ореховый, карамельный, цветочный, фруктовый, фенольный и древесный». Партнёр «соус тукупи»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пиразины, фураны.</x:v>
      </x:c>
      <x:c r="G11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1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10" s="28" t="str">
        <x:v>кофейный напиток, холодный кофе, крем, сироп, десерт или соус с соус тукупи</x:v>
      </x:c>
      <x:c r="J110" s="28" t="str">
        <x:v>Высокая</x:v>
      </x:c>
      <x:c r="K110" s="28" t="str">
        <x:v>The Art &amp; Science of Foodpairing.pdf</x:v>
      </x:c>
      <x:c r="L110" s="28" t="str">
        <x:v>The Art &amp; Science of Foodpairing.pdf: 250</x:v>
      </x:c>
    </x:row>
    <x:row r="111" ht="64" customHeight="1">
      <x:c r="A111" s="28" t="str">
        <x:v>NCT-0283</x:v>
      </x:c>
      <x:c r="B111" s="28" t="str">
        <x:v>кофе</x:v>
      </x:c>
      <x:c r="C111" s="28" t="str">
        <x:v>таитянская ваниль</x:v>
      </x:c>
      <x:c r="D111" s="28" t="str">
        <x:v>Специи</x:v>
      </x:c>
      <x:c r="E111" s="28" t="str">
        <x:v>пересечение ароматических семейств</x:v>
      </x:c>
      <x:c r="F111" s="28" t="str">
        <x:v>Кофе имеет профиль «жареный, ореховый, карамельный, цветочный, фруктовый, фенольный и древесный». Партнёр «таитянская ваниль» относится к группе «Специи» и даёт ванильный, цветочный. Профили пересекаются в семействах: цветочный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11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1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11" s="28" t="str">
        <x:v>кофейный напиток, холодный кофе, крем, сироп, десерт или соус с таитянская ваниль</x:v>
      </x:c>
      <x:c r="J111" s="28" t="str">
        <x:v>Средняя</x:v>
      </x:c>
      <x:c r="K111" s="28" t="str">
        <x:v>The Art &amp; Science of Foodpairing.pdf</x:v>
      </x:c>
      <x:c r="L111" s="28" t="str">
        <x:v>The Art &amp; Science of Foodpairing.pdf: 297</x:v>
      </x:c>
    </x:row>
    <x:row r="112" ht="64" customHeight="1">
      <x:c r="A112" s="28" t="str">
        <x:v>NCT-0284</x:v>
      </x:c>
      <x:c r="B112" s="28" t="str">
        <x:v>кофе</x:v>
      </x:c>
      <x:c r="C112" s="28" t="str">
        <x:v>томат</x:v>
      </x:c>
      <x:c r="D112" s="28" t="str">
        <x:v>Овощи, бобовые и грибы</x:v>
      </x:c>
      <x:c r="E112" s="28" t="str">
        <x:v>сенсорная комплементарность</x:v>
      </x:c>
      <x:c r="F112" s="28" t="str">
        <x:v>Кофе имеет профиль «жареный, ореховый, карамельный, цветочный, фруктовый, фенольный и древесный». Партнёр «томат» относится к группе «Овощи, бобовые и грибы» и даёт зелёный, умами, фруктовый.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1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1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12" s="28" t="str">
        <x:v>кофейный напиток, холодный кофе, крем, сироп, десерт или соус с томат</x:v>
      </x:c>
      <x:c r="J112" s="28" t="str">
        <x:v>Средняя</x:v>
      </x:c>
      <x:c r="K112" s="28" t="str">
        <x:v>The Art &amp; Science of Foodpairing.pdf</x:v>
      </x:c>
      <x:c r="L112" s="28" t="str">
        <x:v>The Art &amp; Science of Foodpairing.pdf: 297</x:v>
      </x:c>
    </x:row>
    <x:row r="113" ht="64" customHeight="1">
      <x:c r="A113" s="28" t="str">
        <x:v>NCT-0285</x:v>
      </x:c>
      <x:c r="B113" s="28" t="str">
        <x:v>кофе</x:v>
      </x:c>
      <x:c r="C113" s="28" t="str">
        <x:v>тушёная мольва</x:v>
      </x:c>
      <x:c r="D113" s="28" t="str">
        <x:v>Прочее</x:v>
      </x:c>
      <x:c r="E113" s="28" t="str">
        <x:v>сенсорная комплементарность</x:v>
      </x:c>
      <x:c r="F113" s="28" t="str">
        <x:v>Кофе имеет профиль «жареный, ореховый, карамельный, цветочный, фруктовый, фенольный и древесный». Партнёр «тушёная мольва»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1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1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13" s="28" t="str">
        <x:v>кофейный напиток, холодный кофе, крем, сироп, десерт или соус с тушёная мольва</x:v>
      </x:c>
      <x:c r="J113" s="28" t="str">
        <x:v>Средняя</x:v>
      </x:c>
      <x:c r="K113" s="28" t="str">
        <x:v>The Art &amp; Science of Foodpairing.pdf</x:v>
      </x:c>
      <x:c r="L113" s="28" t="str">
        <x:v>The Art &amp; Science of Foodpairing.pdf: 297</x:v>
      </x:c>
    </x:row>
    <x:row r="114" ht="64" customHeight="1">
      <x:c r="A114" s="28" t="str">
        <x:v>NCT-0286</x:v>
      </x:c>
      <x:c r="B114" s="28" t="str">
        <x:v>кофе</x:v>
      </x:c>
      <x:c r="C114" s="28" t="str">
        <x:v>тыква</x:v>
      </x:c>
      <x:c r="D114" s="28" t="str">
        <x:v>Овощи, бобовые и грибы</x:v>
      </x:c>
      <x:c r="E114" s="28" t="str">
        <x:v>сенсорная комплементарность</x:v>
      </x:c>
      <x:c r="F114" s="28" t="str">
        <x:v>Кофе имеет профиль «жареный, ореховый, карамельный, цветочный, фруктовый, фенольный и древесный». Партнёр «тыква»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1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1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14" s="28" t="str">
        <x:v>кофейный напиток, холодный кофе, крем, сироп, десерт или соус с тыква</x:v>
      </x:c>
      <x:c r="J114" s="28" t="str">
        <x:v>Высокая</x:v>
      </x:c>
      <x:c r="K114" s="28" t="str">
        <x:v>The Art &amp; Science of Foodpairing.pdf | Таблица сочетания(1).pdf</x:v>
      </x:c>
      <x:c r="L114" s="28" t="str">
        <x:v>The Art &amp; Science of Foodpairing.pdf: 297; Таблица сочетания(1).pdf: 6, 18</x:v>
      </x:c>
    </x:row>
    <x:row r="115" ht="64" customHeight="1">
      <x:c r="A115" s="28" t="str">
        <x:v>NCT-0287</x:v>
      </x:c>
      <x:c r="B115" s="28" t="str">
        <x:v>кофе</x:v>
      </x:c>
      <x:c r="C115" s="28" t="str">
        <x:v>уакаатай</x:v>
      </x:c>
      <x:c r="D115" s="28" t="str">
        <x:v>Прочее</x:v>
      </x:c>
      <x:c r="E115" s="28" t="str">
        <x:v>сенсорная комплементарность</x:v>
      </x:c>
      <x:c r="F115" s="28" t="str">
        <x:v>Кофе имеет профиль «жареный, ореховый, карамельный, цветочный, фруктовый, фенольный и древесный». Партнёр «уакаатай»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1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1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15" s="28" t="str">
        <x:v>кофейный напиток, холодный кофе, крем, сироп, десерт или соус с уакаатай</x:v>
      </x:c>
      <x:c r="J115" s="28" t="str">
        <x:v>Средняя</x:v>
      </x:c>
      <x:c r="K115" s="28" t="str">
        <x:v>The Art &amp; Science of Foodpairing.pdf</x:v>
      </x:c>
      <x:c r="L115" s="28" t="str">
        <x:v>The Art &amp; Science of Foodpairing.pdf: 297</x:v>
      </x:c>
    </x:row>
    <x:row r="116" ht="64" customHeight="1">
      <x:c r="A116" s="28" t="str">
        <x:v>NCT-0288</x:v>
      </x:c>
      <x:c r="B116" s="28" t="str">
        <x:v>кофе</x:v>
      </x:c>
      <x:c r="C116" s="28" t="str">
        <x:v>фрике</x:v>
      </x:c>
      <x:c r="D116" s="28" t="str">
        <x:v>Прочее</x:v>
      </x:c>
      <x:c r="E116" s="28" t="str">
        <x:v>сенсорная комплементарность</x:v>
      </x:c>
      <x:c r="F116" s="28" t="str">
        <x:v>Кофе имеет профиль «жареный, ореховый, карамельный, цветочный, фруктовый, фенольный и древесный». Партнёр «фрике»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1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1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16" s="28" t="str">
        <x:v>кофейный напиток, холодный кофе, крем, сироп, десерт или соус с фрике</x:v>
      </x:c>
      <x:c r="J116" s="28" t="str">
        <x:v>Средняя</x:v>
      </x:c>
      <x:c r="K116" s="28" t="str">
        <x:v>The Art &amp; Science of Foodpairing.pdf</x:v>
      </x:c>
      <x:c r="L116" s="28" t="str">
        <x:v>The Art &amp; Science of Foodpairing.pdf: 297</x:v>
      </x:c>
    </x:row>
    <x:row r="117" ht="64" customHeight="1">
      <x:c r="A117" s="28" t="str">
        <x:v>NCT-0289</x:v>
      </x:c>
      <x:c r="B117" s="28" t="str">
        <x:v>кофе</x:v>
      </x:c>
      <x:c r="C117" s="28" t="str">
        <x:v>цветная капуста</x:v>
      </x:c>
      <x:c r="D117" s="28" t="str">
        <x:v>Овощи, бобовые и грибы</x:v>
      </x:c>
      <x:c r="E117" s="28" t="str">
        <x:v>сенсорная комплементарность</x:v>
      </x:c>
      <x:c r="F117" s="28" t="str">
        <x:v>Кофе имеет профиль «жареный, ореховый, карамельный, цветочный, фруктовый, фенольный и древесный». Партнёр «цветная капуста»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1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1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17" s="28" t="str">
        <x:v>кофейный напиток, холодный кофе, крем, сироп, десерт или соус с цветная капуста</x:v>
      </x:c>
      <x:c r="J117" s="28" t="str">
        <x:v>Средняя</x:v>
      </x:c>
      <x:c r="K117" s="28" t="str">
        <x:v>The Art &amp; Science of Foodpairing.pdf</x:v>
      </x:c>
      <x:c r="L117" s="28" t="str">
        <x:v>The Art &amp; Science of Foodpairing.pdf: 297</x:v>
      </x:c>
    </x:row>
    <x:row r="118" ht="64" customHeight="1">
      <x:c r="A118" s="28" t="str">
        <x:v>NCT-0290</x:v>
      </x:c>
      <x:c r="B118" s="28" t="str">
        <x:v>кофе</x:v>
      </x:c>
      <x:c r="C118" s="28" t="str">
        <x:v>цесарка</x:v>
      </x:c>
      <x:c r="D118" s="28" t="str">
        <x:v>Прочее</x:v>
      </x:c>
      <x:c r="E118" s="28" t="str">
        <x:v>сенсорная комплементарность</x:v>
      </x:c>
      <x:c r="F118" s="28" t="str">
        <x:v>Кофе имеет профиль «жареный, ореховый, карамельный, цветочный, фруктовый, фенольный и древесный». Партнёр «цесарка»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1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1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18" s="28" t="str">
        <x:v>кофейный напиток, холодный кофе, крем, сироп, десерт или соус с цесарка</x:v>
      </x:c>
      <x:c r="J118" s="28" t="str">
        <x:v>Средняя</x:v>
      </x:c>
      <x:c r="K118" s="28" t="str">
        <x:v>The Art &amp; Science of Foodpairing.pdf</x:v>
      </x:c>
      <x:c r="L118" s="28" t="str">
        <x:v>The Art &amp; Science of Foodpairing.pdf: 297</x:v>
      </x:c>
    </x:row>
    <x:row r="119" ht="64" customHeight="1">
      <x:c r="A119" s="28" t="str">
        <x:v>NCT-0291</x:v>
      </x:c>
      <x:c r="B119" s="28" t="str">
        <x:v>кофе</x:v>
      </x:c>
      <x:c r="C119" s="28" t="str">
        <x:v>черешня</x:v>
      </x:c>
      <x:c r="D119" s="28" t="str">
        <x:v>Прочее</x:v>
      </x:c>
      <x:c r="E119" s="28" t="str">
        <x:v>сенсорная комплементарность</x:v>
      </x:c>
      <x:c r="F119" s="28" t="str">
        <x:v>Кофе имеет профиль «жареный, ореховый, карамельный, цветочный, фруктовый, фенольный и древесный». Партнёр «черешня»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1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1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19" s="28" t="str">
        <x:v>кофейный напиток, холодный кофе, крем, сироп, десерт или соус с черешня</x:v>
      </x:c>
      <x:c r="J119" s="28" t="str">
        <x:v>Средняя</x:v>
      </x:c>
      <x:c r="K119" s="28" t="str">
        <x:v>The Art &amp; Science of Foodpairing.pdf</x:v>
      </x:c>
      <x:c r="L119" s="28" t="str">
        <x:v>The Art &amp; Science of Foodpairing.pdf: 297</x:v>
      </x:c>
    </x:row>
    <x:row r="120" ht="64" customHeight="1">
      <x:c r="A120" s="28" t="str">
        <x:v>NCT-0292</x:v>
      </x:c>
      <x:c r="B120" s="28" t="str">
        <x:v>кофе</x:v>
      </x:c>
      <x:c r="C120" s="28" t="str">
        <x:v>черная смородина</x:v>
      </x:c>
      <x:c r="D120" s="28" t="str">
        <x:v>Прочее</x:v>
      </x:c>
      <x:c r="E120" s="28" t="str">
        <x:v>сенсорная комплементарность</x:v>
      </x:c>
      <x:c r="F120" s="28" t="str">
        <x:v>Кофе имеет профиль «жареный, ореховый, карамельный, цветочный, фруктовый, фенольный и древесный». Партнёр «черная смородина»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2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2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20" s="28" t="str">
        <x:v>кофейный напиток, холодный кофе, крем, сироп, десерт или соус с черная смородина</x:v>
      </x:c>
      <x:c r="J120" s="28" t="str">
        <x:v>Средняя</x:v>
      </x:c>
      <x:c r="K120" s="28" t="str">
        <x:v>Тезариус вкусов (Ники Сегнит)(1).pdf</x:v>
      </x:c>
      <x:c r="L120" s="28" t="str">
        <x:v>Тезариус вкусов (Ники Сегнит)(1).pdf: 48, 877</x:v>
      </x:c>
    </x:row>
    <x:row r="121" ht="64" customHeight="1">
      <x:c r="A121" s="28" t="str">
        <x:v>NCT-0293</x:v>
      </x:c>
      <x:c r="B121" s="28" t="str">
        <x:v>кофе</x:v>
      </x:c>
      <x:c r="C121" s="28" t="str">
        <x:v>юдзу</x:v>
      </x:c>
      <x:c r="D121" s="28" t="str">
        <x:v>Прочее</x:v>
      </x:c>
      <x:c r="E121" s="28" t="str">
        <x:v>сенсорная комплементарность</x:v>
      </x:c>
      <x:c r="F121" s="28" t="str">
        <x:v>Кофе имеет профиль «жареный, ореховый, карамельный, цветочный, фруктовый, фенольный и древесный». Партнёр «юдзу» относится к группе «Прочее» и даёт профиль зависит от конкретного продукта.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12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2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21" s="28" t="str">
        <x:v>кофейный напиток, холодный кофе, крем, сироп, десерт или соус с юдзу</x:v>
      </x:c>
      <x:c r="J121" s="28" t="str">
        <x:v>Гипотеза / практическая</x:v>
      </x:c>
      <x:c r="K121" s="28" t="str">
        <x:v>Таблица сочетания(1).pdf</x:v>
      </x:c>
      <x:c r="L121" s="28" t="str">
        <x:v>Таблица сочетания(1).pdf: 22</x:v>
      </x:c>
    </x:row>
    <x:row r="122" ht="64" customHeight="1">
      <x:c r="A122" s="28" t="str">
        <x:v>NCT-0294</x:v>
      </x:c>
      <x:c r="B122" s="28" t="str">
        <x:v>кофе</x:v>
      </x:c>
      <x:c r="C122" s="28" t="str">
        <x:v>ягоды годжи</x:v>
      </x:c>
      <x:c r="D122" s="28" t="str">
        <x:v>Фрукты и ягоды</x:v>
      </x:c>
      <x:c r="E122" s="28" t="str">
        <x:v>пересечение ароматических семейств, контраст кислоты и жирной/горькой матрицы</x:v>
      </x:c>
      <x:c r="F122" s="28" t="str">
        <x:v>Кофе имеет профиль «жареный, ореховый, карамельный, цветочный, фруктовый, фенольный и древесный». Партнёр «ягоды годжи»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12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2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122" s="28" t="str">
        <x:v>кофейный напиток, холодный кофе, крем, сироп, десерт или соус с ягоды годжи</x:v>
      </x:c>
      <x:c r="J122" s="28" t="str">
        <x:v>Гипотеза / практическая</x:v>
      </x:c>
      <x:c r="K122" s="28" t="str">
        <x:v>Таблица сочетания(1).pdf</x:v>
      </x:c>
      <x:c r="L122" s="28" t="str">
        <x:v>Таблица сочетания(1).pdf: 8</x:v>
      </x:c>
    </x:row>
    <x:row r="123" ht="64" customHeight="1">
      <x:c r="A123" s="28" t="str">
        <x:v>NCT-0303</x:v>
      </x:c>
      <x:c r="B123" s="28" t="str">
        <x:v>макадамия</x:v>
      </x:c>
      <x:c r="C123" s="28" t="str">
        <x:v>кленовый сироп</x:v>
      </x:c>
      <x:c r="D123" s="28" t="str">
        <x:v>Выпечка, сахара и десерты</x:v>
      </x:c>
      <x:c r="E123" s="28" t="str">
        <x:v>общие ароматические соединения, жареная химия и реакции Майяра</x:v>
      </x:c>
      <x:c r="F123" s="28" t="str">
        <x:v>Макадамия имеет профиль «сливочный, маслянистый, сладко-ореховый и мягко-жареный».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пиразины, фураны.</x:v>
      </x:c>
      <x:c r="G123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123" s="28" t="str">
        <x:v>аллерген; высокая энергетическая плотность и прогоркание</x:v>
      </x:c>
      <x:c r="I123" s="28" t="str">
        <x:v>пралине, паста, выпечка, гарнир, соус, молочный или коктейльный компонент с кленовый сироп</x:v>
      </x:c>
      <x:c r="J123" s="28" t="str">
        <x:v>Гипотеза / практическая</x:v>
      </x:c>
      <x:c r="K123" s="28" t="str">
        <x:v>Таблица сочетания(1).pdf</x:v>
      </x:c>
      <x:c r="L123" s="28" t="str">
        <x:v>Таблица сочетания(1).pdf: 12</x:v>
      </x:c>
    </x:row>
    <x:row r="124" ht="64" customHeight="1">
      <x:c r="A124" s="28" t="str">
        <x:v>NCT-0315</x:v>
      </x:c>
      <x:c r="B124" s="28" t="str">
        <x:v>миндаль</x:v>
      </x:c>
      <x:c r="C124" s="28" t="str">
        <x:v>cognac</x:v>
      </x:c>
      <x:c r="D124" s="28" t="str">
        <x:v>Алкогольные напитки</x:v>
      </x:c>
      <x:c r="E124" s="28" t="str">
        <x:v>сенсорная комплементарность</x:v>
      </x:c>
      <x:c r="F124" s="28" t="str">
        <x:v>Миндаль имеет профиль «ореховый, сладкий, марципановый, слегка зелёный; после обжарки — карамельный и жареный». Партнёр «cognac» относится к группе «Алкогольные напитки» и даёт спиртовой, фруктовый или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2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24" s="28" t="str">
        <x:v>аллерген; быстро прогоркает после помола; горький миндаль и ядра косточковых не взаимозаменяемы</x:v>
      </x:c>
      <x:c r="I124" s="28" t="str">
        <x:v>пралине, паста, выпечка, гарнир, соус, молочный или коктейльный компонент с cognac</x:v>
      </x:c>
      <x:c r="J124" s="28" t="str">
        <x:v>Средняя</x:v>
      </x:c>
      <x:c r="K124" s="28" t="str">
        <x:v>The Art &amp; Science of Foodpairing.pdf</x:v>
      </x:c>
      <x:c r="L124" s="28" t="str">
        <x:v>The Art &amp; Science of Foodpairing.pdf: 123</x:v>
      </x:c>
    </x:row>
    <x:row r="125" ht="64" customHeight="1">
      <x:c r="A125" s="28" t="str">
        <x:v>NCT-0329</x:v>
      </x:c>
      <x:c r="B125" s="28" t="str">
        <x:v>миндаль</x:v>
      </x:c>
      <x:c r="C125" s="28" t="str">
        <x:v>виноград</x:v>
      </x:c>
      <x:c r="D125" s="28" t="str">
        <x:v>Алкогольные напитки</x:v>
      </x:c>
      <x:c r="E125" s="28" t="str">
        <x:v>сенсорная комплементарность</x:v>
      </x:c>
      <x:c r="F125" s="28" t="str">
        <x:v>Миндаль имеет профиль «ореховый, сладкий, марципановый, слегка зелёный; после обжарки — карамельный и жареный». Партнёр «виноград» относится к группе «Алкогольные напитки» и даёт спиртовой, фруктовый или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2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25" s="28" t="str">
        <x:v>аллерген; быстро прогоркает после помола; горький миндаль и ядра косточковых не взаимозаменяемы</x:v>
      </x:c>
      <x:c r="I125" s="28" t="str">
        <x:v>пралине, паста, выпечка, гарнир, соус, молочный или коктейльный компонент с виноград</x:v>
      </x:c>
      <x:c r="J125" s="28" t="str">
        <x:v>Средняя</x:v>
      </x:c>
      <x:c r="K125" s="28" t="str">
        <x:v>Тезариус вкусов (Ники Сегнит)(1).pdf</x:v>
      </x:c>
      <x:c r="L125" s="28" t="str">
        <x:v>Тезариус вкусов (Ники Сегнит)(1).pdf: 642, 667</x:v>
      </x:c>
    </x:row>
    <x:row r="126" ht="64" customHeight="1">
      <x:c r="A126" s="28" t="str">
        <x:v>NCT-0342</x:v>
      </x:c>
      <x:c r="B126" s="28" t="str">
        <x:v>миндаль</x:v>
      </x:c>
      <x:c r="C126" s="28" t="str">
        <x:v>кленовый сироп</x:v>
      </x:c>
      <x:c r="D126" s="28" t="str">
        <x:v>Выпечка, сахара и десерты</x:v>
      </x:c>
      <x:c r="E126" s="28" t="str">
        <x:v>общие ароматические соединения, пересечение ароматических семейств, жареная химия и реакции Майяра</x:v>
      </x:c>
      <x:c r="F126" s="28" t="str">
        <x:v>Миндаль имеет профиль «ореховый, сладкий, марципановый, слегка зелёный; после обжарки — карамельный и жареный».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12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26" s="28" t="str">
        <x:v>аллерген; быстро прогоркает после помола; горький миндаль и ядра косточковых не взаимозаменяемы</x:v>
      </x:c>
      <x:c r="I126" s="28" t="str">
        <x:v>пралине, паста, выпечка, гарнир, соус, молочный или коктейльный компонент с кленовый сироп</x:v>
      </x:c>
      <x:c r="J126" s="28" t="str">
        <x:v>Гипотеза / практическая</x:v>
      </x:c>
      <x:c r="K126" s="28" t="str">
        <x:v>Таблица сочетания(1).pdf</x:v>
      </x:c>
      <x:c r="L126" s="28" t="str">
        <x:v>Таблица сочетания(1).pdf: 13</x:v>
      </x:c>
    </x:row>
    <x:row r="127" ht="64" customHeight="1">
      <x:c r="A127" s="28" t="str">
        <x:v>NCT-0347</x:v>
      </x:c>
      <x:c r="B127" s="28" t="str">
        <x:v>миндаль</x:v>
      </x:c>
      <x:c r="C127" s="28" t="str">
        <x:v>кофе</x:v>
      </x:c>
      <x:c r="D127" s="28" t="str">
        <x:v>Кофе</x:v>
      </x:c>
      <x:c r="E127" s="28" t="str">
        <x:v>общие ароматические соединения, пересечение ароматических семейств, жареная химия и реакции Майяра</x:v>
      </x:c>
      <x:c r="F127" s="28" t="str">
        <x:v>Миндаль имеет профиль «ореховый, сладкий, марципановый, слегка зелёный; после обжарки — карамельный и жареный».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ореховый; пиразины, фураны.</x:v>
      </x:c>
      <x:c r="G12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27" s="28" t="str">
        <x:v>аллерген; быстро прогоркает после помола; горький миндаль и ядра косточковых не взаимозаменяемы</x:v>
      </x:c>
      <x:c r="I127" s="28" t="str">
        <x:v>пралине, паста, выпечка, гарнир, соус, молочный или коктейльный компонент с кофе</x:v>
      </x:c>
      <x:c r="J127" s="28" t="str">
        <x:v>Высокая</x:v>
      </x:c>
      <x:c r="K127" s="28" t="str">
        <x:v>The Art &amp; Science of Foodpairing.pdf | Таблица сочетания(1).pdf | Тезариус вкусов (Ники Сегнит)(1).pdf</x:v>
      </x:c>
      <x:c r="L127" s="28" t="str">
        <x:v>The Art &amp; Science of Foodpairing.pdf: 297; Таблица сочетания(1).pdf: 1, 6; Тезариус вкусов (Ники Сегнит)(1).pdf: 47, 645</x:v>
      </x:c>
    </x:row>
    <x:row r="128" ht="64" customHeight="1">
      <x:c r="A128" s="28" t="str">
        <x:v>NCT-0366</x:v>
      </x:c>
      <x:c r="B128" s="28" t="str">
        <x:v>миндаль</x:v>
      </x:c>
      <x:c r="C128" s="28" t="str">
        <x:v>ромашка</x:v>
      </x:c>
      <x:c r="D128" s="28" t="str">
        <x:v>Алкогольные напитки</x:v>
      </x:c>
      <x:c r="E128" s="28" t="str">
        <x:v>сенсорная комплементарность</x:v>
      </x:c>
      <x:c r="F128" s="28" t="str">
        <x:v>Миндаль имеет профиль «ореховый, сладкий, марципановый, слегка зелёный; после обжарки — карамельный и жареный». Партнёр «ромашка» относится к группе «Алкогольные напитки» и даёт спиртовой, фруктовый или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2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128" s="28" t="str">
        <x:v>аллерген; быстро прогоркает после помола; горький миндаль и ядра косточковых не взаимозаменяемы</x:v>
      </x:c>
      <x:c r="I128" s="28" t="str">
        <x:v>пралине, паста, выпечка, гарнир, соус, молочный или коктейльный компонент с ромашка</x:v>
      </x:c>
      <x:c r="J128" s="28" t="str">
        <x:v>Гипотеза / практическая</x:v>
      </x:c>
      <x:c r="K128" s="28" t="str">
        <x:v>Таблица сочетания(1).pdf</x:v>
      </x:c>
      <x:c r="L128" s="28" t="str">
        <x:v>Таблица сочетания(1).pdf: 4</x:v>
      </x:c>
    </x:row>
    <x:row r="129" ht="64" customHeight="1">
      <x:c r="A129" s="28" t="str">
        <x:v>NCT-0404</x:v>
      </x:c>
      <x:c r="B129" s="28" t="str">
        <x:v>пекан</x:v>
      </x:c>
      <x:c r="C129" s="28" t="str">
        <x:v>виноград</x:v>
      </x:c>
      <x:c r="D129" s="28" t="str">
        <x:v>Алкогольные напитки</x:v>
      </x:c>
      <x:c r="E129" s="28" t="str">
        <x:v>сенсорная комплементарность</x:v>
      </x:c>
      <x:c r="F129" s="28" t="str">
        <x:v>Пекан имеет профиль «маслянистый, сладкий, карамельный и древесно-ореховый». Партнёр «виноград» относится к группе «Алкогольные напитки» и даёт спиртовой, фруктовый или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29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129" s="28" t="str">
        <x:v>аллерген и высокая склонность к окислению</x:v>
      </x:c>
      <x:c r="I129" s="28" t="str">
        <x:v>пралине, паста, выпечка, гарнир, соус, молочный или коктейльный компонент с виноград</x:v>
      </x:c>
      <x:c r="J129" s="28" t="str">
        <x:v>Гипотеза / практическая</x:v>
      </x:c>
      <x:c r="K129" s="28" t="str">
        <x:v>Таблица сочетания(1).pdf</x:v>
      </x:c>
      <x:c r="L129" s="28" t="str">
        <x:v>Таблица сочетания(1).pdf: 16</x:v>
      </x:c>
    </x:row>
    <x:row r="130" ht="64" customHeight="1">
      <x:c r="A130" s="28" t="str">
        <x:v>NCT-0410</x:v>
      </x:c>
      <x:c r="B130" s="28" t="str">
        <x:v>пекан</x:v>
      </x:c>
      <x:c r="C130" s="28" t="str">
        <x:v>кленовый сироп</x:v>
      </x:c>
      <x:c r="D130" s="28" t="str">
        <x:v>Выпечка, сахара и десерты</x:v>
      </x:c>
      <x:c r="E130" s="28" t="str">
        <x:v>общие ароматические соединения, пересечение ароматических семейств, жареная химия и реакции Майяра</x:v>
      </x:c>
      <x:c r="F130" s="28" t="str">
        <x:v>Пекан имеет профиль «маслянистый, сладкий, карамельный и древесно-ореховый».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карамельный; пиразины, фураны.</x:v>
      </x:c>
      <x:c r="G130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130" s="28" t="str">
        <x:v>аллерген и высокая склонность к окислению</x:v>
      </x:c>
      <x:c r="I130" s="28" t="str">
        <x:v>пралине, паста, выпечка, гарнир, соус, молочный или коктейльный компонент с кленовый сироп</x:v>
      </x:c>
      <x:c r="J130" s="28" t="str">
        <x:v>Гипотеза / практическая</x:v>
      </x:c>
      <x:c r="K130" s="28" t="str">
        <x:v>Таблица сочетания(1).pdf</x:v>
      </x:c>
      <x:c r="L130" s="28" t="str">
        <x:v>Таблица сочетания(1).pdf: 16</x:v>
      </x:c>
    </x:row>
    <x:row r="131" ht="64" customHeight="1">
      <x:c r="A131" s="28" t="str">
        <x:v>NCT-0420</x:v>
      </x:c>
      <x:c r="B131" s="28" t="str">
        <x:v>ройбуш</x:v>
      </x:c>
      <x:c r="C131" s="28" t="str">
        <x:v>банан</x:v>
      </x:c>
      <x:c r="D131" s="28" t="str">
        <x:v>Фрукты и ягоды</x:v>
      </x:c>
      <x:c r="E131" s="28" t="str">
        <x:v>контраст кислоты и жирной/горькой матрицы</x:v>
      </x:c>
      <x:c r="F131" s="28" t="str">
        <x:v>Ройбуш имеет профиль «медовый, древесный, ванильный и слегка ореховый».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31" s="28" t="str">
        <x:v>длительное заваривание переносит лучше чая, но может усилить древесность.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31" s="28" t="str">
        <x:v>слабая структура требует кислоты или специи; легко потерять тонкий аромат;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131" s="28" t="str">
        <x:v>чайный настой, холодный чай, кордиал, молочный пунш, десерт или соус с банан</x:v>
      </x:c>
      <x:c r="J131" s="28" t="str">
        <x:v>Средняя</x:v>
      </x:c>
      <x:c r="K131" s="28" t="str">
        <x:v>The Art &amp; Science of Foodpairing.pdf</x:v>
      </x:c>
      <x:c r="L131" s="28" t="str">
        <x:v>The Art &amp; Science of Foodpairing.pdf: 342</x:v>
      </x:c>
    </x:row>
    <x:row r="132" ht="64" customHeight="1">
      <x:c r="A132" s="28" t="str">
        <x:v>NCT-0421</x:v>
      </x:c>
      <x:c r="B132" s="28" t="str">
        <x:v>ройбуш</x:v>
      </x:c>
      <x:c r="C132" s="28" t="str">
        <x:v>свёкла</x:v>
      </x:c>
      <x:c r="D132" s="28" t="str">
        <x:v>Овощи, бобовые и грибы</x:v>
      </x:c>
      <x:c r="E132" s="28" t="str">
        <x:v>сенсорная комплементарность</x:v>
      </x:c>
      <x:c r="F132" s="28" t="str">
        <x:v>Ройбуш имеет профиль «медовый, древесный, ванильный и слегка ореховый». Партнёр «свёкла» относится к группе «Овощи, бобовые и грибы» и даёт землистый, сладкий.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32" s="28" t="str">
        <x:v>длительное заваривание переносит лучше чая, но может усилить древесность.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32" s="28" t="str">
        <x:v>слабая структура требует кислоты или специи; легко потерять тонкий аромат; слишком горячая вода и долгое заваривание усиливают терпкость</x:v>
      </x:c>
      <x:c r="I132" s="28" t="str">
        <x:v>чайный настой, холодный чай, кордиал, молочный пунш, десерт или соус с свёкла</x:v>
      </x:c>
      <x:c r="J132" s="28" t="str">
        <x:v>Средняя</x:v>
      </x:c>
      <x:c r="K132" s="28" t="str">
        <x:v>The Art &amp; Science of Foodpairing.pdf</x:v>
      </x:c>
      <x:c r="L132" s="28" t="str">
        <x:v>The Art &amp; Science of Foodpairing.pdf: 224</x:v>
      </x:c>
    </x:row>
    <x:row r="133" ht="64" customHeight="1">
      <x:c r="A133" s="28" t="str">
        <x:v>NCT-0422</x:v>
      </x:c>
      <x:c r="B133" s="28" t="str">
        <x:v>улун</x:v>
      </x:c>
      <x:c r="C133" s="28" t="str">
        <x:v>sea fig</x:v>
      </x:c>
      <x:c r="D133" s="28" t="str">
        <x:v>Фрукты и ягоды</x:v>
      </x:c>
      <x:c r="E133" s="28" t="str">
        <x:v>пересечение ароматических семейств, контраст кислоты и жирной/горькой матрицы</x:v>
      </x:c>
      <x:c r="F133" s="28" t="str">
        <x:v>Улун имеет профиль «цветочный, фруктовый, сливочный и слегка жареный». Партнёр «sea fig» относится к группе «Фрукты и ягоды» и даёт фруктовый, цветочный и свежий. Профили пересекаются в семействах: фруктовый,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фруктовый, цветочный; механизм не следует сводить к одной общей молекуле.</x:v>
      </x:c>
      <x:c r="G133" s="28" t="str">
        <x:v>многократные короткие проливы раскрывают слои; перегрев стирает цветочность.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33" s="28" t="str">
        <x:v>переэкстракция и хранение рядом с сильными запахами;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133" s="28" t="str">
        <x:v>чайный настой, холодный чай, кордиал, молочный пунш, десерт или соус с sea fig</x:v>
      </x:c>
      <x:c r="J133" s="28" t="str">
        <x:v>Высокая</x:v>
      </x:c>
      <x:c r="K133" s="28" t="str">
        <x:v>The Art &amp; Science of Foodpairing.pdf</x:v>
      </x:c>
      <x:c r="L133" s="28" t="str">
        <x:v>The Art &amp; Science of Foodpairing.pdf: 363</x:v>
      </x:c>
    </x:row>
    <x:row r="134" ht="64" customHeight="1">
      <x:c r="A134" s="28" t="str">
        <x:v>NCT-0472</x:v>
      </x:c>
      <x:c r="B134" s="28" t="str">
        <x:v>фундук</x:v>
      </x:c>
      <x:c r="C134" s="28" t="str">
        <x:v>iambic beer</x:v>
      </x:c>
      <x:c r="D134" s="28" t="str">
        <x:v>Алкогольные напитки</x:v>
      </x:c>
      <x:c r="E134" s="28" t="str">
        <x:v>общие ароматические соединения</x:v>
      </x:c>
      <x:c r="F134" s="28" t="str">
        <x:v>Фундук имеет профиль «ореховый, жареный, сладкий, землистый и какаоподобный». Партнёр «iambic beer» относится к группе «Алкогольные напитки» и даёт спиртовой, фруктовый или древесный.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3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34" s="28" t="str">
        <x:v>аллерген и чувствительность к прогорканию; пережаривание даёт дымную горечь</x:v>
      </x:c>
      <x:c r="I134" s="28" t="str">
        <x:v>пралине, паста, выпечка, гарнир, соус, молочный или коктейльный компонент с iambic beer</x:v>
      </x:c>
      <x:c r="J134" s="28" t="str">
        <x:v>Средняя</x:v>
      </x:c>
      <x:c r="K134" s="28" t="str">
        <x:v>The Art &amp; Science of Foodpairing.pdf</x:v>
      </x:c>
      <x:c r="L134" s="28" t="str">
        <x:v>The Art &amp; Science of Foodpairing.pdf: 178</x:v>
      </x:c>
    </x:row>
    <x:row r="135" ht="64" customHeight="1">
      <x:c r="A135" s="28" t="str">
        <x:v>NCT-0475</x:v>
      </x:c>
      <x:c r="B135" s="28" t="str">
        <x:v>фундук</x:v>
      </x:c>
      <x:c r="C135" s="28" t="str">
        <x:v>lemon vodka</x:v>
      </x:c>
      <x:c r="D135" s="28" t="str">
        <x:v>Алкогольные напитки</x:v>
      </x:c>
      <x:c r="E135" s="28" t="str">
        <x:v>общие ароматические соединения</x:v>
      </x:c>
      <x:c r="F135" s="28" t="str">
        <x:v>Фундук имеет профиль «ореховый, жареный, сладкий, землистый и какаоподобный». Партнёр «lemon vodka» относится к группе «Алкогольные напитки» и даёт спиртовой, фруктовый или древесный.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3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35" s="28" t="str">
        <x:v>аллерген и чувствительность к прогорканию; пережаривание даёт дымную горечь</x:v>
      </x:c>
      <x:c r="I135" s="28" t="str">
        <x:v>пралине, паста, выпечка, гарнир, соус, молочный или коктейльный компонент с lemon vodka</x:v>
      </x:c>
      <x:c r="J135" s="28" t="str">
        <x:v>Средняя</x:v>
      </x:c>
      <x:c r="K135" s="28" t="str">
        <x:v>The Art &amp; Science of Foodpairing.pdf</x:v>
      </x:c>
      <x:c r="L135" s="28" t="str">
        <x:v>The Art &amp; Science of Foodpairing.pdf: 332</x:v>
      </x:c>
    </x:row>
    <x:row r="136" ht="64" customHeight="1">
      <x:c r="A136" s="28" t="str">
        <x:v>NCT-0488</x:v>
      </x:c>
      <x:c r="B136" s="28" t="str">
        <x:v>фундук</x:v>
      </x:c>
      <x:c r="C136" s="28" t="str">
        <x:v>senchatea</x:v>
      </x:c>
      <x:c r="D136" s="28" t="str">
        <x:v>Чай</x:v>
      </x:c>
      <x:c r="E136" s="28" t="str">
        <x:v>сенсорная комплементарность</x:v>
      </x:c>
      <x:c r="F136" s="28" t="str">
        <x:v>Фундук имеет профиль «ореховый, жареный, сладкий, землистый и какаоподобный». Партнёр «senchatea» относится к группе «Чай» и даёт цветочный, древесный или зелёный.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3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36" s="28" t="str">
        <x:v>аллерген и чувствительность к прогорканию; пережаривание даёт дымную горечь</x:v>
      </x:c>
      <x:c r="I136" s="28" t="str">
        <x:v>пралине, паста, выпечка, гарнир, соус, молочный или коктейльный компонент с senchatea</x:v>
      </x:c>
      <x:c r="J136" s="28" t="str">
        <x:v>Средняя</x:v>
      </x:c>
      <x:c r="K136" s="28" t="str">
        <x:v>The Art &amp; Science of Foodpairing.pdf</x:v>
      </x:c>
      <x:c r="L136" s="28" t="str">
        <x:v>The Art &amp; Science of Foodpairing.pdf: 332</x:v>
      </x:c>
    </x:row>
    <x:row r="137" ht="64" customHeight="1">
      <x:c r="A137" s="28" t="str">
        <x:v>NCT-0510</x:v>
      </x:c>
      <x:c r="B137" s="28" t="str">
        <x:v>фундук</x:v>
      </x:c>
      <x:c r="C137" s="28" t="str">
        <x:v>зелёный чай</x:v>
      </x:c>
      <x:c r="D137" s="28" t="str">
        <x:v>Чай</x:v>
      </x:c>
      <x:c r="E137" s="28" t="str">
        <x:v>сенсорная комплементарность</x:v>
      </x:c>
      <x:c r="F137" s="28" t="str">
        <x:v>Фундук имеет профиль «ореховый, жареный, сладкий, землистый и какаоподобный». Партнёр «зелёный чай» относится к группе «Чай» и даёт зелёный, морской, травянистый, цветочный и слегка жареный; у матча —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3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37" s="28" t="str">
        <x:v>аллерген и чувствительность к прогорканию; пережаривание даёт дымную горечь</x:v>
      </x:c>
      <x:c r="I137" s="28" t="str">
        <x:v>пралине, паста, выпечка, гарнир, соус, молочный или коктейльный компонент с зелёный чай</x:v>
      </x:c>
      <x:c r="J137" s="28" t="str">
        <x:v>Средняя</x:v>
      </x:c>
      <x:c r="K137" s="28" t="str">
        <x:v>The Art &amp; Science of Foodpairing.pdf</x:v>
      </x:c>
      <x:c r="L137" s="28" t="str">
        <x:v>The Art &amp; Science of Foodpairing.pdf: 332</x:v>
      </x:c>
    </x:row>
    <x:row r="138" ht="64" customHeight="1">
      <x:c r="A138" s="28" t="str">
        <x:v>NCT-0517</x:v>
      </x:c>
      <x:c r="B138" s="28" t="str">
        <x:v>фундук</x:v>
      </x:c>
      <x:c r="C138" s="28" t="str">
        <x:v>кленовый сироп</x:v>
      </x:c>
      <x:c r="D138" s="28" t="str">
        <x:v>Выпечка, сахара и десерты</x:v>
      </x:c>
      <x:c r="E138" s="28" t="str">
        <x:v>общие ароматические соединения, пересечение ароматических семейств, жареная химия и реакции Майяра</x:v>
      </x:c>
      <x:c r="F138" s="28" t="str">
        <x:v>Фундук имеет профиль «ореховый, жареный, сладкий, землистый и какаоподобный».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13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38" s="28" t="str">
        <x:v>аллерген и чувствительность к прогорканию; пережаривание даёт дымную горечь</x:v>
      </x:c>
      <x:c r="I138" s="28" t="str">
        <x:v>пралине, паста, выпечка, гарнир, соус, молочный или коктейльный компонент с кленовый сироп</x:v>
      </x:c>
      <x:c r="J138" s="28" t="str">
        <x:v>Средняя</x:v>
      </x:c>
      <x:c r="K138" s="28" t="str">
        <x:v>The Art &amp; Science of Foodpairing.pdf</x:v>
      </x:c>
      <x:c r="L138" s="28" t="str">
        <x:v>The Art &amp; Science of Foodpairing.pdf: 332</x:v>
      </x:c>
    </x:row>
    <x:row r="139" ht="64" customHeight="1">
      <x:c r="A139" s="28" t="str">
        <x:v>NCT-0522</x:v>
      </x:c>
      <x:c r="B139" s="28" t="str">
        <x:v>фундук</x:v>
      </x:c>
      <x:c r="C139" s="28" t="str">
        <x:v>кофе</x:v>
      </x:c>
      <x:c r="D139" s="28" t="str">
        <x:v>Кофе</x:v>
      </x:c>
      <x:c r="E139" s="28" t="str">
        <x:v>общие ароматические соединения, пересечение ароматических семейств, жареная химия и реакции Майяра</x:v>
      </x:c>
      <x:c r="F139" s="28" t="str">
        <x:v>Фундук имеет профиль «ореховый, жареный, сладкий, землистый и какаоподобный».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ореховый; пиразины, фураны.</x:v>
      </x:c>
      <x:c r="G13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39" s="28" t="str">
        <x:v>аллерген и чувствительность к прогорканию; пережаривание даёт дымную горечь</x:v>
      </x:c>
      <x:c r="I139" s="28" t="str">
        <x:v>пралине, паста, выпечка, гарнир, соус, молочный или коктейльный компонент с кофе</x:v>
      </x:c>
      <x:c r="J139" s="28" t="str">
        <x:v>Высокая</x:v>
      </x:c>
      <x:c r="K139" s="28" t="str">
        <x:v>Таблица сочетания(1).pdf | Тезариус вкусов (Ники Сегнит)(1).pdf</x:v>
      </x:c>
      <x:c r="L139" s="28" t="str">
        <x:v>Таблица сочетания(1).pdf: 6; Тезариус вкусов (Ники Сегнит)(1).pdf: 47, 635</x:v>
      </x:c>
    </x:row>
    <x:row r="140" ht="64" customHeight="1">
      <x:c r="A140" s="28" t="str">
        <x:v>NCT-0538</x:v>
      </x:c>
      <x:c r="B140" s="28" t="str">
        <x:v>фундук</x:v>
      </x:c>
      <x:c r="C140" s="28" t="str">
        <x:v>торфяной виски</x:v>
      </x:c>
      <x:c r="D140" s="28" t="str">
        <x:v>Алкогольные напитки</x:v>
      </x:c>
      <x:c r="E140" s="28" t="str">
        <x:v>общие ароматические соединения</x:v>
      </x:c>
      <x:c r="F140" s="28" t="str">
        <x:v>Фундук имеет профиль «ореховый, жареный, сладкий, землистый и какаоподобный». Партнёр «торфяной виски» относится к группе «Алкогольные напитки» и даёт спиртовой, фруктовый или древесный.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4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40" s="28" t="str">
        <x:v>аллерген и чувствительность к прогорканию; пережаривание даёт дымную горечь</x:v>
      </x:c>
      <x:c r="I140" s="28" t="str">
        <x:v>пралине, паста, выпечка, гарнир, соус, молочный или коктейльный компонент с торфяной виски</x:v>
      </x:c>
      <x:c r="J140" s="28" t="str">
        <x:v>Средняя</x:v>
      </x:c>
      <x:c r="K140" s="28" t="str">
        <x:v>The Art &amp; Science of Foodpairing.pdf</x:v>
      </x:c>
      <x:c r="L140" s="28" t="str">
        <x:v>The Art &amp; Science of Foodpairing.pdf: 332</x:v>
      </x:c>
    </x:row>
    <x:row r="141" ht="64" customHeight="1">
      <x:c r="A141" s="28" t="str">
        <x:v>NCT-0546</x:v>
      </x:c>
      <x:c r="B141" s="28" t="str">
        <x:v>фундук</x:v>
      </x:c>
      <x:c r="C141" s="28" t="str">
        <x:v>чёрный чай</x:v>
      </x:c>
      <x:c r="D141" s="28" t="str">
        <x:v>Чай</x:v>
      </x:c>
      <x:c r="E141" s="28" t="str">
        <x:v>сенсорная комплементарность</x:v>
      </x:c>
      <x:c r="F141" s="28" t="str">
        <x:v>Фундук имеет профиль «ореховый, жареный, сладкий, землистый и какаоподобный». Партнёр «чёрный чай» относится к группе «Чай» и даёт мальтовый, цветочный, фруктовый, древесный и слегка дымный.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4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41" s="28" t="str">
        <x:v>аллерген и чувствительность к прогорканию; пережаривание даёт дымную горечь</x:v>
      </x:c>
      <x:c r="I141" s="28" t="str">
        <x:v>пралине, паста, выпечка, гарнир, соус, молочный или коктейльный компонент с чёрный чай</x:v>
      </x:c>
      <x:c r="J141" s="28" t="str">
        <x:v>Средняя</x:v>
      </x:c>
      <x:c r="K141" s="28" t="str">
        <x:v>The Art &amp; Science of Foodpairing.pdf</x:v>
      </x:c>
      <x:c r="L141" s="28" t="str">
        <x:v>The Art &amp; Science of Foodpairing.pdf: 332</x:v>
      </x:c>
    </x:row>
    <x:row r="142" ht="64" customHeight="1">
      <x:c r="A142" s="28" t="str">
        <x:v>NCT-0551</x:v>
      </x:c>
      <x:c r="B142" s="28" t="str">
        <x:v>чёрный чай</x:v>
      </x:c>
      <x:c r="C142" s="28" t="str">
        <x:v>bacon</x:v>
      </x:c>
      <x:c r="D142" s="28" t="str">
        <x:v>Мясо и птица</x:v>
      </x:c>
      <x:c r="E142" s="28" t="str">
        <x:v>жареная химия и реакции Майяра, солёно-умами контраст</x:v>
      </x:c>
      <x:c r="F142" s="28" t="str">
        <x:v>Чёрный чай имеет профиль «мальтовый, цветочный, фруктовый, древесный и слегка дымный». Партнёр «bacon»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42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42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42" s="28" t="str">
        <x:v>чайный настой, холодный чай, кордиал, молочный пунш, десерт или соус с bacon</x:v>
      </x:c>
      <x:c r="J142" s="28" t="str">
        <x:v>Высокая</x:v>
      </x:c>
      <x:c r="K142" s="28" t="str">
        <x:v>The Art &amp; Science of Foodpairing.pdf</x:v>
      </x:c>
      <x:c r="L142" s="28" t="str">
        <x:v>The Art &amp; Science of Foodpairing.pdf: 362</x:v>
      </x:c>
    </x:row>
    <x:row r="143" ht="64" customHeight="1">
      <x:c r="A143" s="28" t="str">
        <x:v>NCT-0552</x:v>
      </x:c>
      <x:c r="B143" s="28" t="str">
        <x:v>чёрный чай</x:v>
      </x:c>
      <x:c r="C143" s="28" t="str">
        <x:v>balsamic vinegar</x:v>
      </x:c>
      <x:c r="D143" s="28" t="str">
        <x:v>Ферментированные продукты и соусы</x:v>
      </x:c>
      <x:c r="E143" s="28" t="str">
        <x:v>солёно-умами контраст</x:v>
      </x:c>
      <x:c r="F143" s="28" t="str">
        <x:v>Чёрный чай имеет профиль «мальтовый, цветочный, фруктовый, древесный и слегка дымный». Партнёр «balsamic vinegar» относится к группе «Ферментированные продукты и соусы» и даёт ферментированный, умами и сложный.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43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43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43" s="28" t="str">
        <x:v>чайный настой, холодный чай, кордиал, молочный пунш, десерт или соус с balsamic vinegar</x:v>
      </x:c>
      <x:c r="J143" s="28" t="str">
        <x:v>Средняя</x:v>
      </x:c>
      <x:c r="K143" s="28" t="str">
        <x:v>The Art &amp; Science of Foodpairing.pdf</x:v>
      </x:c>
      <x:c r="L143" s="28" t="str">
        <x:v>The Art &amp; Science of Foodpairing.pdf: 316</x:v>
      </x:c>
    </x:row>
    <x:row r="144" ht="64" customHeight="1">
      <x:c r="A144" s="28" t="str">
        <x:v>NCT-0553</x:v>
      </x:c>
      <x:c r="B144" s="28" t="str">
        <x:v>чёрный чай</x:v>
      </x:c>
      <x:c r="C144" s="28" t="str">
        <x:v>blue cheese</x:v>
      </x:c>
      <x:c r="D144" s="28" t="str">
        <x:v>Молочные продукты и сыры</x:v>
      </x:c>
      <x:c r="E144" s="28" t="str">
        <x:v>жировая экстракция и связывание полифенолов белком</x:v>
      </x:c>
      <x:c r="F144" s="28" t="str">
        <x:v>Чёрный чай имеет профиль «мальтовый, цветочный, фруктовый, древесный и слегка дымный». Партнёр «blue cheese»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44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44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терпкость; жир способен приглушить тонкую ароматику; белок связывает полифенолы</x:v>
      </x:c>
      <x:c r="I144" s="28" t="str">
        <x:v>чайный настой, холодный чай, кордиал, молочный пунш, десерт или соус с blue cheese</x:v>
      </x:c>
      <x:c r="J144" s="28" t="str">
        <x:v>Средняя</x:v>
      </x:c>
      <x:c r="K144" s="28" t="str">
        <x:v>The Art &amp; Science of Foodpairing.pdf</x:v>
      </x:c>
      <x:c r="L144" s="28" t="str">
        <x:v>The Art &amp; Science of Foodpairing.pdf: 164</x:v>
      </x:c>
    </x:row>
    <x:row r="145" ht="64" customHeight="1">
      <x:c r="A145" s="28" t="str">
        <x:v>NCT-0554</x:v>
      </x:c>
      <x:c r="B145" s="28" t="str">
        <x:v>чёрный чай</x:v>
      </x:c>
      <x:c r="C145" s="28" t="str">
        <x:v>cognac</x:v>
      </x:c>
      <x:c r="D145" s="28" t="str">
        <x:v>Алкогольные напитки</x:v>
      </x:c>
      <x:c r="E145" s="28" t="str">
        <x:v>пересечение ароматических семейств</x:v>
      </x:c>
      <x:c r="F145" s="28" t="str">
        <x:v>Чёрный чай имеет профиль «мальтовый, цветочный, фруктовый, древесный и слегка дымный». Партнёр «cognac» относится к группе «Алкогольные напитки» и даёт спиртовой, фруктовый или древесный. Профили пересекаются в семействах: древесный Полифенолы создают терпкость, поэтому сахар, жир, соль или умами могут смягчить сухость; чрезмерно танинный партнёр, наоборот, её усиливает. Итог: древесный; механизм не следует сводить к одной общей молекуле.</x:v>
      </x:c>
      <x:c r="G145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45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45" s="28" t="str">
        <x:v>чайный настой, холодный чай, кордиал, молочный пунш, десерт или соус с cognac</x:v>
      </x:c>
      <x:c r="J145" s="28" t="str">
        <x:v>Средняя</x:v>
      </x:c>
      <x:c r="K145" s="28" t="str">
        <x:v>The Art &amp; Science of Foodpairing.pdf</x:v>
      </x:c>
      <x:c r="L145" s="28" t="str">
        <x:v>The Art &amp; Science of Foodpairing.pdf: 123</x:v>
      </x:c>
    </x:row>
    <x:row r="146" ht="64" customHeight="1">
      <x:c r="A146" s="28" t="str">
        <x:v>NCT-0555</x:v>
      </x:c>
      <x:c r="B146" s="28" t="str">
        <x:v>чёрный чай</x:v>
      </x:c>
      <x:c r="C146" s="28" t="str">
        <x:v>garlic</x:v>
      </x:c>
      <x:c r="D146" s="28" t="str">
        <x:v>Овощи, бобовые и грибы</x:v>
      </x:c>
      <x:c r="E146" s="28" t="str">
        <x:v>сенсорная комплементарность</x:v>
      </x:c>
      <x:c r="F146" s="28" t="str">
        <x:v>Чёрный чай имеет профиль «мальтовый, цветочный, фруктовый, древесный и слегка дымный». Партнёр «garlic» относится к группе «Овощи, бобовые и грибы» и даёт зелёный, землистый или умами.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46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46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46" s="28" t="str">
        <x:v>чайный настой, холодный чай, кордиал, молочный пунш, десерт или соус с garlic</x:v>
      </x:c>
      <x:c r="J146" s="28" t="str">
        <x:v>Средняя</x:v>
      </x:c>
      <x:c r="K146" s="28" t="str">
        <x:v>The Art &amp; Science of Foodpairing.pdf</x:v>
      </x:c>
      <x:c r="L146" s="28" t="str">
        <x:v>The Art &amp; Science of Foodpairing.pdf: 113</x:v>
      </x:c>
    </x:row>
    <x:row r="147" ht="64" customHeight="1">
      <x:c r="A147" s="28" t="str">
        <x:v>NCT-0556</x:v>
      </x:c>
      <x:c r="B147" s="28" t="str">
        <x:v>чёрный чай</x:v>
      </x:c>
      <x:c r="C147" s="28" t="str">
        <x:v>lberico ham</x:v>
      </x:c>
      <x:c r="D147" s="28" t="str">
        <x:v>Мясо и птица</x:v>
      </x:c>
      <x:c r="E147" s="28" t="str">
        <x:v>жареная химия и реакции Майяра, солёно-умами контраст</x:v>
      </x:c>
      <x:c r="F147" s="28" t="str">
        <x:v>Чёрный чай имеет профиль «мальтовый, цветочный, фруктовый, древесный и слегка дымный». Партнёр «lberico ham»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47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47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47" s="28" t="str">
        <x:v>чайный настой, холодный чай, кордиал, молочный пунш, десерт или соус с lberico ham</x:v>
      </x:c>
      <x:c r="J147" s="28" t="str">
        <x:v>Средняя</x:v>
      </x:c>
      <x:c r="K147" s="28" t="str">
        <x:v>The Art &amp; Science of Foodpairing.pdf</x:v>
      </x:c>
      <x:c r="L147" s="28" t="str">
        <x:v>The Art &amp; Science of Foodpairing.pdf: 278</x:v>
      </x:c>
    </x:row>
    <x:row r="148" ht="64" customHeight="1">
      <x:c r="A148" s="28" t="str">
        <x:v>NCT-0557</x:v>
      </x:c>
      <x:c r="B148" s="28" t="str">
        <x:v>чёрный чай</x:v>
      </x:c>
      <x:c r="C148" s="28" t="str">
        <x:v>meat</x:v>
      </x:c>
      <x:c r="D148" s="28" t="str">
        <x:v>Мясо и птица</x:v>
      </x:c>
      <x:c r="E148" s="28" t="str">
        <x:v>жареная химия и реакции Майяра, солёно-умами контраст</x:v>
      </x:c>
      <x:c r="F148" s="28" t="str">
        <x:v>Чёрный чай имеет профиль «мальтовый, цветочный, фруктовый, древесный и слегка дымный». Партнёр «meat»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48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48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48" s="28" t="str">
        <x:v>чайный настой, холодный чай, кордиал, молочный пунш, десерт или соус с meat</x:v>
      </x:c>
      <x:c r="J148" s="28" t="str">
        <x:v>Средняя</x:v>
      </x:c>
      <x:c r="K148" s="28" t="str">
        <x:v>The Art &amp; Science of Foodpairing.pdf</x:v>
      </x:c>
      <x:c r="L148" s="28" t="str">
        <x:v>The Art &amp; Science of Foodpairing.pdf: 186</x:v>
      </x:c>
    </x:row>
    <x:row r="149" ht="64" customHeight="1">
      <x:c r="A149" s="28" t="str">
        <x:v>NCT-0558</x:v>
      </x:c>
      <x:c r="B149" s="28" t="str">
        <x:v>чёрный чай</x:v>
      </x:c>
      <x:c r="C149" s="28" t="str">
        <x:v>myrtle berry</x:v>
      </x:c>
      <x:c r="D149" s="28" t="str">
        <x:v>Фрукты и ягоды</x:v>
      </x:c>
      <x:c r="E149" s="28" t="str">
        <x:v>пересечение ароматических семейств, контраст кислоты и жирной/горькой матрицы</x:v>
      </x:c>
      <x:c r="F149" s="28" t="str">
        <x:v>Чёрный чай имеет профиль «мальтовый, цветочный, фруктовый, древесный и слегка дымный». Партнёр «myrtle berry»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149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49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149" s="28" t="str">
        <x:v>чайный настой, холодный чай, кордиал, молочный пунш, десерт или соус с myrtle berry</x:v>
      </x:c>
      <x:c r="J149" s="28" t="str">
        <x:v>Высокая</x:v>
      </x:c>
      <x:c r="K149" s="28" t="str">
        <x:v>The Art &amp; Science of Foodpairing.pdf</x:v>
      </x:c>
      <x:c r="L149" s="28" t="str">
        <x:v>The Art &amp; Science of Foodpairing.pdf: 364</x:v>
      </x:c>
    </x:row>
    <x:row r="150" ht="64" customHeight="1">
      <x:c r="A150" s="28" t="str">
        <x:v>NCT-0559</x:v>
      </x:c>
      <x:c r="B150" s="28" t="str">
        <x:v>чёрный чай</x:v>
      </x:c>
      <x:c r="C150" s="28" t="str">
        <x:v>tea</x:v>
      </x:c>
      <x:c r="D150" s="28" t="str">
        <x:v>Чай</x:v>
      </x:c>
      <x:c r="E150" s="28" t="str">
        <x:v>пересечение ароматических семейств</x:v>
      </x:c>
      <x:c r="F150" s="28" t="str">
        <x:v>Чёрный чай имеет профиль «мальтовый, цветочный, фруктовый, древесный и слегка дымный». Партнёр «tea» относится к группе «Чай» и даёт цветочный, древесный или зелёный. Профили пересекаются в семействах: древесный, цветочный Полифенолы создают терпкость, поэтому сахар, жир, соль или умами могут смягчить сухость; чрезмерно танинный партнёр, наоборот, её усиливает. Итог: древесный, цветочный; механизм не следует сводить к одной общей молекуле.</x:v>
      </x:c>
      <x:c r="G150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50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50" s="28" t="str">
        <x:v>чайный настой, холодный чай, кордиал, молочный пунш, десерт или соус с tea</x:v>
      </x:c>
      <x:c r="J150" s="28" t="str">
        <x:v>Средняя</x:v>
      </x:c>
      <x:c r="K150" s="28" t="str">
        <x:v>The Art &amp; Science of Foodpairing.pdf</x:v>
      </x:c>
      <x:c r="L150" s="28" t="str">
        <x:v>The Art &amp; Science of Foodpairing.pdf: 365</x:v>
      </x:c>
    </x:row>
    <x:row r="151" ht="64" customHeight="1">
      <x:c r="A151" s="28" t="str">
        <x:v>NCT-0560</x:v>
      </x:c>
      <x:c r="B151" s="28" t="str">
        <x:v>чёрный чай</x:v>
      </x:c>
      <x:c r="C151" s="28" t="str">
        <x:v>грейпфрут</x:v>
      </x:c>
      <x:c r="D151" s="28" t="str">
        <x:v>Фрукты и ягоды</x:v>
      </x:c>
      <x:c r="E151" s="28" t="str">
        <x:v>пересечение ароматических семейств, контраст кислоты и жирной/горькой матрицы</x:v>
      </x:c>
      <x:c r="F151" s="28" t="str">
        <x:v>Чёрный чай имеет профиль «мальтовый, цветочный, фруктовый, древесный и слегка дымный». Партнёр «грейпфрут»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151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51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151" s="28" t="str">
        <x:v>чайный настой, холодный чай, кордиал, молочный пунш, десерт или соус с грейпфрут</x:v>
      </x:c>
      <x:c r="J151" s="28" t="str">
        <x:v>Высокая</x:v>
      </x:c>
      <x:c r="K151" s="28" t="str">
        <x:v>The Art &amp; Science of Foodpairing.pdf</x:v>
      </x:c>
      <x:c r="L151" s="28" t="str">
        <x:v>The Art &amp; Science of Foodpairing.pdf: 359</x:v>
      </x:c>
    </x:row>
    <x:row r="152" ht="64" customHeight="1">
      <x:c r="A152" s="28" t="str">
        <x:v>NCT-0561</x:v>
      </x:c>
      <x:c r="B152" s="28" t="str">
        <x:v>чёрный чай</x:v>
      </x:c>
      <x:c r="C152" s="28" t="str">
        <x:v>жасмин</x:v>
      </x:c>
      <x:c r="D152" s="28" t="str">
        <x:v>Травы, цветы и листья</x:v>
      </x:c>
      <x:c r="E152" s="28" t="str">
        <x:v>пересечение ароматических семейств</x:v>
      </x:c>
      <x:c r="F152" s="28" t="str">
        <x:v>Чёрный чай имеет профиль «мальтовый, цветочный, фруктовый, древесный и слегка дымный». Партнёр «жасмин» относится к группе «Травы, цветы и листья» и даёт животный, цветочный. Профили пересекаются в семействах: цветочный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152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52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52" s="28" t="str">
        <x:v>чайный настой, холодный чай, кордиал, молочный пунш, десерт или соус с жасмин</x:v>
      </x:c>
      <x:c r="J152" s="28" t="str">
        <x:v>Средняя</x:v>
      </x:c>
      <x:c r="K152" s="28" t="str">
        <x:v>The Art &amp; Science of Foodpairing.pdf</x:v>
      </x:c>
      <x:c r="L152" s="28" t="str">
        <x:v>The Art &amp; Science of Foodpairing.pdf: 210</x:v>
      </x:c>
    </x:row>
    <x:row r="153" ht="64" customHeight="1">
      <x:c r="A153" s="28" t="str">
        <x:v>NCT-0562</x:v>
      </x:c>
      <x:c r="B153" s="28" t="str">
        <x:v>чёрный чай</x:v>
      </x:c>
      <x:c r="C153" s="28" t="str">
        <x:v>кардамон</x:v>
      </x:c>
      <x:c r="D153" s="28" t="str">
        <x:v>Специи</x:v>
      </x:c>
      <x:c r="E153" s="28" t="str">
        <x:v>пересечение ароматических семейств</x:v>
      </x:c>
      <x:c r="F153" s="28" t="str">
        <x:v>Чёрный чай имеет профиль «мальтовый, цветочный, фруктовый, древесный и слегка дымный». Партнёр «кардамон» относится к группе «Специи» и даёт камфорный, цветочный, цитрусовый. Профили пересекаются в семействах: цветочный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153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53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53" s="28" t="str">
        <x:v>чайный настой, холодный чай, кордиал, молочный пунш, десерт или соус с кардамон</x:v>
      </x:c>
      <x:c r="J153" s="28" t="str">
        <x:v>Средняя</x:v>
      </x:c>
      <x:c r="K153" s="28" t="str">
        <x:v>The Art &amp; Science of Foodpairing.pdf</x:v>
      </x:c>
      <x:c r="L153" s="28" t="str">
        <x:v>The Art &amp; Science of Foodpairing.pdf: 256</x:v>
      </x:c>
    </x:row>
    <x:row r="154" ht="64" customHeight="1">
      <x:c r="A154" s="28" t="str">
        <x:v>NCT-0563</x:v>
      </x:c>
      <x:c r="B154" s="28" t="str">
        <x:v>чёрный чай</x:v>
      </x:c>
      <x:c r="C154" s="28" t="str">
        <x:v>картофель фри</x:v>
      </x:c>
      <x:c r="D154" s="28" t="str">
        <x:v>Овощи, бобовые и грибы</x:v>
      </x:c>
      <x:c r="E154" s="28" t="str">
        <x:v>сенсорная комплементарность</x:v>
      </x:c>
      <x:c r="F154" s="28" t="str">
        <x:v>Чёрный чай имеет профиль «мальтовый, цветочный, фруктовый, древесный и слегка дымный». Партнёр «картофель фри» относится к группе «Овощи, бобовые и грибы» и даёт зелёный, землистый или умами.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54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54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54" s="28" t="str">
        <x:v>чайный настой, холодный чай, кордиал, молочный пунш, десерт или соус с картофель фри</x:v>
      </x:c>
      <x:c r="J154" s="28" t="str">
        <x:v>Средняя</x:v>
      </x:c>
      <x:c r="K154" s="28" t="str">
        <x:v>The Art &amp; Science of Foodpairing.pdf</x:v>
      </x:c>
      <x:c r="L154" s="28" t="str">
        <x:v>The Art &amp; Science of Foodpairing.pdf: 196</x:v>
      </x:c>
    </x:row>
    <x:row r="155" ht="64" customHeight="1">
      <x:c r="A155" s="28" t="str">
        <x:v>NCT-0564</x:v>
      </x:c>
      <x:c r="B155" s="28" t="str">
        <x:v>чёрный чай</x:v>
      </x:c>
      <x:c r="C155" s="28" t="str">
        <x:v>кокос</x:v>
      </x:c>
      <x:c r="D155" s="28" t="str">
        <x:v>Прочее</x:v>
      </x:c>
      <x:c r="E155" s="28" t="str">
        <x:v>сенсорная комплементарность</x:v>
      </x:c>
      <x:c r="F155" s="28" t="str">
        <x:v>Чёрный чай имеет профиль «мальтовый, цветочный, фруктовый, древесный и слегка дымный». Партнёр «кокос» относится к группе «Прочее» и даёт лактонный, сливочный.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55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55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55" s="28" t="str">
        <x:v>чайный настой, холодный чай, кордиал, молочный пунш, десерт или соус с кокос</x:v>
      </x:c>
      <x:c r="J155" s="28" t="str">
        <x:v>Средняя</x:v>
      </x:c>
      <x:c r="K155" s="28" t="str">
        <x:v>The Art &amp; Science of Foodpairing.pdf</x:v>
      </x:c>
      <x:c r="L155" s="28" t="str">
        <x:v>The Art &amp; Science of Foodpairing.pdf: 135</x:v>
      </x:c>
    </x:row>
    <x:row r="156" ht="64" customHeight="1">
      <x:c r="A156" s="28" t="str">
        <x:v>NCT-0565</x:v>
      </x:c>
      <x:c r="B156" s="28" t="str">
        <x:v>чёрный чай</x:v>
      </x:c>
      <x:c r="C156" s="28" t="str">
        <x:v>манго</x:v>
      </x:c>
      <x:c r="D156" s="28" t="str">
        <x:v>Фрукты и ягоды</x:v>
      </x:c>
      <x:c r="E156" s="28" t="str">
        <x:v>пересечение ароматических семейств, контраст кислоты и жирной/горькой матрицы</x:v>
      </x:c>
      <x:c r="F156" s="28" t="str">
        <x:v>Чёрный чай имеет профиль «мальтовый, цветочный, фруктовый, древесный и слегка дымный». Партнёр «манго»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156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56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156" s="28" t="str">
        <x:v>чайный настой, холодный чай, кордиал, молочный пунш, десерт или соус с манго</x:v>
      </x:c>
      <x:c r="J156" s="28" t="str">
        <x:v>Средняя</x:v>
      </x:c>
      <x:c r="K156" s="28" t="str">
        <x:v>The Art &amp; Science of Foodpairing.pdf</x:v>
      </x:c>
      <x:c r="L156" s="28" t="str">
        <x:v>The Art &amp; Science of Foodpairing.pdf: 312</x:v>
      </x:c>
    </x:row>
    <x:row r="157" ht="64" customHeight="1">
      <x:c r="A157" s="28" t="str">
        <x:v>NCT-0566</x:v>
      </x:c>
      <x:c r="B157" s="28" t="str">
        <x:v>чёрный чай</x:v>
      </x:c>
      <x:c r="C157" s="28" t="str">
        <x:v>маниок</x:v>
      </x:c>
      <x:c r="D157" s="28" t="str">
        <x:v>Прочее</x:v>
      </x:c>
      <x:c r="E157" s="28" t="str">
        <x:v>сенсорная комплементарность</x:v>
      </x:c>
      <x:c r="F157" s="28" t="str">
        <x:v>Чёрный чай имеет профиль «мальтовый, цветочный, фруктовый, древесный и слегка дымный». Партнёр «маниок» относится к группе «Прочее» и даёт профиль зависит от конкретного продукта.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57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57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57" s="28" t="str">
        <x:v>чайный настой, холодный чай, кордиал, молочный пунш, десерт или соус с маниок</x:v>
      </x:c>
      <x:c r="J157" s="28" t="str">
        <x:v>Средняя</x:v>
      </x:c>
      <x:c r="K157" s="28" t="str">
        <x:v>The Art &amp; Science of Foodpairing.pdf</x:v>
      </x:c>
      <x:c r="L157" s="28" t="str">
        <x:v>The Art &amp; Science of Foodpairing.pdf: 251</x:v>
      </x:c>
    </x:row>
    <x:row r="158" ht="64" customHeight="1">
      <x:c r="A158" s="28" t="str">
        <x:v>NCT-0567</x:v>
      </x:c>
      <x:c r="B158" s="28" t="str">
        <x:v>чёрный чай</x:v>
      </x:c>
      <x:c r="C158" s="28" t="str">
        <x:v>оливковое масло</x:v>
      </x:c>
      <x:c r="D158" s="28" t="str">
        <x:v>Масла и жиры</x:v>
      </x:c>
      <x:c r="E158" s="28" t="str">
        <x:v>сенсорная комплементарность</x:v>
      </x:c>
      <x:c r="F158" s="28" t="str">
        <x:v>Чёрный чай имеет профиль «мальтовый, цветочный, фруктовый, древесный и слегка дымный». Партнёр «оливковое масло» относится к группе «Масла и жиры» и даёт жирный и мягкий.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58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58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58" s="28" t="str">
        <x:v>чайный настой, холодный чай, кордиал, молочный пунш, десерт или соус с оливковое масло</x:v>
      </x:c>
      <x:c r="J158" s="28" t="str">
        <x:v>Средняя</x:v>
      </x:c>
      <x:c r="K158" s="28" t="str">
        <x:v>The Art &amp; Science of Foodpairing.pdf</x:v>
      </x:c>
      <x:c r="L158" s="28" t="str">
        <x:v>The Art &amp; Science of Foodpairing.pdf: 172</x:v>
      </x:c>
    </x:row>
    <x:row r="159" ht="64" customHeight="1">
      <x:c r="A159" s="28" t="str">
        <x:v>NCT-0568</x:v>
      </x:c>
      <x:c r="B159" s="28" t="str">
        <x:v>чёрный чай</x:v>
      </x:c>
      <x:c r="C159" s="28" t="str">
        <x:v>цветы бузины</x:v>
      </x:c>
      <x:c r="D159" s="28" t="str">
        <x:v>Травы, цветы и листья</x:v>
      </x:c>
      <x:c r="E159" s="28" t="str">
        <x:v>пересечение ароматических семейств</x:v>
      </x:c>
      <x:c r="F159" s="28" t="str">
        <x:v>Чёрный чай имеет профиль «мальтовый, цветочный, фруктовый, древесный и слегка дымный». Партнёр «цветы бузины» относится к группе «Травы, цветы и листья» и даёт зелёный, цветочный и терпеновый. Профили пересекаются в семействах: цветочный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159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59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59" s="28" t="str">
        <x:v>чайный настой, холодный чай, кордиал, молочный пунш, десерт или соус с цветы бузины</x:v>
      </x:c>
      <x:c r="J159" s="28" t="str">
        <x:v>Высокая</x:v>
      </x:c>
      <x:c r="K159" s="28" t="str">
        <x:v>The Art &amp; Science of Foodpairing.pdf</x:v>
      </x:c>
      <x:c r="L159" s="28" t="str">
        <x:v>The Art &amp; Science of Foodpairing.pdf: 365</x:v>
      </x:c>
    </x:row>
    <x:row r="160" ht="64" customHeight="1">
      <x:c r="A160" s="28" t="str">
        <x:v>NCT-0593</x:v>
      </x:c>
      <x:c r="B160" s="28" t="str">
        <x:v>шоколад</x:v>
      </x:c>
      <x:c r="C160" s="28" t="str">
        <x:v>mount gay eclipse rum</x:v>
      </x:c>
      <x:c r="D160" s="28" t="str">
        <x:v>Алкогольные напитки</x:v>
      </x:c>
      <x:c r="E160" s="28" t="str">
        <x:v>общие ароматические соединения, пересечение ароматических семейств</x:v>
      </x:c>
      <x:c r="F16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«mount gay eclipse rum» относится к группе «Алкогольные напитки» и даёт спиртовой, фруктовый или древесный. Молекулярный мост создают альдегиды, эфиры Какао-масло медленно высвобождает липофильные ароматы, а сахар и соль изменяют воспринимаемую горечь. Итог: древесный, фруктовый; альдегиды, эфиры.</x:v>
      </x:c>
      <x:c r="G16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60" s="28" t="str">
        <x:v>горечь и терпкость способны подавлять нежные продукты; содержит стимуляторы; аллергенные добавки возможны</x:v>
      </x:c>
      <x:c r="I160" s="28" t="str">
        <x:v>ганаш, плитка, крем, мусс, напиток, глазурь или соус с mount gay eclipse rum</x:v>
      </x:c>
      <x:c r="J160" s="28" t="str">
        <x:v>Средняя</x:v>
      </x:c>
      <x:c r="K160" s="28" t="str">
        <x:v>The Art &amp; Science of Foodpairing.pdf</x:v>
      </x:c>
      <x:c r="L160" s="28" t="str">
        <x:v>The Art &amp; Science of Foodpairing.pdf: 62</x:v>
      </x:c>
    </x:row>
    <x:row r="161" ht="64" customHeight="1">
      <x:c r="A161" s="28" t="str">
        <x:v>NCT-0601</x:v>
      </x:c>
      <x:c r="B161" s="28" t="str">
        <x:v>шоколад</x:v>
      </x:c>
      <x:c r="C161" s="28" t="str">
        <x:v>red winevinegar</x:v>
      </x:c>
      <x:c r="D161" s="28" t="str">
        <x:v>Алкогольные напитки</x:v>
      </x:c>
      <x:c r="E161" s="28" t="str">
        <x:v>общие ароматические соединения, пересечение ароматических семейств</x:v>
      </x:c>
      <x:c r="F16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«red winevinegar» относится к группе «Алкогольные напитки» и даёт спиртовой, фруктовый или древесный. Молекулярный мост создают альдегиды, эфиры Какао-масло медленно высвобождает липофильные ароматы, а сахар и соль изменяют воспринимаемую горечь. Итог: древесный, фруктовый; альдегиды, эфиры.</x:v>
      </x:c>
      <x:c r="G16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61" s="28" t="str">
        <x:v>горечь и терпкость способны подавлять нежные продукты; содержит стимуляторы; аллергенные добавки возможны</x:v>
      </x:c>
      <x:c r="I161" s="28" t="str">
        <x:v>ганаш, плитка, крем, мусс, напиток, глазурь или соус с red winevinegar</x:v>
      </x:c>
      <x:c r="J161" s="28" t="str">
        <x:v>Средняя</x:v>
      </x:c>
      <x:c r="K161" s="28" t="str">
        <x:v>The Art &amp; Science of Foodpairing.pdf</x:v>
      </x:c>
      <x:c r="L161" s="28" t="str">
        <x:v>The Art &amp; Science of Foodpairing.pdf: 62</x:v>
      </x:c>
    </x:row>
    <x:row r="162" ht="64" customHeight="1">
      <x:c r="A162" s="28" t="str">
        <x:v>NCT-0607</x:v>
      </x:c>
      <x:c r="B162" s="28" t="str">
        <x:v>шоколад</x:v>
      </x:c>
      <x:c r="C162" s="28" t="str">
        <x:v>steamed collard greens</x:v>
      </x:c>
      <x:c r="D162" s="28" t="str">
        <x:v>Чай</x:v>
      </x:c>
      <x:c r="E162" s="28" t="str">
        <x:v>пересечение ароматических семейств</x:v>
      </x:c>
      <x:c r="F16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«steamed collard greens» относится к группе «Чай» и даёт цветочный, древесный или зелёный.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G16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62" s="28" t="str">
        <x:v>горечь и терпкость способны подавлять нежные продукты; содержит стимуляторы; аллергенные добавки возможны</x:v>
      </x:c>
      <x:c r="I162" s="28" t="str">
        <x:v>ганаш, плитка, крем, мусс, напиток, глазурь или соус с steamed collard greens</x:v>
      </x:c>
      <x:c r="J162" s="28" t="str">
        <x:v>Средняя</x:v>
      </x:c>
      <x:c r="K162" s="28" t="str">
        <x:v>The Art &amp; Science of Foodpairing.pdf</x:v>
      </x:c>
      <x:c r="L162" s="28" t="str">
        <x:v>The Art &amp; Science of Foodpairing.pdf: 62</x:v>
      </x:c>
    </x:row>
    <x:row r="163" ht="64" customHeight="1">
      <x:c r="A163" s="28" t="str">
        <x:v>NCT-0637</x:v>
      </x:c>
      <x:c r="B163" s="28" t="str">
        <x:v>шоколад</x:v>
      </x:c>
      <x:c r="C163" s="28" t="str">
        <x:v>зелёный чай</x:v>
      </x:c>
      <x:c r="D163" s="28" t="str">
        <x:v>Чай</x:v>
      </x:c>
      <x:c r="E163" s="28" t="str">
        <x:v>сенсорная комплементарность</x:v>
      </x:c>
      <x:c r="F16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«зелёный чай» относится к группе «Чай» и даёт зелёный, морской, травянистый, цветочный и слегка жареный; у матча — умами.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6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63" s="28" t="str">
        <x:v>горечь и терпкость способны подавлять нежные продукты; содержит стимуляторы; аллергенные добавки возможны</x:v>
      </x:c>
      <x:c r="I163" s="28" t="str">
        <x:v>ганаш, плитка, крем, мусс, напиток, глазурь или соус с зелёный чай</x:v>
      </x:c>
      <x:c r="J163" s="28" t="str">
        <x:v>Средняя</x:v>
      </x:c>
      <x:c r="K163" s="28" t="str">
        <x:v>The Art &amp; Science of Foodpairing.pdf</x:v>
      </x:c>
      <x:c r="L163" s="28" t="str">
        <x:v>The Art &amp; Science of Foodpairing.pdf: 62</x:v>
      </x:c>
    </x:row>
    <x:row r="164" ht="64" customHeight="1">
      <x:c r="A164" s="28" t="str">
        <x:v>NCT-0643</x:v>
      </x:c>
      <x:c r="B164" s="28" t="str">
        <x:v>шоколад</x:v>
      </x:c>
      <x:c r="C164" s="28" t="str">
        <x:v>кленовый сироп</x:v>
      </x:c>
      <x:c r="D164" s="28" t="str">
        <x:v>Выпечка, сахара и десерты</x:v>
      </x:c>
      <x:c r="E164" s="28" t="str">
        <x:v>общие ароматические соединения, пересечение ароматических семейств, жареная химия и реакции Майяра</x:v>
      </x:c>
      <x:c r="F16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жареный; пиразины, фураны.</x:v>
      </x:c>
      <x:c r="G16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64" s="28" t="str">
        <x:v>горечь и терпкость способны подавлять нежные продукты; содержит стимуляторы; аллергенные добавки возможны</x:v>
      </x:c>
      <x:c r="I164" s="28" t="str">
        <x:v>ганаш, плитка, крем, мусс, напиток, глазурь или соус с кленовый сироп</x:v>
      </x:c>
      <x:c r="J164" s="28" t="str">
        <x:v>Гипотеза / практическая</x:v>
      </x:c>
      <x:c r="K164" s="28" t="str">
        <x:v>Таблица сочетания(1).pdf</x:v>
      </x:c>
      <x:c r="L164" s="28" t="str">
        <x:v>Таблица сочетания(1).pdf: 5, 13</x:v>
      </x:c>
    </x:row>
    <x:row r="165" ht="64" customHeight="1">
      <x:c r="A165" s="28" t="str">
        <x:v>NCT-0652</x:v>
      </x:c>
      <x:c r="B165" s="28" t="str">
        <x:v>шоколад</x:v>
      </x:c>
      <x:c r="C165" s="28" t="str">
        <x:v>кофе</x:v>
      </x:c>
      <x:c r="D165" s="28" t="str">
        <x:v>Кофе</x:v>
      </x:c>
      <x:c r="E165" s="28" t="str">
        <x:v>общие ароматические соединения, пересечение ароматических семейств, жареная химия и реакции Майяра</x:v>
      </x:c>
      <x:c r="F16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жареный; пиразины, фураны.</x:v>
      </x:c>
      <x:c r="G16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65" s="28" t="str">
        <x:v>горечь и терпкость способны подавлять нежные продукты; содержит стимуляторы; аллергенные добавки возможны</x:v>
      </x:c>
      <x:c r="I165" s="28" t="str">
        <x:v>ганаш, плитка, крем, мусс, напиток, глазурь или соус с кофе</x:v>
      </x:c>
      <x:c r="J165" s="28" t="str">
        <x:v>Высокая</x:v>
      </x:c>
      <x:c r="K165" s="28" t="str">
        <x:v>The Art &amp; Science of Foodpairing.pdf | Таблица сочетания(1).pdf | Тезариус вкусов (Ники Сегнит)(1).pdf</x:v>
      </x:c>
      <x:c r="L165" s="28" t="str">
        <x:v>The Art &amp; Science of Foodpairing.pdf: 62, 296, 297; Таблица сочетания(1).pdf: 5, 6; Тезариус вкусов (Ники Сегнит)(1).pdf: 32, 48</x:v>
      </x:c>
    </x:row>
    <x:row r="166" ht="64" customHeight="1">
      <x:c r="A166" s="28" t="str">
        <x:v>NCT-0669</x:v>
      </x:c>
      <x:c r="B166" s="28" t="str">
        <x:v>шоколад</x:v>
      </x:c>
      <x:c r="C166" s="28" t="str">
        <x:v>портвейн</x:v>
      </x:c>
      <x:c r="D166" s="28" t="str">
        <x:v>Алкогольные напитки</x:v>
      </x:c>
      <x:c r="E166" s="28" t="str">
        <x:v>общие ароматические соединения, пересечение ароматических семейств</x:v>
      </x:c>
      <x:c r="F16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«портвейн» относится к группе «Алкогольные напитки» и даёт спиртовой, фруктовый или древесный. Молекулярный мост создают альдегиды, эфиры Какао-масло медленно высвобождает липофильные ароматы, а сахар и соль изменяют воспринимаемую горечь. Итог: древесный, фруктовый; альдегиды, эфиры.</x:v>
      </x:c>
      <x:c r="G16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66" s="28" t="str">
        <x:v>горечь и терпкость способны подавлять нежные продукты; содержит стимуляторы; аллергенные добавки возможны</x:v>
      </x:c>
      <x:c r="I166" s="28" t="str">
        <x:v>ганаш, плитка, крем, мусс, напиток, глазурь или соус с портвейн</x:v>
      </x:c>
      <x:c r="J166" s="28" t="str">
        <x:v>Средняя</x:v>
      </x:c>
      <x:c r="K166" s="28" t="str">
        <x:v>The Art &amp; Science of Foodpairing.pdf</x:v>
      </x:c>
      <x:c r="L166" s="28" t="str">
        <x:v>The Art &amp; Science of Foodpairing.pdf: 62</x:v>
      </x:c>
    </x:row>
    <x:row r="167" ht="64" customHeight="1">
      <x:c r="A167" s="28" t="str">
        <x:v>NCT-0674</x:v>
      </x:c>
      <x:c r="B167" s="28" t="str">
        <x:v>шоколад</x:v>
      </x:c>
      <x:c r="C167" s="28" t="str">
        <x:v>саке</x:v>
      </x:c>
      <x:c r="D167" s="28" t="str">
        <x:v>Алкогольные напитки</x:v>
      </x:c>
      <x:c r="E167" s="28" t="str">
        <x:v>общие ароматические соединения, пересечение ароматических семейств</x:v>
      </x:c>
      <x:c r="F16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«саке» относится к группе «Алкогольные напитки» и даёт спиртовой, фруктовый или древесный. Молекулярный мост создают альдегиды, эфиры Какао-масло медленно высвобождает липофильные ароматы, а сахар и соль изменяют воспринимаемую горечь. Итог: древесный, фруктовый; альдегиды, эфиры.</x:v>
      </x:c>
      <x:c r="G16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67" s="28" t="str">
        <x:v>горечь и терпкость способны подавлять нежные продукты; содержит стимуляторы; аллергенные добавки возможны</x:v>
      </x:c>
      <x:c r="I167" s="28" t="str">
        <x:v>ганаш, плитка, крем, мусс, напиток, глазурь или соус с саке</x:v>
      </x:c>
      <x:c r="J167" s="28" t="str">
        <x:v>Средняя</x:v>
      </x:c>
      <x:c r="K167" s="28" t="str">
        <x:v>The Art &amp; Science of Foodpairing.pdf</x:v>
      </x:c>
      <x:c r="L167" s="28" t="str">
        <x:v>The Art &amp; Science of Foodpairing.pdf: 62</x:v>
      </x:c>
    </x:row>
  </x:sheetData>
  <x:conditionalFormatting sqref="J2:J167">
    <x:cfRule type="expression" dxfId="15" priority="1">
      <x:formula>J2="Высокая"</x:formula>
    </x:cfRule>
    <x:cfRule type="expression" dxfId="16" priority="2">
      <x:formula>J2="Средняя"</x:formula>
    </x:cfRule>
    <x:cfRule type="expression" dxfId="17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060acba6bf4df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31" hidden="0" customWidth="1"/>
    <x:col min="4" max="4" width="29" hidden="0" customWidth="1"/>
    <x:col min="5" max="5" width="39" hidden="0" customWidth="1"/>
    <x:col min="6" max="6" width="68" hidden="0" customWidth="1"/>
    <x:col min="7" max="7" width="55" hidden="0" customWidth="1"/>
    <x:col min="8" max="8" width="55" hidden="0" customWidth="1"/>
    <x:col min="9" max="9" width="49" hidden="0" customWidth="1"/>
    <x:col min="10" max="10" width="22" hidden="0" customWidth="1"/>
    <x:col min="11" max="11" width="40" hidden="0" customWidth="1"/>
    <x:col min="12" max="12" width="48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4" customHeight="1">
      <x:c r="A2" s="28" t="str">
        <x:v>NCT-0001</x:v>
      </x:c>
      <x:c r="B2" s="28" t="str">
        <x:v>арахис</x:v>
      </x:c>
      <x:c r="C2" s="28" t="str">
        <x:v>fish</x:v>
      </x:c>
      <x:c r="D2" s="28" t="str">
        <x:v>Рыба и морепродукты</x:v>
      </x:c>
      <x:c r="E2" s="28" t="str">
        <x:v>общие ароматические соединения, солёно-умами контраст</x:v>
      </x:c>
      <x:c r="F2" s="28" t="str">
        <x:v>Арахис имеет профиль «бобовый и зелёный в сыром виде; жареный, ореховый и какаоподобный после обжарки».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" s="28" t="str">
        <x:v>сильный аллерген; риск прогоркания и загрязнения плесенью при плохом хранении; малейшая прогорклость ореха или шоколада усиливает неприятные рыбные оттенки</x:v>
      </x:c>
      <x:c r="I2" s="28" t="str">
        <x:v>пралине, паста, выпечка, гарнир, соус, молочный или коктейльный компонент с fish</x:v>
      </x:c>
      <x:c r="J2" s="28" t="str">
        <x:v>Средняя</x:v>
      </x:c>
      <x:c r="K2" s="28" t="str">
        <x:v>The Art &amp; Science of Foodpairing.pdf</x:v>
      </x:c>
      <x:c r="L2" s="28" t="str">
        <x:v>The Art &amp; Science of Foodpairing.pdf: 104</x:v>
      </x:c>
    </x:row>
    <x:row r="3" ht="64" customHeight="1">
      <x:c r="A3" s="28" t="str">
        <x:v>NCT-0002</x:v>
      </x:c>
      <x:c r="B3" s="28" t="str">
        <x:v>арахис</x:v>
      </x:c>
      <x:c r="C3" s="28" t="str">
        <x:v>garlic</x:v>
      </x:c>
      <x:c r="D3" s="28" t="str">
        <x:v>Овощи, бобовые и грибы</x:v>
      </x:c>
      <x:c r="E3" s="28" t="str">
        <x:v>общие ароматические соединения</x:v>
      </x:c>
      <x:c r="F3" s="28" t="str">
        <x:v>Арахис имеет профиль «бобовый и зелёный в сыром виде; жареный, ореховый и какаоподобный после обжарки». Партнёр «garlic»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" s="28" t="str">
        <x:v>сильный аллерген; риск прогоркания и загрязнения плесенью при плохом хранении</x:v>
      </x:c>
      <x:c r="I3" s="28" t="str">
        <x:v>пралине, паста, выпечка, гарнир, соус, молочный или коктейльный компонент с garlic</x:v>
      </x:c>
      <x:c r="J3" s="28" t="str">
        <x:v>Средняя</x:v>
      </x:c>
      <x:c r="K3" s="28" t="str">
        <x:v>The Art &amp; Science of Foodpairing.pdf</x:v>
      </x:c>
      <x:c r="L3" s="28" t="str">
        <x:v>The Art &amp; Science of Foodpairing.pdf: 113, 114</x:v>
      </x:c>
    </x:row>
    <x:row r="4" ht="64" customHeight="1">
      <x:c r="A4" s="28" t="str">
        <x:v>NCT-0003</x:v>
      </x:c>
      <x:c r="B4" s="28" t="str">
        <x:v>арахис</x:v>
      </x:c>
      <x:c r="C4" s="28" t="str">
        <x:v>lberico ham</x:v>
      </x:c>
      <x:c r="D4" s="28" t="str">
        <x:v>Мясо и птица</x:v>
      </x:c>
      <x:c r="E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" s="28" t="str">
        <x:v>Арахис имеет профиль «бобовый и зелёный в сыром виде; жареный, ореховый и какаоподобный после обжарки».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4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4" s="28" t="str">
        <x:v>сильный аллерген; риск прогоркания и загрязнения плесенью при плохом хранении</x:v>
      </x:c>
      <x:c r="I4" s="28" t="str">
        <x:v>пралине, паста, выпечка, гарнир, соус, молочный или коктейльный компонент с lberico ham</x:v>
      </x:c>
      <x:c r="J4" s="28" t="str">
        <x:v>Высокая</x:v>
      </x:c>
      <x:c r="K4" s="28" t="str">
        <x:v>The Art &amp; Science of Foodpairing.pdf</x:v>
      </x:c>
      <x:c r="L4" s="28" t="str">
        <x:v>The Art &amp; Science of Foodpairing.pdf: 278</x:v>
      </x:c>
    </x:row>
    <x:row r="5" ht="64" customHeight="1">
      <x:c r="A5" s="28" t="str">
        <x:v>NCT-0004</x:v>
      </x:c>
      <x:c r="B5" s="28" t="str">
        <x:v>арахис</x:v>
      </x:c>
      <x:c r="C5" s="28" t="str">
        <x:v>meat</x:v>
      </x:c>
      <x:c r="D5" s="28" t="str">
        <x:v>Мясо и птица</x:v>
      </x:c>
      <x:c r="E5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" s="28" t="str">
        <x:v>Арахис имеет профиль «бобовый и зелёный в сыром виде; жареный, ореховый и какаоподобный после обжарки». Партнёр «meat»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5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5" s="28" t="str">
        <x:v>сильный аллерген; риск прогоркания и загрязнения плесенью при плохом хранении</x:v>
      </x:c>
      <x:c r="I5" s="28" t="str">
        <x:v>пралине, паста, выпечка, гарнир, соус, молочный или коктейльный компонент с meat</x:v>
      </x:c>
      <x:c r="J5" s="28" t="str">
        <x:v>Средняя</x:v>
      </x:c>
      <x:c r="K5" s="28" t="str">
        <x:v>The Art &amp; Science of Foodpairing.pdf</x:v>
      </x:c>
      <x:c r="L5" s="28" t="str">
        <x:v>The Art &amp; Science of Foodpairing.pdf: 186</x:v>
      </x:c>
    </x:row>
    <x:row r="6" ht="64" customHeight="1">
      <x:c r="A6" s="28" t="str">
        <x:v>NCT-0006</x:v>
      </x:c>
      <x:c r="B6" s="28" t="str">
        <x:v>арахис</x:v>
      </x:c>
      <x:c r="C6" s="28" t="str">
        <x:v>sweet potato</x:v>
      </x:c>
      <x:c r="D6" s="28" t="str">
        <x:v>Овощи, бобовые и грибы</x:v>
      </x:c>
      <x:c r="E6" s="28" t="str">
        <x:v>общие ароматические соединения</x:v>
      </x:c>
      <x:c r="F6" s="28" t="str">
        <x:v>Арахис имеет профиль «бобовый и зелёный в сыром виде; жареный, ореховый и какаоподобный после обжарки». Партнёр «sweet potato»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6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6" s="28" t="str">
        <x:v>сильный аллерген; риск прогоркания и загрязнения плесенью при плохом хранении</x:v>
      </x:c>
      <x:c r="I6" s="28" t="str">
        <x:v>пралине, паста, выпечка, гарнир, соус, молочный или коктейльный компонент с sweet potato</x:v>
      </x:c>
      <x:c r="J6" s="28" t="str">
        <x:v>Средняя</x:v>
      </x:c>
      <x:c r="K6" s="28" t="str">
        <x:v>The Art &amp; Science of Foodpairing.pdf</x:v>
      </x:c>
      <x:c r="L6" s="28" t="str">
        <x:v>The Art &amp; Science of Foodpairing.pdf: 119</x:v>
      </x:c>
    </x:row>
    <x:row r="7" ht="64" customHeight="1">
      <x:c r="A7" s="28" t="str">
        <x:v>NCT-0009</x:v>
      </x:c>
      <x:c r="B7" s="28" t="str">
        <x:v>арахис</x:v>
      </x:c>
      <x:c r="C7" s="28" t="str">
        <x:v>баранина</x:v>
      </x:c>
      <x:c r="D7" s="28" t="str">
        <x:v>Мясо и птица</x:v>
      </x:c>
      <x:c r="E7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7" s="28" t="str">
        <x:v>Арахис имеет профиль «бобовый и зелёный в сыром виде; жареный, ореховый и какаоподобный после обжарки». Партнёр «баранина»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7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7" s="28" t="str">
        <x:v>сильный аллерген; риск прогоркания и загрязнения плесенью при плохом хранении</x:v>
      </x:c>
      <x:c r="I7" s="28" t="str">
        <x:v>пралине, паста, выпечка, гарнир, соус, молочный или коктейльный компонент с баранина</x:v>
      </x:c>
      <x:c r="J7" s="28" t="str">
        <x:v>Средняя</x:v>
      </x:c>
      <x:c r="K7" s="28" t="str">
        <x:v>Тезариус вкусов (Ники Сегнит)(1).pdf</x:v>
      </x:c>
      <x:c r="L7" s="28" t="str">
        <x:v>Тезариус вкусов (Ники Сегнит)(1).pdf: 50, 125</x:v>
      </x:c>
    </x:row>
    <x:row r="8" ht="64" customHeight="1">
      <x:c r="A8" s="28" t="str">
        <x:v>NCT-0013</x:v>
      </x:c>
      <x:c r="B8" s="28" t="str">
        <x:v>арахис</x:v>
      </x:c>
      <x:c r="C8" s="28" t="str">
        <x:v>говядина</x:v>
      </x:c>
      <x:c r="D8" s="28" t="str">
        <x:v>Мясо и птица</x:v>
      </x:c>
      <x:c r="E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8" s="28" t="str">
        <x:v>Арахис имеет профиль «бобовый и зелёный в сыром виде; жареный, ореховый и какаоподобный после обжарки». Партнёр «говядина»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8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8" s="28" t="str">
        <x:v>сильный аллерген; риск прогоркания и загрязнения плесенью при плохом хранении</x:v>
      </x:c>
      <x:c r="I8" s="28" t="str">
        <x:v>пралине, паста, выпечка, гарнир, соус, молочный или коктейльный компонент с говядина</x:v>
      </x:c>
      <x:c r="J8" s="28" t="str">
        <x:v>Средняя</x:v>
      </x:c>
      <x:c r="K8" s="28" t="str">
        <x:v>Тезариус вкусов (Ники Сегнит)(1).pdf</x:v>
      </x:c>
      <x:c r="L8" s="28" t="str">
        <x:v>Тезариус вкусов (Ники Сегнит)(1).pdf: 52</x:v>
      </x:c>
    </x:row>
    <x:row r="9" ht="64" customHeight="1">
      <x:c r="A9" s="28" t="str">
        <x:v>NCT-0016</x:v>
      </x:c>
      <x:c r="B9" s="28" t="str">
        <x:v>арахис</x:v>
      </x:c>
      <x:c r="C9" s="28" t="str">
        <x:v>картофель</x:v>
      </x:c>
      <x:c r="D9" s="28" t="str">
        <x:v>Овощи, бобовые и грибы</x:v>
      </x:c>
      <x:c r="E9" s="28" t="str">
        <x:v>общие ароматические соединения</x:v>
      </x:c>
      <x:c r="F9" s="28" t="str">
        <x:v>Арахис имеет профиль «бобовый и зелёный в сыром виде; жареный, ореховый и какаоподобный после обжарки». Партнёр «картофель»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9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9" s="28" t="str">
        <x:v>сильный аллерген; риск прогоркания и загрязнения плесенью при плохом хранении</x:v>
      </x:c>
      <x:c r="I9" s="28" t="str">
        <x:v>пралине, паста, выпечка, гарнир, соус, молочный или коктейльный компонент с картофель</x:v>
      </x:c>
      <x:c r="J9" s="28" t="str">
        <x:v>Средняя</x:v>
      </x:c>
      <x:c r="K9" s="28" t="str">
        <x:v>Тезариус вкусов (Ники Сегнит)(1).pdf</x:v>
      </x:c>
      <x:c r="L9" s="28" t="str">
        <x:v>Тезариус вкусов (Ники Сегнит)(1).pdf: 53, 230</x:v>
      </x:c>
    </x:row>
    <x:row r="10" ht="64" customHeight="1">
      <x:c r="A10" s="28" t="str">
        <x:v>NCT-0024</x:v>
      </x:c>
      <x:c r="B10" s="28" t="str">
        <x:v>арахис</x:v>
      </x:c>
      <x:c r="C10" s="28" t="str">
        <x:v>морковь</x:v>
      </x:c>
      <x:c r="D10" s="28" t="str">
        <x:v>Овощи, бобовые и грибы</x:v>
      </x:c>
      <x:c r="E10" s="28" t="str">
        <x:v>общие ароматические соединения</x:v>
      </x:c>
      <x:c r="F10" s="28" t="str">
        <x:v>Арахис имеет профиль «бобовый и зелёный в сыром виде; жареный, ореховый и какаоподобный после обжарки». Партнёр «морковь»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0" s="28" t="str">
        <x:v>сильный аллерген; риск прогоркания и загрязнения плесенью при плохом хранении</x:v>
      </x:c>
      <x:c r="I10" s="28" t="str">
        <x:v>пралине, паста, выпечка, гарнир, соус, молочный или коктейльный компонент с морковь</x:v>
      </x:c>
      <x:c r="J10" s="28" t="str">
        <x:v>Средняя</x:v>
      </x:c>
      <x:c r="K10" s="28" t="str">
        <x:v>Тезариус вкусов (Ники Сегнит)(1).pdf</x:v>
      </x:c>
      <x:c r="L10" s="28" t="str">
        <x:v>Тезариус вкусов (Ники Сегнит)(1).pdf: 55, 602</x:v>
      </x:c>
    </x:row>
    <x:row r="11" ht="64" customHeight="1">
      <x:c r="A11" s="28" t="str">
        <x:v>NCT-0027</x:v>
      </x:c>
      <x:c r="B11" s="28" t="str">
        <x:v>арахис</x:v>
      </x:c>
      <x:c r="C11" s="28" t="str">
        <x:v>огурцы</x:v>
      </x:c>
      <x:c r="D11" s="28" t="str">
        <x:v>Овощи, бобовые и грибы</x:v>
      </x:c>
      <x:c r="E11" s="28" t="str">
        <x:v>общие ароматические соединения</x:v>
      </x:c>
      <x:c r="F11" s="28" t="str">
        <x:v>Арахис имеет профиль «бобовый и зелёный в сыром виде; жареный, ореховый и какаоподобный после обжарки». Партнёр «огурцы»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1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1" s="28" t="str">
        <x:v>сильный аллерген; риск прогоркания и загрязнения плесенью при плохом хранении</x:v>
      </x:c>
      <x:c r="I11" s="28" t="str">
        <x:v>пралине, паста, выпечка, гарнир, соус, молочный или коктейльный компонент с огурцы</x:v>
      </x:c>
      <x:c r="J11" s="28" t="str">
        <x:v>Средняя</x:v>
      </x:c>
      <x:c r="K11" s="28" t="str">
        <x:v>Тезариус вкусов (Ники Сегнит)(1).pdf</x:v>
      </x:c>
      <x:c r="L11" s="28" t="str">
        <x:v>Тезариус вкусов (Ники Сегнит)(1).pdf: 56, 491</x:v>
      </x:c>
    </x:row>
    <x:row r="12" ht="64" customHeight="1">
      <x:c r="A12" s="28" t="str">
        <x:v>NCT-0032</x:v>
      </x:c>
      <x:c r="B12" s="28" t="str">
        <x:v>арахис</x:v>
      </x:c>
      <x:c r="C12" s="28" t="str">
        <x:v>свинина</x:v>
      </x:c>
      <x:c r="D12" s="28" t="str">
        <x:v>Мясо и птица</x:v>
      </x:c>
      <x:c r="E12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2" s="28" t="str">
        <x:v>Арахис имеет профиль «бобовый и зелёный в сыром виде; жареный, ореховый и какаоподобный после обжарки». Партнёр «свинина»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1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2" s="28" t="str">
        <x:v>сильный аллерген; риск прогоркания и загрязнения плесенью при плохом хранении</x:v>
      </x:c>
      <x:c r="I12" s="28" t="str">
        <x:v>пралине, паста, выпечка, гарнир, соус, молочный или коктейльный компонент с свинина</x:v>
      </x:c>
      <x:c r="J12" s="28" t="str">
        <x:v>Средняя</x:v>
      </x:c>
      <x:c r="K12" s="28" t="str">
        <x:v>Тезариус вкусов (Ники Сегнит)(1).pdf</x:v>
      </x:c>
      <x:c r="L12" s="28" t="str">
        <x:v>Тезариус вкусов (Ники Сегнит)(1).pdf: 56, 78</x:v>
      </x:c>
    </x:row>
    <x:row r="13" ht="64" customHeight="1">
      <x:c r="A13" s="28" t="str">
        <x:v>NCT-0033</x:v>
      </x:c>
      <x:c r="B13" s="28" t="str">
        <x:v>арахис</x:v>
      </x:c>
      <x:c r="C13" s="28" t="str">
        <x:v>свёкла</x:v>
      </x:c>
      <x:c r="D13" s="28" t="str">
        <x:v>Овощи, бобовые и грибы</x:v>
      </x:c>
      <x:c r="E13" s="28" t="str">
        <x:v>сенсорная комплементарность</x:v>
      </x:c>
      <x:c r="F13" s="28" t="str">
        <x:v>Арахис имеет профиль «бобовый и зелёный в сыром виде; жареный, ореховый и какаоподобный после обжарки». Партнёр «свёкла» относится к группе «Овощи, бобовые и грибы» и даёт землистый, сладкий.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3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3" s="28" t="str">
        <x:v>сильный аллерген; риск прогоркания и загрязнения плесенью при плохом хранении</x:v>
      </x:c>
      <x:c r="I13" s="28" t="str">
        <x:v>пралине, паста, выпечка, гарнир, соус, молочный или коктейльный компонент с свёкла</x:v>
      </x:c>
      <x:c r="J13" s="28" t="str">
        <x:v>Средняя</x:v>
      </x:c>
      <x:c r="K13" s="28" t="str">
        <x:v>The Art &amp; Science of Foodpairing.pdf</x:v>
      </x:c>
      <x:c r="L13" s="28" t="str">
        <x:v>The Art &amp; Science of Foodpairing.pdf: 224</x:v>
      </x:c>
    </x:row>
    <x:row r="14" ht="64" customHeight="1">
      <x:c r="A14" s="28" t="str">
        <x:v>NCT-0035</x:v>
      </x:c>
      <x:c r="B14" s="28" t="str">
        <x:v>арахис</x:v>
      </x:c>
      <x:c r="C14" s="28" t="str">
        <x:v>спаржа</x:v>
      </x:c>
      <x:c r="D14" s="28" t="str">
        <x:v>Овощи, бобовые и грибы</x:v>
      </x:c>
      <x:c r="E14" s="28" t="str">
        <x:v>общие ароматические соединения</x:v>
      </x:c>
      <x:c r="F14" s="28" t="str">
        <x:v>Арахис имеет профиль «бобовый и зелёный в сыром виде; жареный, ореховый и какаоподобный после обжарки». Партнёр «спаржа»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4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4" s="28" t="str">
        <x:v>сильный аллерген; риск прогоркания и загрязнения плесенью при плохом хранении</x:v>
      </x:c>
      <x:c r="I14" s="28" t="str">
        <x:v>пралине, паста, выпечка, гарнир, соус, молочный или коктейльный компонент с спаржа</x:v>
      </x:c>
      <x:c r="J14" s="28" t="str">
        <x:v>Средняя</x:v>
      </x:c>
      <x:c r="K14" s="28" t="str">
        <x:v>Тезариус вкусов (Ники Сегнит)(1).pdf</x:v>
      </x:c>
      <x:c r="L14" s="28" t="str">
        <x:v>Тезариус вкусов (Ники Сегнит)(1).pdf: 56, 345</x:v>
      </x:c>
    </x:row>
    <x:row r="15" ht="64" customHeight="1">
      <x:c r="A15" s="28" t="str">
        <x:v>NCT-0036</x:v>
      </x:c>
      <x:c r="B15" s="28" t="str">
        <x:v>арахис</x:v>
      </x:c>
      <x:c r="C15" s="28" t="str">
        <x:v>томаты</x:v>
      </x:c>
      <x:c r="D15" s="28" t="str">
        <x:v>Овощи, бобовые и грибы</x:v>
      </x:c>
      <x:c r="E15" s="28" t="str">
        <x:v>сенсорная комплементарность</x:v>
      </x:c>
      <x:c r="F15" s="28" t="str">
        <x:v>Арахис имеет профиль «бобовый и зелёный в сыром виде; жареный, ореховый и какаоподобный после обжарки». Партнёр «томаты» относится к группе «Овощи, бобовые и грибы» и даёт зелёный, умами, фруктовый.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5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5" s="28" t="str">
        <x:v>сильный аллерген; риск прогоркания и загрязнения плесенью при плохом хранении</x:v>
      </x:c>
      <x:c r="I15" s="28" t="str">
        <x:v>пралине, паста, выпечка, гарнир, соус, молочный или коктейльный компонент с томаты</x:v>
      </x:c>
      <x:c r="J15" s="28" t="str">
        <x:v>Средняя</x:v>
      </x:c>
      <x:c r="K15" s="28" t="str">
        <x:v>Тезариус вкусов (Ники Сегнит)(1).pdf</x:v>
      </x:c>
      <x:c r="L15" s="28" t="str">
        <x:v>Тезариус вкусов (Ники Сегнит)(1).pdf: 56, 680</x:v>
      </x:c>
    </x:row>
    <x:row r="16" ht="64" customHeight="1">
      <x:c r="A16" s="28" t="str">
        <x:v>NCT-0042</x:v>
      </x:c>
      <x:c r="B16" s="28" t="str">
        <x:v>белый шоколад</x:v>
      </x:c>
      <x:c r="C16" s="28" t="str">
        <x:v>baechu kimchi</x:v>
      </x:c>
      <x:c r="D16" s="28" t="str">
        <x:v>Ферментированные продукты и соусы</x:v>
      </x:c>
      <x:c r="E16" s="28" t="str">
        <x:v>солёно-умами контраст</x:v>
      </x:c>
      <x:c r="F16" s="28" t="str">
        <x:v>Белый шоколад имеет профиль «сливочный, ванильный, карамельный и маслянистый без выраженного какаового жареного профиля». Партнёр «baechu kimchi» относится к группе «Ферментированные продукты и соусы» и даёт ферментированный, умами и сложный.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6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16" s="28" t="str">
        <x:v>легко становится приторным и восковым; требует точной температуры темперирования</x:v>
      </x:c>
      <x:c r="I16" s="28" t="str">
        <x:v>ганаш, плитка, крем, мусс, напиток, глазурь или соус с baechu kimchi</x:v>
      </x:c>
      <x:c r="J16" s="28" t="str">
        <x:v>Средняя</x:v>
      </x:c>
      <x:c r="K16" s="28" t="str">
        <x:v>The Art &amp; Science of Foodpairing.pdf</x:v>
      </x:c>
      <x:c r="L16" s="28" t="str">
        <x:v>The Art &amp; Science of Foodpairing.pdf: 305</x:v>
      </x:c>
    </x:row>
    <x:row r="17" ht="64" customHeight="1">
      <x:c r="A17" s="28" t="str">
        <x:v>NCT-0043</x:v>
      </x:c>
      <x:c r="B17" s="28" t="str">
        <x:v>белый шоколад</x:v>
      </x:c>
      <x:c r="C17" s="28" t="str">
        <x:v>balsamic vinegar</x:v>
      </x:c>
      <x:c r="D17" s="28" t="str">
        <x:v>Ферментированные продукты и соусы</x:v>
      </x:c>
      <x:c r="E17" s="28" t="str">
        <x:v>солёно-умами контраст</x:v>
      </x:c>
      <x:c r="F17" s="28" t="str">
        <x:v>Белый шоколад имеет профиль «сливочный, ванильный, карамельный и маслянистый без выраженного какаового жареного профиля». Партнёр «balsamic vinegar» относится к группе «Ферментированные продукты и соусы» и даёт ферментированный, умами и сложный.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7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17" s="28" t="str">
        <x:v>легко становится приторным и восковым; требует точной температуры темперирования</x:v>
      </x:c>
      <x:c r="I17" s="28" t="str">
        <x:v>ганаш, плитка, крем, мусс, напиток, глазурь или соус с balsamic vinegar</x:v>
      </x:c>
      <x:c r="J17" s="28" t="str">
        <x:v>Средняя</x:v>
      </x:c>
      <x:c r="K17" s="28" t="str">
        <x:v>The Art &amp; Science of Foodpairing.pdf</x:v>
      </x:c>
      <x:c r="L17" s="28" t="str">
        <x:v>The Art &amp; Science of Foodpairing.pdf: 316</x:v>
      </x:c>
    </x:row>
    <x:row r="18" ht="64" customHeight="1">
      <x:c r="A18" s="28" t="str">
        <x:v>NCT-0064</x:v>
      </x:c>
      <x:c r="B18" s="28" t="str">
        <x:v>белый шоколад</x:v>
      </x:c>
      <x:c r="C18" s="28" t="str">
        <x:v>черная икра</x:v>
      </x:c>
      <x:c r="D18" s="28" t="str">
        <x:v>Рыба и морепродукты</x:v>
      </x:c>
      <x:c r="E18" s="28" t="str">
        <x:v>солёно-умами контраст</x:v>
      </x:c>
      <x:c r="F18" s="28" t="str">
        <x:v>Белый шоколад имеет профиль «сливочный, ванильный, карамельный и маслянистый без выраженного какаового жареного профиля». Партнёр «черная икра»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8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18" s="28" t="str">
        <x:v>легко становится приторным и восковым; требует точной температуры темперирования; малейшая прогорклость ореха или шоколада усиливает неприятные рыбные оттенки</x:v>
      </x:c>
      <x:c r="I18" s="28" t="str">
        <x:v>ганаш, плитка, крем, мусс, напиток, глазурь или соус с черная икра</x:v>
      </x:c>
      <x:c r="J18" s="28" t="str">
        <x:v>Средняя</x:v>
      </x:c>
      <x:c r="K18" s="28" t="str">
        <x:v>Тезариус вкусов (Ники Сегнит)(1).pdf</x:v>
      </x:c>
      <x:c r="L18" s="28" t="str">
        <x:v>Тезариус вкусов (Ники Сегнит)(1).pdf: 405, 926</x:v>
      </x:c>
    </x:row>
    <x:row r="19" ht="64" customHeight="1">
      <x:c r="A19" s="28" t="str">
        <x:v>NCT-0068</x:v>
      </x:c>
      <x:c r="B19" s="28" t="str">
        <x:v>бразильский орех</x:v>
      </x:c>
      <x:c r="C19" s="28" t="str">
        <x:v>картофель фри</x:v>
      </x:c>
      <x:c r="D19" s="28" t="str">
        <x:v>Овощи, бобовые и грибы</x:v>
      </x:c>
      <x:c r="E19" s="28" t="str">
        <x:v>общие ароматические соединения, пересечение ароматических семейств</x:v>
      </x:c>
      <x:c r="F19" s="28" t="str">
        <x:v>Бразильский орех имеет профиль «маслянистый, древесный, землистый и мягко-ореховый». Партнёр «картофель фри»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землистый; альдегиды.</x:v>
      </x:c>
      <x:c r="G19" s="28" t="str">
        <x:v>обжарка усиливает жареные и сернистые оттенки. Целый орех обжаривать умеренно, охлаждать перед измельчением и хранить герметично.</x:v>
      </x:c>
      <x:c r="H19" s="28" t="str">
        <x:v>аллерген; очень богат селеном, поэтому не подходит для бесконтрольной высокой дозировки</x:v>
      </x:c>
      <x:c r="I19" s="28" t="str">
        <x:v>пралине, паста, выпечка, гарнир, соус, молочный или коктейльный компонент с картофель фри</x:v>
      </x:c>
      <x:c r="J19" s="28" t="str">
        <x:v>Средняя</x:v>
      </x:c>
      <x:c r="K19" s="28" t="str">
        <x:v>The Art &amp; Science of Foodpairing.pdf</x:v>
      </x:c>
      <x:c r="L19" s="28" t="str">
        <x:v>The Art &amp; Science of Foodpairing.pdf: 196</x:v>
      </x:c>
    </x:row>
    <x:row r="20" ht="64" customHeight="1">
      <x:c r="A20" s="28" t="str">
        <x:v>NCT-0070</x:v>
      </x:c>
      <x:c r="B20" s="28" t="str">
        <x:v>грецкий орех</x:v>
      </x:c>
      <x:c r="C20" s="28" t="str">
        <x:v>sweet potato</x:v>
      </x:c>
      <x:c r="D20" s="28" t="str">
        <x:v>Овощи, бобовые и грибы</x:v>
      </x:c>
      <x:c r="E20" s="28" t="str">
        <x:v>пересечение ароматических семейств</x:v>
      </x:c>
      <x:c r="F20" s="28" t="str">
        <x:v>Грецкий орех имеет профиль «ореховый, древесный, землистый, слегка горький и маслянистый». Партнёр «sweet potato»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20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20" s="28" t="str">
        <x:v>аллерген; быстро окисляется; горькая кожица способна доминировать</x:v>
      </x:c>
      <x:c r="I20" s="28" t="str">
        <x:v>пралине, паста, выпечка, гарнир, соус, молочный или коктейльный компонент с sweet potato</x:v>
      </x:c>
      <x:c r="J20" s="28" t="str">
        <x:v>Средняя</x:v>
      </x:c>
      <x:c r="K20" s="28" t="str">
        <x:v>The Art &amp; Science of Foodpairing.pdf</x:v>
      </x:c>
      <x:c r="L20" s="28" t="str">
        <x:v>The Art &amp; Science of Foodpairing.pdf: 119</x:v>
      </x:c>
    </x:row>
    <x:row r="21" ht="64" customHeight="1">
      <x:c r="A21" s="28" t="str">
        <x:v>NCT-0077</x:v>
      </x:c>
      <x:c r="B21" s="28" t="str">
        <x:v>грецкий орех</x:v>
      </x:c>
      <x:c r="C21" s="28" t="str">
        <x:v>баклажан</x:v>
      </x:c>
      <x:c r="D21" s="28" t="str">
        <x:v>Овощи, бобовые и грибы</x:v>
      </x:c>
      <x:c r="E21" s="28" t="str">
        <x:v>пересечение ароматических семейств</x:v>
      </x:c>
      <x:c r="F21" s="28" t="str">
        <x:v>Грецкий орех имеет профиль «ореховый, древесный, землистый, слегка горький и маслянистый». Партнёр «баклажан»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21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21" s="28" t="str">
        <x:v>аллерген; быстро окисляется; горькая кожица способна доминировать</x:v>
      </x:c>
      <x:c r="I21" s="28" t="str">
        <x:v>пралине, паста, выпечка, гарнир, соус, молочный или коктейльный компонент с баклажан</x:v>
      </x:c>
      <x:c r="J21" s="28" t="str">
        <x:v>Средняя</x:v>
      </x:c>
      <x:c r="K21" s="28" t="str">
        <x:v>Тезариус вкусов (Ники Сегнит)(1).pdf</x:v>
      </x:c>
      <x:c r="L21" s="28" t="str">
        <x:v>Тезариус вкусов (Ники Сегнит)(1).pdf: 210, 623</x:v>
      </x:c>
    </x:row>
    <x:row r="22" ht="64" customHeight="1">
      <x:c r="A22" s="28" t="str">
        <x:v>NCT-0086</x:v>
      </x:c>
      <x:c r="B22" s="28" t="str">
        <x:v>грецкий орех</x:v>
      </x:c>
      <x:c r="C22" s="28" t="str">
        <x:v>говядина</x:v>
      </x:c>
      <x:c r="D22" s="28" t="str">
        <x:v>Мясо и птица</x:v>
      </x:c>
      <x:c r="E22" s="28" t="str">
        <x:v>общие ароматические соединения, жареная химия и реакции Майяра, солёно-умами контраст</x:v>
      </x:c>
      <x:c r="F22" s="28" t="str">
        <x:v>Грецкий орех имеет профиль «ореховый, древесный, землистый, слегка горький и маслянистый». Партнёр «говядина»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22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22" s="28" t="str">
        <x:v>аллерген; быстро окисляется; горькая кожица способна доминировать</x:v>
      </x:c>
      <x:c r="I22" s="28" t="str">
        <x:v>пралине, паста, выпечка, гарнир, соус, молочный или коктейльный компонент с говядина</x:v>
      </x:c>
      <x:c r="J22" s="28" t="str">
        <x:v>Средняя</x:v>
      </x:c>
      <x:c r="K22" s="28" t="str">
        <x:v>Тезариус вкусов (Ники Сегнит)(1).pdf</x:v>
      </x:c>
      <x:c r="L22" s="28" t="str">
        <x:v>Тезариус вкусов (Ники Сегнит)(1).pdf: 108, 625</x:v>
      </x:c>
    </x:row>
    <x:row r="23" ht="64" customHeight="1">
      <x:c r="A23" s="28" t="str">
        <x:v>NCT-0088</x:v>
      </x:c>
      <x:c r="B23" s="28" t="str">
        <x:v>грецкий орех</x:v>
      </x:c>
      <x:c r="C23" s="28" t="str">
        <x:v>грибы</x:v>
      </x:c>
      <x:c r="D23" s="28" t="str">
        <x:v>Овощи, бобовые и грибы</x:v>
      </x:c>
      <x:c r="E23" s="28" t="str">
        <x:v>пересечение ароматических семейств</x:v>
      </x:c>
      <x:c r="F23" s="28" t="str">
        <x:v>Грецкий орех имеет профиль «ореховый, древесный, землистый, слегка горький и маслянистый». Партнёр «грибы»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23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23" s="28" t="str">
        <x:v>аллерген; быстро окисляется; горькая кожица способна доминировать</x:v>
      </x:c>
      <x:c r="I23" s="28" t="str">
        <x:v>пралине, паста, выпечка, гарнир, соус, молочный или коктейльный компонент с грибы</x:v>
      </x:c>
      <x:c r="J23" s="28" t="str">
        <x:v>Средняя</x:v>
      </x:c>
      <x:c r="K23" s="28" t="str">
        <x:v>Тезариус вкусов (Ники Сегнит)(1).pdf</x:v>
      </x:c>
      <x:c r="L23" s="28" t="str">
        <x:v>Тезариус вкусов (Ники Сегнит)(1).pdf: 195, 625</x:v>
      </x:c>
    </x:row>
    <x:row r="24" ht="64" customHeight="1">
      <x:c r="A24" s="28" t="str">
        <x:v>NCT-0100</x:v>
      </x:c>
      <x:c r="B24" s="28" t="str">
        <x:v>грецкий орех</x:v>
      </x:c>
      <x:c r="C24" s="28" t="str">
        <x:v>морковь</x:v>
      </x:c>
      <x:c r="D24" s="28" t="str">
        <x:v>Овощи, бобовые и грибы</x:v>
      </x:c>
      <x:c r="E24" s="28" t="str">
        <x:v>пересечение ароматических семейств</x:v>
      </x:c>
      <x:c r="F24" s="28" t="str">
        <x:v>Грецкий орех имеет профиль «ореховый, древесный, землистый, слегка горький и маслянистый». Партнёр «морковь»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2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24" s="28" t="str">
        <x:v>аллерген; быстро окисляется; горькая кожица способна доминировать</x:v>
      </x:c>
      <x:c r="I24" s="28" t="str">
        <x:v>пралине, паста, выпечка, гарнир, соус, молочный или коктейльный компонент с морковь</x:v>
      </x:c>
      <x:c r="J24" s="28" t="str">
        <x:v>Средняя</x:v>
      </x:c>
      <x:c r="K24" s="28" t="str">
        <x:v>Тезариус вкусов (Ники Сегнит)(1).pdf</x:v>
      </x:c>
      <x:c r="L24" s="28" t="str">
        <x:v>Тезариус вкусов (Ники Сегнит)(1).pdf: 602, 627</x:v>
      </x:c>
    </x:row>
    <x:row r="25" ht="64" customHeight="1">
      <x:c r="A25" s="28" t="str">
        <x:v>NCT-0110</x:v>
      </x:c>
      <x:c r="B25" s="28" t="str">
        <x:v>грецкий орех</x:v>
      </x:c>
      <x:c r="C25" s="28" t="str">
        <x:v>свекла</x:v>
      </x:c>
      <x:c r="D25" s="28" t="str">
        <x:v>Овощи, бобовые и грибы</x:v>
      </x:c>
      <x:c r="E25" s="28" t="str">
        <x:v>пересечение ароматических семейств</x:v>
      </x:c>
      <x:c r="F25" s="28" t="str">
        <x:v>Грецкий орех имеет профиль «ореховый, древесный, землистый, слегка горький и маслянистый». Партнёр «свекла» относится к группе «Овощи, бобовые и грибы» и даёт землистый, сладкий.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25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25" s="28" t="str">
        <x:v>аллерген; быстро окисляется; горькая кожица способна доминировать</x:v>
      </x:c>
      <x:c r="I25" s="28" t="str">
        <x:v>пралине, паста, выпечка, гарнир, соус, молочный или коктейльный компонент с свекла</x:v>
      </x:c>
      <x:c r="J25" s="28" t="str">
        <x:v>Средняя</x:v>
      </x:c>
      <x:c r="K25" s="28" t="str">
        <x:v>Тезариус вкусов (Ники Сегнит)(1).pdf</x:v>
      </x:c>
      <x:c r="L25" s="28" t="str">
        <x:v>Тезариус вкусов (Ники Сегнит)(1).pdf: 223, 225, 628</x:v>
      </x:c>
    </x:row>
    <x:row r="26" ht="64" customHeight="1">
      <x:c r="A26" s="28" t="str">
        <x:v>NCT-0115</x:v>
      </x:c>
      <x:c r="B26" s="28" t="str">
        <x:v>грецкий орех</x:v>
      </x:c>
      <x:c r="C26" s="28" t="str">
        <x:v>цветная капуста</x:v>
      </x:c>
      <x:c r="D26" s="28" t="str">
        <x:v>Овощи, бобовые и грибы</x:v>
      </x:c>
      <x:c r="E26" s="28" t="str">
        <x:v>пересечение ароматических семейств</x:v>
      </x:c>
      <x:c r="F26" s="28" t="str">
        <x:v>Грецкий орех имеет профиль «ореховый, древесный, землистый, слегка горький и маслянистый». Партнёр «цветная капуста»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26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26" s="28" t="str">
        <x:v>аллерген; быстро окисляется; горькая кожица способна доминировать</x:v>
      </x:c>
      <x:c r="I26" s="28" t="str">
        <x:v>пралине, паста, выпечка, гарнир, соус, молочный или коктейльный компонент с цветная капуста</x:v>
      </x:c>
      <x:c r="J26" s="28" t="str">
        <x:v>Средняя</x:v>
      </x:c>
      <x:c r="K26" s="28" t="str">
        <x:v>Тезариус вкусов (Ники Сегнит)(1).pdf</x:v>
      </x:c>
      <x:c r="L26" s="28" t="str">
        <x:v>Тезариус вкусов (Ники Сегнит)(1).pdf: 321, 629</x:v>
      </x:c>
    </x:row>
    <x:row r="27" ht="64" customHeight="1">
      <x:c r="A27" s="28" t="str">
        <x:v>NCT-0118</x:v>
      </x:c>
      <x:c r="B27" s="28" t="str">
        <x:v>грецкий орех</x:v>
      </x:c>
      <x:c r="C27" s="28" t="str">
        <x:v>чеснок</x:v>
      </x:c>
      <x:c r="D27" s="28" t="str">
        <x:v>Овощи, бобовые и грибы</x:v>
      </x:c>
      <x:c r="E27" s="28" t="str">
        <x:v>пересечение ароматических семейств</x:v>
      </x:c>
      <x:c r="F27" s="28" t="str">
        <x:v>Грецкий орех имеет профиль «ореховый, древесный, землистый, слегка горький и маслянистый». Партнёр «чеснок»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27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27" s="28" t="str">
        <x:v>аллерген; быстро окисляется; горькая кожица способна доминировать</x:v>
      </x:c>
      <x:c r="I27" s="28" t="str">
        <x:v>пралине, паста, выпечка, гарнир, соус, молочный или коктейльный компонент с чеснок</x:v>
      </x:c>
      <x:c r="J27" s="28" t="str">
        <x:v>Средняя</x:v>
      </x:c>
      <x:c r="K27" s="28" t="str">
        <x:v>Тезариус вкусов (Ники Сегнит)(1).pdf</x:v>
      </x:c>
      <x:c r="L27" s="28" t="str">
        <x:v>Тезариус вкусов (Ники Сегнит)(1).pdf: 293, 630</x:v>
      </x:c>
    </x:row>
    <x:row r="28" ht="64" customHeight="1">
      <x:c r="A28" s="28" t="str">
        <x:v>NCT-0126</x:v>
      </x:c>
      <x:c r="B28" s="28" t="str">
        <x:v>зелёный чай</x:v>
      </x:c>
      <x:c r="C28" s="28" t="str">
        <x:v>fish</x:v>
      </x:c>
      <x:c r="D28" s="28" t="str">
        <x:v>Рыба и морепродукты</x:v>
      </x:c>
      <x:c r="E28" s="28" t="str">
        <x:v>пересечение ароматических семейств, солёно-умами контраст</x:v>
      </x:c>
      <x:c r="F28" s="28" t="str">
        <x:v>Зелёный чай имеет профиль «зелёный, морской, травянистый, цветочный и слегка жареный; у матча — умами». Партнёр «fish» относится к группе «Рыба и морепродукты» и даёт морской, солоноватый и умами. Профили пересекаются в семействах: морской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морской; механизм не следует сводить к одной общей молекуле.</x:v>
      </x:c>
      <x:c r="G28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8" s="28" t="str">
        <x:v>переэкстракция; матча легко становится меловой и горькой; кофеин; слишком горячая вода и долгое заваривание усиливают терпкость; малейшая прогорклость ореха или шоколада усиливает неприятные рыбные оттенки</x:v>
      </x:c>
      <x:c r="I28" s="28" t="str">
        <x:v>чайный настой, холодный чай, кордиал, молочный пунш, десерт или соус с fish</x:v>
      </x:c>
      <x:c r="J28" s="28" t="str">
        <x:v>Средняя</x:v>
      </x:c>
      <x:c r="K28" s="28" t="str">
        <x:v>The Art &amp; Science of Foodpairing.pdf</x:v>
      </x:c>
      <x:c r="L28" s="28" t="str">
        <x:v>The Art &amp; Science of Foodpairing.pdf: 104</x:v>
      </x:c>
    </x:row>
    <x:row r="29" ht="64" customHeight="1">
      <x:c r="A29" s="28" t="str">
        <x:v>NCT-0127</x:v>
      </x:c>
      <x:c r="B29" s="28" t="str">
        <x:v>зелёный чай</x:v>
      </x:c>
      <x:c r="C29" s="28" t="str">
        <x:v>garlic</x:v>
      </x:c>
      <x:c r="D29" s="28" t="str">
        <x:v>Овощи, бобовые и грибы</x:v>
      </x:c>
      <x:c r="E29" s="28" t="str">
        <x:v>пересечение ароматических семейств</x:v>
      </x:c>
      <x:c r="F29" s="28" t="str">
        <x:v>Зелёный чай имеет профиль «зелёный, морской, травянистый, цветочный и слегка жареный; у матча — умами». Партнёр «garlic» относится к группе «Овощи, бобовые и грибы» и даёт зелёный, землистый или умами. Профили пересекаются в семействах: зелёный Полифенолы создают терпкость, поэтому сахар, жир, соль или умами могут смягчить сухость; чрезмерно танинный партнёр, наоборот, её усиливает. Итог: зелёный; механизм не следует сводить к одной общей молекуле.</x:v>
      </x:c>
      <x:c r="G29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9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29" s="28" t="str">
        <x:v>чайный настой, холодный чай, кордиал, молочный пунш, десерт или соус с garlic</x:v>
      </x:c>
      <x:c r="J29" s="28" t="str">
        <x:v>Средняя</x:v>
      </x:c>
      <x:c r="K29" s="28" t="str">
        <x:v>The Art &amp; Science of Foodpairing.pdf</x:v>
      </x:c>
      <x:c r="L29" s="28" t="str">
        <x:v>The Art &amp; Science of Foodpairing.pdf: 113</x:v>
      </x:c>
    </x:row>
    <x:row r="30" ht="64" customHeight="1">
      <x:c r="A30" s="28" t="str">
        <x:v>NCT-0128</x:v>
      </x:c>
      <x:c r="B30" s="28" t="str">
        <x:v>зелёный чай</x:v>
      </x:c>
      <x:c r="C30" s="28" t="str">
        <x:v>meat</x:v>
      </x:c>
      <x:c r="D30" s="28" t="str">
        <x:v>Мясо и птица</x:v>
      </x:c>
      <x:c r="E30" s="28" t="str">
        <x:v>жареная химия и реакции Майяра, солёно-умами контраст</x:v>
      </x:c>
      <x:c r="F30" s="28" t="str">
        <x:v>Зелёный чай имеет профиль «зелёный, морской, травянистый, цветочный и слегка жареный; у матча — умами». Партнёр «meat»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30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30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30" s="28" t="str">
        <x:v>чайный настой, холодный чай, кордиал, молочный пунш, десерт или соус с meat</x:v>
      </x:c>
      <x:c r="J30" s="28" t="str">
        <x:v>Средняя</x:v>
      </x:c>
      <x:c r="K30" s="28" t="str">
        <x:v>The Art &amp; Science of Foodpairing.pdf</x:v>
      </x:c>
      <x:c r="L30" s="28" t="str">
        <x:v>The Art &amp; Science of Foodpairing.pdf: 186</x:v>
      </x:c>
    </x:row>
    <x:row r="31" ht="64" customHeight="1">
      <x:c r="A31" s="28" t="str">
        <x:v>NCT-0141</x:v>
      </x:c>
      <x:c r="B31" s="28" t="str">
        <x:v>каштан</x:v>
      </x:c>
      <x:c r="C31" s="28" t="str">
        <x:v>баранина</x:v>
      </x:c>
      <x:c r="D31" s="28" t="str">
        <x:v>Мясо и птица</x:v>
      </x:c>
      <x:c r="E31" s="28" t="str">
        <x:v>общие ароматические соединения, жареная химия и реакции Майяра, солёно-умами контраст</x:v>
      </x:c>
      <x:c r="F31" s="28" t="str">
        <x:v>Каштан имеет профиль «крахмалистый, сладкий, древесный, слегка какаовый и печёный». Партнёр «баранина»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31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31" s="28" t="str">
        <x:v>сырой каштан жёсткий; требуется надрез перед запеканием; водянистое пюре размывает аромат</x:v>
      </x:c>
      <x:c r="I31" s="28" t="str">
        <x:v>пралине, паста, выпечка, гарнир, соус, молочный или коктейльный компонент с баранина</x:v>
      </x:c>
      <x:c r="J31" s="28" t="str">
        <x:v>Средняя</x:v>
      </x:c>
      <x:c r="K31" s="28" t="str">
        <x:v>Тезариус вкусов (Ники Сегнит)(1).pdf</x:v>
      </x:c>
      <x:c r="L31" s="28" t="str">
        <x:v>Тезариус вкусов (Ники Сегнит)(1).pdf: 130, 616</x:v>
      </x:c>
    </x:row>
    <x:row r="32" ht="64" customHeight="1">
      <x:c r="A32" s="28" t="str">
        <x:v>NCT-0144</x:v>
      </x:c>
      <x:c r="B32" s="28" t="str">
        <x:v>каштан</x:v>
      </x:c>
      <x:c r="C32" s="28" t="str">
        <x:v>грибы</x:v>
      </x:c>
      <x:c r="D32" s="28" t="str">
        <x:v>Овощи, бобовые и грибы</x:v>
      </x:c>
      <x:c r="E32" s="28" t="str">
        <x:v>общие ароматические соединения</x:v>
      </x:c>
      <x:c r="F32" s="28" t="str">
        <x:v>Каштан имеет профиль «крахмалистый, сладкий, древесный, слегка какаовый и печёный». Партнёр «грибы»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2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32" s="28" t="str">
        <x:v>сырой каштан жёсткий; требуется надрез перед запеканием; водянистое пюре размывает аромат</x:v>
      </x:c>
      <x:c r="I32" s="28" t="str">
        <x:v>пралине, паста, выпечка, гарнир, соус, молочный или коктейльный компонент с грибы</x:v>
      </x:c>
      <x:c r="J32" s="28" t="str">
        <x:v>Средняя</x:v>
      </x:c>
      <x:c r="K32" s="28" t="str">
        <x:v>Тезариус вкусов (Ники Сегнит)(1).pdf</x:v>
      </x:c>
      <x:c r="L32" s="28" t="str">
        <x:v>Тезариус вкусов (Ники Сегнит)(1).pdf: 197, 617</x:v>
      </x:c>
    </x:row>
    <x:row r="33" ht="64" customHeight="1">
      <x:c r="A33" s="28" t="str">
        <x:v>NCT-0149</x:v>
      </x:c>
      <x:c r="B33" s="28" t="str">
        <x:v>каштан</x:v>
      </x:c>
      <x:c r="C33" s="28" t="str">
        <x:v>капуста</x:v>
      </x:c>
      <x:c r="D33" s="28" t="str">
        <x:v>Овощи, бобовые и грибы</x:v>
      </x:c>
      <x:c r="E33" s="28" t="str">
        <x:v>общие ароматические соединения</x:v>
      </x:c>
      <x:c r="F33" s="28" t="str">
        <x:v>Каштан имеет профиль «крахмалистый, сладкий, древесный, слегка какаовый и печёный». Партнёр «капуста»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3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33" s="28" t="str">
        <x:v>сырой каштан жёсткий; требуется надрез перед запеканием; водянистое пюре размывает аромат</x:v>
      </x:c>
      <x:c r="I33" s="28" t="str">
        <x:v>пралине, паста, выпечка, гарнир, соус, молочный или коктейльный компонент с капуста</x:v>
      </x:c>
      <x:c r="J33" s="28" t="str">
        <x:v>Средняя</x:v>
      </x:c>
      <x:c r="K33" s="28" t="str">
        <x:v>Тезариус вкусов (Ники Сегнит)(1).pdf</x:v>
      </x:c>
      <x:c r="L33" s="28" t="str">
        <x:v>Тезариус вкусов (Ники Сегнит)(1).pdf: 311, 617</x:v>
      </x:c>
    </x:row>
    <x:row r="34" ht="64" customHeight="1">
      <x:c r="A34" s="28" t="str">
        <x:v>NCT-0159</x:v>
      </x:c>
      <x:c r="B34" s="28" t="str">
        <x:v>каштан</x:v>
      </x:c>
      <x:c r="C34" s="28" t="str">
        <x:v>свинина</x:v>
      </x:c>
      <x:c r="D34" s="28" t="str">
        <x:v>Мясо и птица</x:v>
      </x:c>
      <x:c r="E34" s="28" t="str">
        <x:v>общие ароматические соединения, жареная химия и реакции Майяра, солёно-умами контраст</x:v>
      </x:c>
      <x:c r="F34" s="28" t="str">
        <x:v>Каштан имеет профиль «крахмалистый, сладкий, древесный, слегка какаовый и печёный». Партнёр «свинина»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34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34" s="28" t="str">
        <x:v>сырой каштан жёсткий; требуется надрез перед запеканием; водянистое пюре размывает аромат</x:v>
      </x:c>
      <x:c r="I34" s="28" t="str">
        <x:v>пралине, паста, выпечка, гарнир, соус, молочный или коктейльный компонент с свинина</x:v>
      </x:c>
      <x:c r="J34" s="28" t="str">
        <x:v>Средняя</x:v>
      </x:c>
      <x:c r="K34" s="28" t="str">
        <x:v>Тезариус вкусов (Ники Сегнит)(1).pdf</x:v>
      </x:c>
      <x:c r="L34" s="28" t="str">
        <x:v>Тезариус вкусов (Ники Сегнит)(1).pdf: 85, 619</x:v>
      </x:c>
    </x:row>
    <x:row r="35" ht="64" customHeight="1">
      <x:c r="A35" s="28" t="str">
        <x:v>NCT-0164</x:v>
      </x:c>
      <x:c r="B35" s="28" t="str">
        <x:v>каштан</x:v>
      </x:c>
      <x:c r="C35" s="28" t="str">
        <x:v>тыква баттернат</x:v>
      </x:c>
      <x:c r="D35" s="28" t="str">
        <x:v>Овощи, бобовые и грибы</x:v>
      </x:c>
      <x:c r="E35" s="28" t="str">
        <x:v>общие ароматические соединения</x:v>
      </x:c>
      <x:c r="F35" s="28" t="str">
        <x:v>Каштан имеет профиль «крахмалистый, сладкий, древесный, слегка какаовый и печёный». Партнёр «тыква баттернат»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5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35" s="28" t="str">
        <x:v>сырой каштан жёсткий; требуется надрез перед запеканием; водянистое пюре размывает аромат</x:v>
      </x:c>
      <x:c r="I35" s="28" t="str">
        <x:v>пралине, паста, выпечка, гарнир, соус, молочный или коктейльный компонент с тыква баттернат</x:v>
      </x:c>
      <x:c r="J35" s="28" t="str">
        <x:v>Средняя</x:v>
      </x:c>
      <x:c r="K35" s="28" t="str">
        <x:v>Тезариус вкусов (Ники Сегнит)(1).pdf</x:v>
      </x:c>
      <x:c r="L35" s="28" t="str">
        <x:v>Тезариус вкусов (Ники Сегнит)(1).pdf: 610, 620</x:v>
      </x:c>
    </x:row>
    <x:row r="36" ht="64" customHeight="1">
      <x:c r="A36" s="28" t="str">
        <x:v>NCT-0169</x:v>
      </x:c>
      <x:c r="B36" s="28" t="str">
        <x:v>кедровый орех</x:v>
      </x:c>
      <x:c r="C36" s="28" t="str">
        <x:v>fish</x:v>
      </x:c>
      <x:c r="D36" s="28" t="str">
        <x:v>Рыба и морепродукты</x:v>
      </x:c>
      <x:c r="E36" s="28" t="str">
        <x:v>общие ароматические соединения, солёно-умами контраст</x:v>
      </x:c>
      <x:c r="F36" s="28" t="str">
        <x:v>Кедровый орех имеет профиль «смолистый, сливочный, зелёный и ореховый».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6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36" s="28" t="str">
        <x:v>аллерген; прогоркание; у части партий возможен длительный горький привкус; малейшая прогорклость ореха или шоколада усиливает неприятные рыбные оттенки</x:v>
      </x:c>
      <x:c r="I36" s="28" t="str">
        <x:v>пралине, паста, выпечка, гарнир, соус, молочный или коктейльный компонент с fish</x:v>
      </x:c>
      <x:c r="J36" s="28" t="str">
        <x:v>Средняя</x:v>
      </x:c>
      <x:c r="K36" s="28" t="str">
        <x:v>The Art &amp; Science of Foodpairing.pdf</x:v>
      </x:c>
      <x:c r="L36" s="28" t="str">
        <x:v>The Art &amp; Science of Foodpairing.pdf: 104</x:v>
      </x:c>
    </x:row>
    <x:row r="37" ht="64" customHeight="1">
      <x:c r="A37" s="28" t="str">
        <x:v>NCT-0181</x:v>
      </x:c>
      <x:c r="B37" s="28" t="str">
        <x:v>кешью</x:v>
      </x:c>
      <x:c r="C37" s="28" t="str">
        <x:v>balsamic vinegar</x:v>
      </x:c>
      <x:c r="D37" s="28" t="str">
        <x:v>Ферментированные продукты и соусы</x:v>
      </x:c>
      <x:c r="E37" s="28" t="str">
        <x:v>общие ароматические соединения, пересечение ароматических семейств, солёно-умами контраст</x:v>
      </x:c>
      <x:c r="F37" s="28" t="str">
        <x:v>Кешью имеет профиль «сливочный, мягко-ореховый, сладковатый и жареный». Партнёр «balsamic vinegar»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37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37" s="28" t="str">
        <x:v>аллерген; оболочка сырого ореха содержит раздражающие вещества, поэтому используется обработанный пищевой продукт</x:v>
      </x:c>
      <x:c r="I37" s="28" t="str">
        <x:v>пралине, паста, выпечка, гарнир, соус, молочный или коктейльный компонент с balsamic vinegar</x:v>
      </x:c>
      <x:c r="J37" s="28" t="str">
        <x:v>Средняя</x:v>
      </x:c>
      <x:c r="K37" s="28" t="str">
        <x:v>The Art &amp; Science of Foodpairing.pdf</x:v>
      </x:c>
      <x:c r="L37" s="28" t="str">
        <x:v>The Art &amp; Science of Foodpairing.pdf: 316</x:v>
      </x:c>
    </x:row>
    <x:row r="38" ht="64" customHeight="1">
      <x:c r="A38" s="28" t="str">
        <x:v>NCT-0182</x:v>
      </x:c>
      <x:c r="B38" s="28" t="str">
        <x:v>кешью</x:v>
      </x:c>
      <x:c r="C38" s="28" t="str">
        <x:v>cucumber</x:v>
      </x:c>
      <x:c r="D38" s="28" t="str">
        <x:v>Овощи, бобовые и грибы</x:v>
      </x:c>
      <x:c r="E38" s="28" t="str">
        <x:v>общие ароматические соединения</x:v>
      </x:c>
      <x:c r="F38" s="28" t="str">
        <x:v>Кешью имеет профиль «сливочный, мягко-ореховый, сладковатый и жареный». Партнёр «cucumber»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8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38" s="28" t="str">
        <x:v>аллерген; оболочка сырого ореха содержит раздражающие вещества, поэтому используется обработанный пищевой продукт</x:v>
      </x:c>
      <x:c r="I38" s="28" t="str">
        <x:v>пралине, паста, выпечка, гарнир, соус, молочный или коктейльный компонент с cucumber</x:v>
      </x:c>
      <x:c r="J38" s="28" t="str">
        <x:v>Средняя</x:v>
      </x:c>
      <x:c r="K38" s="28" t="str">
        <x:v>The Art &amp; Science of Foodpairing.pdf</x:v>
      </x:c>
      <x:c r="L38" s="28" t="str">
        <x:v>The Art &amp; Science of Foodpairing.pdf: 268</x:v>
      </x:c>
    </x:row>
    <x:row r="39" ht="64" customHeight="1">
      <x:c r="A39" s="28" t="str">
        <x:v>NCT-0183</x:v>
      </x:c>
      <x:c r="B39" s="28" t="str">
        <x:v>кешью</x:v>
      </x:c>
      <x:c r="C39" s="28" t="str">
        <x:v>fish</x:v>
      </x:c>
      <x:c r="D39" s="28" t="str">
        <x:v>Рыба и морепродукты</x:v>
      </x:c>
      <x:c r="E39" s="28" t="str">
        <x:v>общие ароматические соединения, солёно-умами контраст</x:v>
      </x:c>
      <x:c r="F39" s="28" t="str">
        <x:v>Кешью имеет профиль «сливочный, мягко-ореховый, сладковатый и жареный».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9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39" s="28" t="str">
        <x:v>аллерген; оболочка сырого ореха содержит раздражающие вещества, поэтому используется обработанный пищевой продукт; малейшая прогорклость ореха или шоколада усиливает неприятные рыбные оттенки</x:v>
      </x:c>
      <x:c r="I39" s="28" t="str">
        <x:v>пралине, паста, выпечка, гарнир, соус, молочный или коктейльный компонент с fish</x:v>
      </x:c>
      <x:c r="J39" s="28" t="str">
        <x:v>Средняя</x:v>
      </x:c>
      <x:c r="K39" s="28" t="str">
        <x:v>The Art &amp; Science of Foodpairing.pdf</x:v>
      </x:c>
      <x:c r="L39" s="28" t="str">
        <x:v>The Art &amp; Science of Foodpairing.pdf: 104</x:v>
      </x:c>
    </x:row>
    <x:row r="40" ht="64" customHeight="1">
      <x:c r="A40" s="28" t="str">
        <x:v>NCT-0185</x:v>
      </x:c>
      <x:c r="B40" s="28" t="str">
        <x:v>кешью</x:v>
      </x:c>
      <x:c r="C40" s="28" t="str">
        <x:v>lberico ham</x:v>
      </x:c>
      <x:c r="D40" s="28" t="str">
        <x:v>Мясо и птица</x:v>
      </x:c>
      <x:c r="E4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0" s="28" t="str">
        <x:v>Кешью имеет профиль «сливочный, мягко-ореховый, сладковатый и жареный».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40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40" s="28" t="str">
        <x:v>аллерген; оболочка сырого ореха содержит раздражающие вещества, поэтому используется обработанный пищевой продукт</x:v>
      </x:c>
      <x:c r="I40" s="28" t="str">
        <x:v>пралине, паста, выпечка, гарнир, соус, молочный или коктейльный компонент с lberico ham</x:v>
      </x:c>
      <x:c r="J40" s="28" t="str">
        <x:v>Средняя</x:v>
      </x:c>
      <x:c r="K40" s="28" t="str">
        <x:v>The Art &amp; Science of Foodpairing.pdf</x:v>
      </x:c>
      <x:c r="L40" s="28" t="str">
        <x:v>The Art &amp; Science of Foodpairing.pdf: 278</x:v>
      </x:c>
    </x:row>
    <x:row r="41" ht="64" customHeight="1">
      <x:c r="A41" s="28" t="str">
        <x:v>NCT-0186</x:v>
      </x:c>
      <x:c r="B41" s="28" t="str">
        <x:v>кешью</x:v>
      </x:c>
      <x:c r="C41" s="28" t="str">
        <x:v>tomato and tomato puree</x:v>
      </x:c>
      <x:c r="D41" s="28" t="str">
        <x:v>Овощи, бобовые и грибы</x:v>
      </x:c>
      <x:c r="E41" s="28" t="str">
        <x:v>общие ароматические соединения</x:v>
      </x:c>
      <x:c r="F41" s="28" t="str">
        <x:v>Кешью имеет профиль «сливочный, мягко-ореховый, сладковатый и жареный». Партнёр «tomato and tomato puree»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1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41" s="28" t="str">
        <x:v>аллерген; оболочка сырого ореха содержит раздражающие вещества, поэтому используется обработанный пищевой продукт</x:v>
      </x:c>
      <x:c r="I41" s="28" t="str">
        <x:v>пралине, паста, выпечка, гарнир, соус, молочный или коктейльный компонент с tomato and tomato puree</x:v>
      </x:c>
      <x:c r="J41" s="28" t="str">
        <x:v>Средняя</x:v>
      </x:c>
      <x:c r="K41" s="28" t="str">
        <x:v>The Art &amp; Science of Foodpairing.pdf</x:v>
      </x:c>
      <x:c r="L41" s="28" t="str">
        <x:v>The Art &amp; Science of Foodpairing.pdf: 161</x:v>
      </x:c>
    </x:row>
    <x:row r="42" ht="64" customHeight="1">
      <x:c r="A42" s="28" t="str">
        <x:v>NCT-0202</x:v>
      </x:c>
      <x:c r="B42" s="28" t="str">
        <x:v>кофе</x:v>
      </x:c>
      <x:c r="C42" s="28" t="str">
        <x:v>bayonne ham</x:v>
      </x:c>
      <x:c r="D42" s="28" t="str">
        <x:v>Мясо и птица</x:v>
      </x:c>
      <x:c r="E42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2" s="28" t="str">
        <x:v>Кофе имеет профиль «жареный, ореховый, карамельный, цветочный, фруктовый, фенольный и древесный». Партнёр «bayonne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4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2" s="28" t="str">
        <x:v>кофейный напиток, холодный кофе, крем, сироп, десерт или соус с bayonne ham</x:v>
      </x:c>
      <x:c r="J42" s="28" t="str">
        <x:v>Средняя</x:v>
      </x:c>
      <x:c r="K42" s="28" t="str">
        <x:v>The Art &amp; Science of Foodpairing.pdf</x:v>
      </x:c>
      <x:c r="L42" s="28" t="str">
        <x:v>The Art &amp; Science of Foodpairing.pdf: 297</x:v>
      </x:c>
    </x:row>
    <x:row r="43" ht="64" customHeight="1">
      <x:c r="A43" s="28" t="str">
        <x:v>NCT-0203</x:v>
      </x:c>
      <x:c r="B43" s="28" t="str">
        <x:v>кофе</x:v>
      </x:c>
      <x:c r="C43" s="28" t="str">
        <x:v>boiled carrot</x:v>
      </x:c>
      <x:c r="D43" s="28" t="str">
        <x:v>Овощи, бобовые и грибы</x:v>
      </x:c>
      <x:c r="E43" s="28" t="str">
        <x:v>сенсорная комплементарность</x:v>
      </x:c>
      <x:c r="F43" s="28" t="str">
        <x:v>Кофе имеет профиль «жареный, ореховый, карамельный, цветочный, фруктовый, фенольный и древесный». Партнёр «boiled carrot»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3" s="28" t="str">
        <x:v>кофейный напиток, холодный кофе, крем, сироп, десерт или соус с boiled carrot</x:v>
      </x:c>
      <x:c r="J43" s="28" t="str">
        <x:v>Средняя</x:v>
      </x:c>
      <x:c r="K43" s="28" t="str">
        <x:v>The Art &amp; Science of Foodpairing.pdf</x:v>
      </x:c>
      <x:c r="L43" s="28" t="str">
        <x:v>The Art &amp; Science of Foodpairing.pdf: 297</x:v>
      </x:c>
    </x:row>
    <x:row r="44" ht="64" customHeight="1">
      <x:c r="A44" s="28" t="str">
        <x:v>NCT-0209</x:v>
      </x:c>
      <x:c r="B44" s="28" t="str">
        <x:v>кофе</x:v>
      </x:c>
      <x:c r="C44" s="28" t="str">
        <x:v>douchi</x:v>
      </x:c>
      <x:c r="D44" s="28" t="str">
        <x:v>Ферментированные продукты и соусы</x:v>
      </x:c>
      <x:c r="E44" s="28" t="str">
        <x:v>общие ароматические соединения, пересечение ароматических семейств, солёно-умами контраст</x:v>
      </x:c>
      <x:c r="F44" s="28" t="str">
        <x:v>Кофе имеет профиль «жареный, ореховый, карамельный, цветочный, фруктовый, фенольный и древесный». Партнёр «douchi»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пиразины, фураны.</x:v>
      </x:c>
      <x:c r="G4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4" s="28" t="str">
        <x:v>кофейный напиток, холодный кофе, крем, сироп, десерт или соус с douchi</x:v>
      </x:c>
      <x:c r="J44" s="28" t="str">
        <x:v>Средняя</x:v>
      </x:c>
      <x:c r="K44" s="28" t="str">
        <x:v>The Art &amp; Science of Foodpairing.pdf</x:v>
      </x:c>
      <x:c r="L44" s="28" t="str">
        <x:v>The Art &amp; Science of Foodpairing.pdf: 297</x:v>
      </x:c>
    </x:row>
    <x:row r="45" ht="64" customHeight="1">
      <x:c r="A45" s="28" t="str">
        <x:v>NCT-0212</x:v>
      </x:c>
      <x:c r="B45" s="28" t="str">
        <x:v>кофе</x:v>
      </x:c>
      <x:c r="C45" s="28" t="str">
        <x:v>garlic</x:v>
      </x:c>
      <x:c r="D45" s="28" t="str">
        <x:v>Овощи, бобовые и грибы</x:v>
      </x:c>
      <x:c r="E45" s="28" t="str">
        <x:v>сенсорная комплементарность</x:v>
      </x:c>
      <x:c r="F45" s="28" t="str">
        <x:v>Кофе имеет профиль «жареный, ореховый, карамельный, цветочный, фруктовый, фенольный и древесный». Партнёр «garlic»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5" s="28" t="str">
        <x:v>кофейный напиток, холодный кофе, крем, сироп, десерт или соус с garlic</x:v>
      </x:c>
      <x:c r="J45" s="28" t="str">
        <x:v>Средняя</x:v>
      </x:c>
      <x:c r="K45" s="28" t="str">
        <x:v>The Art &amp; Science of Foodpairing.pdf</x:v>
      </x:c>
      <x:c r="L45" s="28" t="str">
        <x:v>The Art &amp; Science of Foodpairing.pdf: 113</x:v>
      </x:c>
    </x:row>
    <x:row r="46" ht="64" customHeight="1">
      <x:c r="A46" s="28" t="str">
        <x:v>NCT-0214</x:v>
      </x:c>
      <x:c r="B46" s="28" t="str">
        <x:v>кофе</x:v>
      </x:c>
      <x:c r="C46" s="28" t="str">
        <x:v>grilled turbot</x:v>
      </x:c>
      <x:c r="D46" s="28" t="str">
        <x:v>Рыба и морепродукты</x:v>
      </x:c>
      <x:c r="E46" s="28" t="str">
        <x:v>солёно-умами контраст</x:v>
      </x:c>
      <x:c r="F46" s="28" t="str">
        <x:v>Кофе имеет профиль «жареный, ореховый, карамельный, цветочный, фруктовый, фенольный и древесный». Партнёр «grilled turbot»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46" s="28" t="str">
        <x:v>кофейный напиток, холодный кофе, крем, сироп, десерт или соус с grilled turbot</x:v>
      </x:c>
      <x:c r="J46" s="28" t="str">
        <x:v>Средняя</x:v>
      </x:c>
      <x:c r="K46" s="28" t="str">
        <x:v>The Art &amp; Science of Foodpairing.pdf</x:v>
      </x:c>
      <x:c r="L46" s="28" t="str">
        <x:v>The Art &amp; Science of Foodpairing.pdf: 297</x:v>
      </x:c>
    </x:row>
    <x:row r="47" ht="64" customHeight="1">
      <x:c r="A47" s="28" t="str">
        <x:v>NCT-0216</x:v>
      </x:c>
      <x:c r="B47" s="28" t="str">
        <x:v>кофе</x:v>
      </x:c>
      <x:c r="C47" s="28" t="str">
        <x:v>korean fish sauce</x:v>
      </x:c>
      <x:c r="D47" s="28" t="str">
        <x:v>Рыба и морепродукты</x:v>
      </x:c>
      <x:c r="E47" s="28" t="str">
        <x:v>солёно-умами контраст</x:v>
      </x:c>
      <x:c r="F47" s="28" t="str">
        <x:v>Кофе имеет профиль «жареный, ореховый, карамельный, цветочный, фруктовый, фенольный и древесный». Партнёр «korean fish sauce»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47" s="28" t="str">
        <x:v>кофейный напиток, холодный кофе, крем, сироп, десерт или соус с korean fish sauce</x:v>
      </x:c>
      <x:c r="J47" s="28" t="str">
        <x:v>Средняя</x:v>
      </x:c>
      <x:c r="K47" s="28" t="str">
        <x:v>The Art &amp; Science of Foodpairing.pdf</x:v>
      </x:c>
      <x:c r="L47" s="28" t="str">
        <x:v>The Art &amp; Science of Foodpairing.pdf: 297</x:v>
      </x:c>
    </x:row>
    <x:row r="48" ht="64" customHeight="1">
      <x:c r="A48" s="28" t="str">
        <x:v>NCT-0217</x:v>
      </x:c>
      <x:c r="B48" s="28" t="str">
        <x:v>кофе</x:v>
      </x:c>
      <x:c r="C48" s="28" t="str">
        <x:v>lberico ham (jam6n 100% lberico</x:v>
      </x:c>
      <x:c r="D48" s="28" t="str">
        <x:v>Мясо и птица</x:v>
      </x:c>
      <x:c r="E4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8" s="28" t="str">
        <x:v>Кофе имеет профиль «жареный, ореховый, карамельный, цветочный, фруктовый, фенольный и древесный». Партнёр «lberico ham (jam6n 100% lberico»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4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8" s="28" t="str">
        <x:v>кофейный напиток, холодный кофе, крем, сироп, десерт или соус с lberico ham (jam6n 100% lberico</x:v>
      </x:c>
      <x:c r="J48" s="28" t="str">
        <x:v>Средняя</x:v>
      </x:c>
      <x:c r="K48" s="28" t="str">
        <x:v>The Art &amp; Science of Foodpairing.pdf</x:v>
      </x:c>
      <x:c r="L48" s="28" t="str">
        <x:v>The Art &amp; Science of Foodpairing.pdf: 297</x:v>
      </x:c>
    </x:row>
    <x:row r="49" ht="64" customHeight="1">
      <x:c r="A49" s="28" t="str">
        <x:v>NCT-0218</x:v>
      </x:c>
      <x:c r="B49" s="28" t="str">
        <x:v>кофе</x:v>
      </x:c>
      <x:c r="C49" s="28" t="str">
        <x:v>lobster</x:v>
      </x:c>
      <x:c r="D49" s="28" t="str">
        <x:v>Рыба и морепродукты</x:v>
      </x:c>
      <x:c r="E49" s="28" t="str">
        <x:v>солёно-умами контраст</x:v>
      </x:c>
      <x:c r="F49" s="28" t="str">
        <x:v>Кофе имеет профиль «жареный, ореховый, карамельный, цветочный, фруктовый, фенольный и древесный». Партнёр «lobster»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49" s="28" t="str">
        <x:v>кофейный напиток, холодный кофе, крем, сироп, десерт или соус с lobster</x:v>
      </x:c>
      <x:c r="J49" s="28" t="str">
        <x:v>Высокая</x:v>
      </x:c>
      <x:c r="K49" s="28" t="str">
        <x:v>The Art &amp; Science of Foodpairing.pdf</x:v>
      </x:c>
      <x:c r="L49" s="28" t="str">
        <x:v>The Art &amp; Science of Foodpairing.pdf: 296</x:v>
      </x:c>
    </x:row>
    <x:row r="50" ht="64" customHeight="1">
      <x:c r="A50" s="28" t="str">
        <x:v>NCT-0219</x:v>
      </x:c>
      <x:c r="B50" s="28" t="str">
        <x:v>кофе</x:v>
      </x:c>
      <x:c r="C50" s="28" t="str">
        <x:v>pan-fried duck breast</x:v>
      </x:c>
      <x:c r="D50" s="28" t="str">
        <x:v>Мясо и птица</x:v>
      </x:c>
      <x:c r="E5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0" s="28" t="str">
        <x:v>Кофе имеет профиль «жареный, ореховый, карамельный, цветочный, фруктовый, фенольный и древесный». Партнёр «pan-fried duck breast»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5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0" s="28" t="str">
        <x:v>кофейный напиток, холодный кофе, крем, сироп, десерт или соус с pan-fried duck breast</x:v>
      </x:c>
      <x:c r="J50" s="28" t="str">
        <x:v>Средняя</x:v>
      </x:c>
      <x:c r="K50" s="28" t="str">
        <x:v>The Art &amp; Science of Foodpairing.pdf</x:v>
      </x:c>
      <x:c r="L50" s="28" t="str">
        <x:v>The Art &amp; Science of Foodpairing.pdf: 297</x:v>
      </x:c>
    </x:row>
    <x:row r="51" ht="64" customHeight="1">
      <x:c r="A51" s="28" t="str">
        <x:v>NCT-0220</x:v>
      </x:c>
      <x:c r="B51" s="28" t="str">
        <x:v>кофе</x:v>
      </x:c>
      <x:c r="C51" s="28" t="str">
        <x:v>pan-fried quail</x:v>
      </x:c>
      <x:c r="D51" s="28" t="str">
        <x:v>Мясо и птица</x:v>
      </x:c>
      <x:c r="E51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1" s="28" t="str">
        <x:v>Кофе имеет профиль «жареный, ореховый, карамельный, цветочный, фруктовый, фенольный и древесный». Партнёр «pan-fried quail»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5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1" s="28" t="str">
        <x:v>кофейный напиток, холодный кофе, крем, сироп, десерт или соус с pan-fried quail</x:v>
      </x:c>
      <x:c r="J51" s="28" t="str">
        <x:v>Средняя</x:v>
      </x:c>
      <x:c r="K51" s="28" t="str">
        <x:v>The Art &amp; Science of Foodpairing.pdf</x:v>
      </x:c>
      <x:c r="L51" s="28" t="str">
        <x:v>The Art &amp; Science of Foodpairing.pdf: 297</x:v>
      </x:c>
    </x:row>
    <x:row r="52" ht="64" customHeight="1">
      <x:c r="A52" s="28" t="str">
        <x:v>NCT-0223</x:v>
      </x:c>
      <x:c r="B52" s="28" t="str">
        <x:v>кофе</x:v>
      </x:c>
      <x:c r="C52" s="28" t="str">
        <x:v>poached grey mullet</x:v>
      </x:c>
      <x:c r="D52" s="28" t="str">
        <x:v>Рыба и морепродукты</x:v>
      </x:c>
      <x:c r="E52" s="28" t="str">
        <x:v>солёно-умами контраст</x:v>
      </x:c>
      <x:c r="F52" s="28" t="str">
        <x:v>Кофе имеет профиль «жареный, ореховый, карамельный, цветочный, фруктовый, фенольный и древесный». Партнёр «poached grey mullet»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52" s="28" t="str">
        <x:v>кофейный напиток, холодный кофе, крем, сироп, десерт или соус с poached grey mullet</x:v>
      </x:c>
      <x:c r="J52" s="28" t="str">
        <x:v>Средняя</x:v>
      </x:c>
      <x:c r="K52" s="28" t="str">
        <x:v>The Art &amp; Science of Foodpairing.pdf</x:v>
      </x:c>
      <x:c r="L52" s="28" t="str">
        <x:v>The Art &amp; Science of Foodpairing.pdf: 297</x:v>
      </x:c>
    </x:row>
    <x:row r="53" ht="64" customHeight="1">
      <x:c r="A53" s="28" t="str">
        <x:v>NCT-0224</x:v>
      </x:c>
      <x:c r="B53" s="28" t="str">
        <x:v>кофе</x:v>
      </x:c>
      <x:c r="C53" s="28" t="str">
        <x:v>rainbow trout</x:v>
      </x:c>
      <x:c r="D53" s="28" t="str">
        <x:v>Рыба и морепродукты</x:v>
      </x:c>
      <x:c r="E53" s="28" t="str">
        <x:v>солёно-умами контраст</x:v>
      </x:c>
      <x:c r="F53" s="28" t="str">
        <x:v>Кофе имеет профиль «жареный, ореховый, карамельный, цветочный, фруктовый, фенольный и древесный». Партнёр «rainbow trout»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53" s="28" t="str">
        <x:v>кофейный напиток, холодный кофе, крем, сироп, десерт или соус с rainbow trout</x:v>
      </x:c>
      <x:c r="J53" s="28" t="str">
        <x:v>Средняя</x:v>
      </x:c>
      <x:c r="K53" s="28" t="str">
        <x:v>The Art &amp; Science of Foodpairing.pdf</x:v>
      </x:c>
      <x:c r="L53" s="28" t="str">
        <x:v>The Art &amp; Science of Foodpairing.pdf: 297</x:v>
      </x:c>
    </x:row>
    <x:row r="54" ht="64" customHeight="1">
      <x:c r="A54" s="28" t="str">
        <x:v>NCT-0227</x:v>
      </x:c>
      <x:c r="B54" s="28" t="str">
        <x:v>кофе</x:v>
      </x:c>
      <x:c r="C54" s="28" t="str">
        <x:v>roasted veal sweetbreads</x:v>
      </x:c>
      <x:c r="D54" s="28" t="str">
        <x:v>Мясо и птица</x:v>
      </x:c>
      <x:c r="E5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4" s="28" t="str">
        <x:v>Кофе имеет профиль «жареный, ореховый, карамельный, цветочный, фруктовый, фенольный и древесный». Партнёр «roasted veal sweetbreads»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5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4" s="28" t="str">
        <x:v>кофейный напиток, холодный кофе, крем, сироп, десерт или соус с roasted veal sweetbreads</x:v>
      </x:c>
      <x:c r="J54" s="28" t="str">
        <x:v>Средняя</x:v>
      </x:c>
      <x:c r="K54" s="28" t="str">
        <x:v>The Art &amp; Science of Foodpairing.pdf</x:v>
      </x:c>
      <x:c r="L54" s="28" t="str">
        <x:v>The Art &amp; Science of Foodpairing.pdf: 297</x:v>
      </x:c>
    </x:row>
    <x:row r="55" ht="64" customHeight="1">
      <x:c r="A55" s="28" t="str">
        <x:v>NCT-0231</x:v>
      </x:c>
      <x:c r="B55" s="28" t="str">
        <x:v>кофе</x:v>
      </x:c>
      <x:c r="C55" s="28" t="str">
        <x:v>smoked atlantic salmon</x:v>
      </x:c>
      <x:c r="D55" s="28" t="str">
        <x:v>Рыба и морепродукты</x:v>
      </x:c>
      <x:c r="E55" s="28" t="str">
        <x:v>солёно-умами контраст</x:v>
      </x:c>
      <x:c r="F55" s="28" t="str">
        <x:v>Кофе имеет профиль «жареный, ореховый, карамельный, цветочный, фруктовый, фенольный и древесный». Партнёр «smoked atlantic salmon»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55" s="28" t="str">
        <x:v>кофейный напиток, холодный кофе, крем, сироп, десерт или соус с smoked atlantic salmon</x:v>
      </x:c>
      <x:c r="J55" s="28" t="str">
        <x:v>Средняя</x:v>
      </x:c>
      <x:c r="K55" s="28" t="str">
        <x:v>The Art &amp; Science of Foodpairing.pdf</x:v>
      </x:c>
      <x:c r="L55" s="28" t="str">
        <x:v>The Art &amp; Science of Foodpairing.pdf: 297</x:v>
      </x:c>
    </x:row>
    <x:row r="56" ht="64" customHeight="1">
      <x:c r="A56" s="28" t="str">
        <x:v>NCT-0232</x:v>
      </x:c>
      <x:c r="B56" s="28" t="str">
        <x:v>кофе</x:v>
      </x:c>
      <x:c r="C56" s="28" t="str">
        <x:v>sprouted chickpea</x:v>
      </x:c>
      <x:c r="D56" s="28" t="str">
        <x:v>Овощи, бобовые и грибы</x:v>
      </x:c>
      <x:c r="E56" s="28" t="str">
        <x:v>сенсорная комплементарность</x:v>
      </x:c>
      <x:c r="F56" s="28" t="str">
        <x:v>Кофе имеет профиль «жареный, ореховый, карамельный, цветочный, фруктовый, фенольный и древесный». Партнёр «sprouted chickpea»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6" s="28" t="str">
        <x:v>кофейный напиток, холодный кофе, крем, сироп, десерт или соус с sprouted chickpea</x:v>
      </x:c>
      <x:c r="J56" s="28" t="str">
        <x:v>Средняя</x:v>
      </x:c>
      <x:c r="K56" s="28" t="str">
        <x:v>The Art &amp; Science of Foodpairing.pdf</x:v>
      </x:c>
      <x:c r="L56" s="28" t="str">
        <x:v>The Art &amp; Science of Foodpairing.pdf: 297</x:v>
      </x:c>
    </x:row>
    <x:row r="57" ht="64" customHeight="1">
      <x:c r="A57" s="28" t="str">
        <x:v>NCT-0233</x:v>
      </x:c>
      <x:c r="B57" s="28" t="str">
        <x:v>кофе</x:v>
      </x:c>
      <x:c r="C57" s="28" t="str">
        <x:v>stewed pork gravy</x:v>
      </x:c>
      <x:c r="D57" s="28" t="str">
        <x:v>Мясо и птица</x:v>
      </x:c>
      <x:c r="E57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7" s="28" t="str">
        <x:v>Кофе имеет профиль «жареный, ореховый, карамельный, цветочный, фруктовый, фенольный и древесный». Партнёр «stewed pork gravy»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5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7" s="28" t="str">
        <x:v>кофейный напиток, холодный кофе, крем, сироп, десерт или соус с stewed pork gravy</x:v>
      </x:c>
      <x:c r="J57" s="28" t="str">
        <x:v>Средняя</x:v>
      </x:c>
      <x:c r="K57" s="28" t="str">
        <x:v>The Art &amp; Science of Foodpairing.pdf</x:v>
      </x:c>
      <x:c r="L57" s="28" t="str">
        <x:v>The Art &amp; Science of Foodpairing.pdf: 297</x:v>
      </x:c>
    </x:row>
    <x:row r="58" ht="64" customHeight="1">
      <x:c r="A58" s="28" t="str">
        <x:v>NCT-0235</x:v>
      </x:c>
      <x:c r="B58" s="28" t="str">
        <x:v>кофе</x:v>
      </x:c>
      <x:c r="C58" s="28" t="str">
        <x:v>sweet potato</x:v>
      </x:c>
      <x:c r="D58" s="28" t="str">
        <x:v>Овощи, бобовые и грибы</x:v>
      </x:c>
      <x:c r="E58" s="28" t="str">
        <x:v>сенсорная комплементарность</x:v>
      </x:c>
      <x:c r="F58" s="28" t="str">
        <x:v>Кофе имеет профиль «жареный, ореховый, карамельный, цветочный, фруктовый, фенольный и древесный». Партнёр «sweet potato»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8" s="28" t="str">
        <x:v>кофейный напиток, холодный кофе, крем, сироп, десерт или соус с sweet potato</x:v>
      </x:c>
      <x:c r="J58" s="28" t="str">
        <x:v>Средняя</x:v>
      </x:c>
      <x:c r="K58" s="28" t="str">
        <x:v>The Art &amp; Science of Foodpairing.pdf</x:v>
      </x:c>
      <x:c r="L58" s="28" t="str">
        <x:v>The Art &amp; Science of Foodpairing.pdf: 119</x:v>
      </x:c>
    </x:row>
    <x:row r="59" ht="64" customHeight="1">
      <x:c r="A59" s="28" t="str">
        <x:v>NCT-0247</x:v>
      </x:c>
      <x:c r="B59" s="28" t="str">
        <x:v>кофе</x:v>
      </x:c>
      <x:c r="C59" s="28" t="str">
        <x:v>говядина</x:v>
      </x:c>
      <x:c r="D59" s="28" t="str">
        <x:v>Мясо и птица</x:v>
      </x:c>
      <x:c r="E59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9" s="28" t="str">
        <x:v>Кофе имеет профиль «жареный, ореховый, карамельный, цветочный, фруктовый, фенольный и древесный». Партнёр «говядина»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5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9" s="28" t="str">
        <x:v>кофейный напиток, холодный кофе, крем, сироп, десерт или соус с говядина</x:v>
      </x:c>
      <x:c r="J59" s="28" t="str">
        <x:v>Средняя</x:v>
      </x:c>
      <x:c r="K59" s="28" t="str">
        <x:v>Тезариус вкусов (Ники Сегнит)(1).pdf</x:v>
      </x:c>
      <x:c r="L59" s="28" t="str">
        <x:v>Тезариус вкусов (Ники Сегнит)(1).pdf: 43, 113</x:v>
      </x:c>
    </x:row>
    <x:row r="60" ht="64" customHeight="1">
      <x:c r="A60" s="28" t="str">
        <x:v>NCT-0254</x:v>
      </x:c>
      <x:c r="B60" s="28" t="str">
        <x:v>кофе</x:v>
      </x:c>
      <x:c r="C60" s="28" t="str">
        <x:v>картофель фри</x:v>
      </x:c>
      <x:c r="D60" s="28" t="str">
        <x:v>Овощи, бобовые и грибы</x:v>
      </x:c>
      <x:c r="E60" s="28" t="str">
        <x:v>сенсорная комплементарность</x:v>
      </x:c>
      <x:c r="F60" s="28" t="str">
        <x:v>Кофе имеет профиль «жареный, ореховый, карамельный, цветочный, фруктовый, фенольный и древесный». Партнёр «картофель фри»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0" s="28" t="str">
        <x:v>кофейный напиток, холодный кофе, крем, сироп, десерт или соус с картофель фри</x:v>
      </x:c>
      <x:c r="J60" s="28" t="str">
        <x:v>Средняя</x:v>
      </x:c>
      <x:c r="K60" s="28" t="str">
        <x:v>The Art &amp; Science of Foodpairing.pdf</x:v>
      </x:c>
      <x:c r="L60" s="28" t="str">
        <x:v>The Art &amp; Science of Foodpairing.pdf: 196</x:v>
      </x:c>
    </x:row>
    <x:row r="61" ht="64" customHeight="1">
      <x:c r="A61" s="28" t="str">
        <x:v>NCT-0277</x:v>
      </x:c>
      <x:c r="B61" s="28" t="str">
        <x:v>кофе</x:v>
      </x:c>
      <x:c r="C61" s="28" t="str">
        <x:v>свёкла</x:v>
      </x:c>
      <x:c r="D61" s="28" t="str">
        <x:v>Овощи, бобовые и грибы</x:v>
      </x:c>
      <x:c r="E61" s="28" t="str">
        <x:v>сенсорная комплементарность</x:v>
      </x:c>
      <x:c r="F61" s="28" t="str">
        <x:v>Кофе имеет профиль «жареный, ореховый, карамельный, цветочный, фруктовый, фенольный и древесный». Партнёр «свёкла» относится к группе «Овощи, бобовые и грибы» и даёт землистый, сладкий.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1" s="28" t="str">
        <x:v>кофейный напиток, холодный кофе, крем, сироп, десерт или соус с свёкла</x:v>
      </x:c>
      <x:c r="J61" s="28" t="str">
        <x:v>Средняя</x:v>
      </x:c>
      <x:c r="K61" s="28" t="str">
        <x:v>The Art &amp; Science of Foodpairing.pdf</x:v>
      </x:c>
      <x:c r="L61" s="28" t="str">
        <x:v>The Art &amp; Science of Foodpairing.pdf: 297</x:v>
      </x:c>
    </x:row>
    <x:row r="62" ht="64" customHeight="1">
      <x:c r="A62" s="28" t="str">
        <x:v>NCT-0281</x:v>
      </x:c>
      <x:c r="B62" s="28" t="str">
        <x:v>кофе</x:v>
      </x:c>
      <x:c r="C62" s="28" t="str">
        <x:v>соевый соус</x:v>
      </x:c>
      <x:c r="D62" s="28" t="str">
        <x:v>Ферментированные продукты и соусы</x:v>
      </x:c>
      <x:c r="E62" s="28" t="str">
        <x:v>общие ароматические соединения, пересечение ароматических семейств, солёно-умами контраст</x:v>
      </x:c>
      <x:c r="F62" s="28" t="str">
        <x:v>Кофе имеет профиль «жареный, ореховый, карамельный, цветочный, фруктовый, фенольный и древесный». Партнёр «соевый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пиразины, фураны.</x:v>
      </x:c>
      <x:c r="G6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2" s="28" t="str">
        <x:v>кофейный напиток, холодный кофе, крем, сироп, десерт или соус с соевый соус</x:v>
      </x:c>
      <x:c r="J62" s="28" t="str">
        <x:v>Высокая</x:v>
      </x:c>
      <x:c r="K62" s="28" t="str">
        <x:v>The Art &amp; Science of Foodpairing.pdf</x:v>
      </x:c>
      <x:c r="L62" s="28" t="str">
        <x:v>The Art &amp; Science of Foodpairing.pdf: 297</x:v>
      </x:c>
    </x:row>
    <x:row r="63" ht="64" customHeight="1">
      <x:c r="A63" s="28" t="str">
        <x:v>NCT-0282</x:v>
      </x:c>
      <x:c r="B63" s="28" t="str">
        <x:v>кофе</x:v>
      </x:c>
      <x:c r="C63" s="28" t="str">
        <x:v>соус тукупи</x:v>
      </x:c>
      <x:c r="D63" s="28" t="str">
        <x:v>Ферментированные продукты и соусы</x:v>
      </x:c>
      <x:c r="E63" s="28" t="str">
        <x:v>общие ароматические соединения, пересечение ароматических семейств, солёно-умами контраст</x:v>
      </x:c>
      <x:c r="F63" s="28" t="str">
        <x:v>Кофе имеет профиль «жареный, ореховый, карамельный, цветочный, фруктовый, фенольный и древесный». Партнёр «соус тукупи»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пиразины, фураны.</x:v>
      </x:c>
      <x:c r="G6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3" s="28" t="str">
        <x:v>кофейный напиток, холодный кофе, крем, сироп, десерт или соус с соус тукупи</x:v>
      </x:c>
      <x:c r="J63" s="28" t="str">
        <x:v>Высокая</x:v>
      </x:c>
      <x:c r="K63" s="28" t="str">
        <x:v>The Art &amp; Science of Foodpairing.pdf</x:v>
      </x:c>
      <x:c r="L63" s="28" t="str">
        <x:v>The Art &amp; Science of Foodpairing.pdf: 250</x:v>
      </x:c>
    </x:row>
    <x:row r="64" ht="64" customHeight="1">
      <x:c r="A64" s="28" t="str">
        <x:v>NCT-0284</x:v>
      </x:c>
      <x:c r="B64" s="28" t="str">
        <x:v>кофе</x:v>
      </x:c>
      <x:c r="C64" s="28" t="str">
        <x:v>томат</x:v>
      </x:c>
      <x:c r="D64" s="28" t="str">
        <x:v>Овощи, бобовые и грибы</x:v>
      </x:c>
      <x:c r="E64" s="28" t="str">
        <x:v>сенсорная комплементарность</x:v>
      </x:c>
      <x:c r="F64" s="28" t="str">
        <x:v>Кофе имеет профиль «жареный, ореховый, карамельный, цветочный, фруктовый, фенольный и древесный». Партнёр «томат» относится к группе «Овощи, бобовые и грибы» и даёт зелёный, умами, фруктовый.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4" s="28" t="str">
        <x:v>кофейный напиток, холодный кофе, крем, сироп, десерт или соус с томат</x:v>
      </x:c>
      <x:c r="J64" s="28" t="str">
        <x:v>Средняя</x:v>
      </x:c>
      <x:c r="K64" s="28" t="str">
        <x:v>The Art &amp; Science of Foodpairing.pdf</x:v>
      </x:c>
      <x:c r="L64" s="28" t="str">
        <x:v>The Art &amp; Science of Foodpairing.pdf: 297</x:v>
      </x:c>
    </x:row>
    <x:row r="65" ht="64" customHeight="1">
      <x:c r="A65" s="28" t="str">
        <x:v>NCT-0286</x:v>
      </x:c>
      <x:c r="B65" s="28" t="str">
        <x:v>кофе</x:v>
      </x:c>
      <x:c r="C65" s="28" t="str">
        <x:v>тыква</x:v>
      </x:c>
      <x:c r="D65" s="28" t="str">
        <x:v>Овощи, бобовые и грибы</x:v>
      </x:c>
      <x:c r="E65" s="28" t="str">
        <x:v>сенсорная комплементарность</x:v>
      </x:c>
      <x:c r="F65" s="28" t="str">
        <x:v>Кофе имеет профиль «жареный, ореховый, карамельный, цветочный, фруктовый, фенольный и древесный». Партнёр «тыква»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5" s="28" t="str">
        <x:v>кофейный напиток, холодный кофе, крем, сироп, десерт или соус с тыква</x:v>
      </x:c>
      <x:c r="J65" s="28" t="str">
        <x:v>Высокая</x:v>
      </x:c>
      <x:c r="K65" s="28" t="str">
        <x:v>The Art &amp; Science of Foodpairing.pdf | Таблица сочетания(1).pdf</x:v>
      </x:c>
      <x:c r="L65" s="28" t="str">
        <x:v>The Art &amp; Science of Foodpairing.pdf: 297; Таблица сочетания(1).pdf: 6, 18</x:v>
      </x:c>
    </x:row>
    <x:row r="66" ht="64" customHeight="1">
      <x:c r="A66" s="28" t="str">
        <x:v>NCT-0289</x:v>
      </x:c>
      <x:c r="B66" s="28" t="str">
        <x:v>кофе</x:v>
      </x:c>
      <x:c r="C66" s="28" t="str">
        <x:v>цветная капуста</x:v>
      </x:c>
      <x:c r="D66" s="28" t="str">
        <x:v>Овощи, бобовые и грибы</x:v>
      </x:c>
      <x:c r="E66" s="28" t="str">
        <x:v>сенсорная комплементарность</x:v>
      </x:c>
      <x:c r="F66" s="28" t="str">
        <x:v>Кофе имеет профиль «жареный, ореховый, карамельный, цветочный, фруктовый, фенольный и древесный». Партнёр «цветная капуста»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6" s="28" t="str">
        <x:v>кофейный напиток, холодный кофе, крем, сироп, десерт или соус с цветная капуста</x:v>
      </x:c>
      <x:c r="J66" s="28" t="str">
        <x:v>Средняя</x:v>
      </x:c>
      <x:c r="K66" s="28" t="str">
        <x:v>The Art &amp; Science of Foodpairing.pdf</x:v>
      </x:c>
      <x:c r="L66" s="28" t="str">
        <x:v>The Art &amp; Science of Foodpairing.pdf: 297</x:v>
      </x:c>
    </x:row>
    <x:row r="67" ht="64" customHeight="1">
      <x:c r="A67" s="28" t="str">
        <x:v>NCT-0295</x:v>
      </x:c>
      <x:c r="B67" s="28" t="str">
        <x:v>макадамия</x:v>
      </x:c>
      <x:c r="C67" s="28" t="str">
        <x:v>bacon</x:v>
      </x:c>
      <x:c r="D67" s="28" t="str">
        <x:v>Мясо и птица</x:v>
      </x:c>
      <x:c r="E67" s="28" t="str">
        <x:v>общие ароматические соединения, жареная химия и реакции Майяра, солёно-умами контраст</x:v>
      </x:c>
      <x:c r="F67" s="28" t="str">
        <x:v>Макадамия имеет профиль «сливочный, маслянистый, сладко-ореховый и мягко-жареный». Партнёр «bacon»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67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67" s="28" t="str">
        <x:v>аллерген; высокая энергетическая плотность и прогоркание</x:v>
      </x:c>
      <x:c r="I67" s="28" t="str">
        <x:v>пралине, паста, выпечка, гарнир, соус, молочный или коктейльный компонент с bacon</x:v>
      </x:c>
      <x:c r="J67" s="28" t="str">
        <x:v>Высокая</x:v>
      </x:c>
      <x:c r="K67" s="28" t="str">
        <x:v>The Art &amp; Science of Foodpairing.pdf</x:v>
      </x:c>
      <x:c r="L67" s="28" t="str">
        <x:v>The Art &amp; Science of Foodpairing.pdf: 188</x:v>
      </x:c>
    </x:row>
    <x:row r="68" ht="64" customHeight="1">
      <x:c r="A68" s="28" t="str">
        <x:v>NCT-0311</x:v>
      </x:c>
      <x:c r="B68" s="28" t="str">
        <x:v>миндаль</x:v>
      </x:c>
      <x:c r="C68" s="28" t="str">
        <x:v>baechu kimchi</x:v>
      </x:c>
      <x:c r="D68" s="28" t="str">
        <x:v>Ферментированные продукты и соусы</x:v>
      </x:c>
      <x:c r="E68" s="28" t="str">
        <x:v>общие ароматические соединения, пересечение ароматических семейств, солёно-умами контраст</x:v>
      </x:c>
      <x:c r="F68" s="28" t="str">
        <x:v>Миндаль имеет профиль «ореховый, сладкий, марципановый, слегка зелёный; после обжарки — карамельный и жареный». Партнёр «baechu kimchi»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6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68" s="28" t="str">
        <x:v>аллерген; быстро прогоркает после помола; горький миндаль и ядра косточковых не взаимозаменяемы</x:v>
      </x:c>
      <x:c r="I68" s="28" t="str">
        <x:v>пралине, паста, выпечка, гарнир, соус, молочный или коктейльный компонент с baechu kimchi</x:v>
      </x:c>
      <x:c r="J68" s="28" t="str">
        <x:v>Средняя</x:v>
      </x:c>
      <x:c r="K68" s="28" t="str">
        <x:v>The Art &amp; Science of Foodpairing.pdf</x:v>
      </x:c>
      <x:c r="L68" s="28" t="str">
        <x:v>The Art &amp; Science of Foodpairing.pdf: 305</x:v>
      </x:c>
    </x:row>
    <x:row r="69" ht="64" customHeight="1">
      <x:c r="A69" s="28" t="str">
        <x:v>NCT-0313</x:v>
      </x:c>
      <x:c r="B69" s="28" t="str">
        <x:v>миндаль</x:v>
      </x:c>
      <x:c r="C69" s="28" t="str">
        <x:v>carrot</x:v>
      </x:c>
      <x:c r="D69" s="28" t="str">
        <x:v>Овощи, бобовые и грибы</x:v>
      </x:c>
      <x:c r="E69" s="28" t="str">
        <x:v>сенсорная комплементарность</x:v>
      </x:c>
      <x:c r="F69" s="28" t="str">
        <x:v>Миндаль имеет профиль «ореховый, сладкий, марципановый, слегка зелёный; после обжарки — карамельный и жареный». Партнёр «carrot»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6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69" s="28" t="str">
        <x:v>аллерген; быстро прогоркает после помола; горький миндаль и ядра косточковых не взаимозаменяемы</x:v>
      </x:c>
      <x:c r="I69" s="28" t="str">
        <x:v>пралине, паста, выпечка, гарнир, соус, молочный или коктейльный компонент с carrot</x:v>
      </x:c>
      <x:c r="J69" s="28" t="str">
        <x:v>Средняя</x:v>
      </x:c>
      <x:c r="K69" s="28" t="str">
        <x:v>The Art &amp; Science of Foodpairing.pdf</x:v>
      </x:c>
      <x:c r="L69" s="28" t="str">
        <x:v>The Art &amp; Science of Foodpairing.pdf: 232</x:v>
      </x:c>
    </x:row>
    <x:row r="70" ht="64" customHeight="1">
      <x:c r="A70" s="28" t="str">
        <x:v>NCT-0316</x:v>
      </x:c>
      <x:c r="B70" s="28" t="str">
        <x:v>миндаль</x:v>
      </x:c>
      <x:c r="C70" s="28" t="str">
        <x:v>duck</x:v>
      </x:c>
      <x:c r="D70" s="28" t="str">
        <x:v>Мясо и птица</x:v>
      </x:c>
      <x:c r="E7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70" s="28" t="str">
        <x:v>Миндаль имеет профиль «ореховый, сладкий, марципановый, слегка зелёный; после обжарки — карамельный и жареный». Партнёр «duck»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7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70" s="28" t="str">
        <x:v>аллерген; быстро прогоркает после помола; горький миндаль и ядра косточковых не взаимозаменяемы</x:v>
      </x:c>
      <x:c r="I70" s="28" t="str">
        <x:v>пралине, паста, выпечка, гарнир, соус, молочный или коктейльный компонент с duck</x:v>
      </x:c>
      <x:c r="J70" s="28" t="str">
        <x:v>Высокая</x:v>
      </x:c>
      <x:c r="K70" s="28" t="str">
        <x:v>The Art &amp; Science of Foodpairing.pdf</x:v>
      </x:c>
      <x:c r="L70" s="28" t="str">
        <x:v>The Art &amp; Science of Foodpairing.pdf: 346</x:v>
      </x:c>
    </x:row>
    <x:row r="71" ht="64" customHeight="1">
      <x:c r="A71" s="28" t="str">
        <x:v>NCT-0326</x:v>
      </x:c>
      <x:c r="B71" s="28" t="str">
        <x:v>миндаль</x:v>
      </x:c>
      <x:c r="C71" s="28" t="str">
        <x:v>баранина</x:v>
      </x:c>
      <x:c r="D71" s="28" t="str">
        <x:v>Мясо и птица</x:v>
      </x:c>
      <x:c r="E71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71" s="28" t="str">
        <x:v>Миндаль имеет профиль «ореховый, сладкий, марципановый, слегка зелёный; после обжарки — карамельный и жареный». Партнёр «баранина»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7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71" s="28" t="str">
        <x:v>аллерген; быстро прогоркает после помола; горький миндаль и ядра косточковых не взаимозаменяемы</x:v>
      </x:c>
      <x:c r="I71" s="28" t="str">
        <x:v>пралине, паста, выпечка, гарнир, соус, молочный или коктейльный компонент с баранина</x:v>
      </x:c>
      <x:c r="J71" s="28" t="str">
        <x:v>Средняя</x:v>
      </x:c>
      <x:c r="K71" s="28" t="str">
        <x:v>Тезариус вкусов (Ники Сегнит)(1).pdf</x:v>
      </x:c>
      <x:c r="L71" s="28" t="str">
        <x:v>Тезариус вкусов (Ники Сегнит)(1).pdf: 130, 642</x:v>
      </x:c>
    </x:row>
    <x:row r="72" ht="64" customHeight="1">
      <x:c r="A72" s="28" t="str">
        <x:v>NCT-0336</x:v>
      </x:c>
      <x:c r="B72" s="28" t="str">
        <x:v>миндаль</x:v>
      </x:c>
      <x:c r="C72" s="28" t="str">
        <x:v>жирная рыба</x:v>
      </x:c>
      <x:c r="D72" s="28" t="str">
        <x:v>Рыба и морепродукты</x:v>
      </x:c>
      <x:c r="E72" s="28" t="str">
        <x:v>солёно-умами контраст</x:v>
      </x:c>
      <x:c r="F72" s="28" t="str">
        <x:v>Миндаль имеет профиль «ореховый, сладкий, марципановый, слегка зелёный; после обжарки — карамельный и жареный». Партнёр «жирная рыба»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72" s="28" t="str">
        <x:v>аллерген; быстро прогоркает после помола; горький миндаль и ядра косточковых не взаимозаменяемы; малейшая прогорклость ореха или шоколада усиливает неприятные рыбные оттенки</x:v>
      </x:c>
      <x:c r="I72" s="28" t="str">
        <x:v>пралине, паста, выпечка, гарнир, соус, молочный или коктейльный компонент с жирная рыба</x:v>
      </x:c>
      <x:c r="J72" s="28" t="str">
        <x:v>Средняя</x:v>
      </x:c>
      <x:c r="K72" s="28" t="str">
        <x:v>Тезариус вкусов (Ники Сегнит)(1).pdf</x:v>
      </x:c>
      <x:c r="L72" s="28" t="str">
        <x:v>Тезариус вкусов (Ники Сегнит)(1).pdf: 415, 643</x:v>
      </x:c>
    </x:row>
    <x:row r="73" ht="64" customHeight="1">
      <x:c r="A73" s="28" t="str">
        <x:v>NCT-0369</x:v>
      </x:c>
      <x:c r="B73" s="28" t="str">
        <x:v>миндаль</x:v>
      </x:c>
      <x:c r="C73" s="28" t="str">
        <x:v>см. также чеснок</x:v>
      </x:c>
      <x:c r="D73" s="28" t="str">
        <x:v>Овощи, бобовые и грибы</x:v>
      </x:c>
      <x:c r="E73" s="28" t="str">
        <x:v>сенсорная комплементарность</x:v>
      </x:c>
      <x:c r="F73" s="28" t="str">
        <x:v>Миндаль имеет профиль «ореховый, сладкий, марципановый, слегка зелёный; после обжарки — карамельный и жареный». Партнёр «см. также чеснок»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73" s="28" t="str">
        <x:v>аллерген; быстро прогоркает после помола; горький миндаль и ядра косточковых не взаимозаменяемы</x:v>
      </x:c>
      <x:c r="I73" s="28" t="str">
        <x:v>пралине, паста, выпечка, гарнир, соус, молочный или коктейльный компонент с см. также чеснок</x:v>
      </x:c>
      <x:c r="J73" s="28" t="str">
        <x:v>Средняя</x:v>
      </x:c>
      <x:c r="K73" s="28" t="str">
        <x:v>Тезариус вкусов (Ники Сегнит)(1).pdf</x:v>
      </x:c>
      <x:c r="L73" s="28" t="str">
        <x:v>Тезариус вкусов (Ники Сегнит)(1).pdf: 668</x:v>
      </x:c>
    </x:row>
    <x:row r="74" ht="64" customHeight="1">
      <x:c r="A74" s="28" t="str">
        <x:v>NCT-0370</x:v>
      </x:c>
      <x:c r="B74" s="28" t="str">
        <x:v>миндаль</x:v>
      </x:c>
      <x:c r="C74" s="28" t="str">
        <x:v>спаржа</x:v>
      </x:c>
      <x:c r="D74" s="28" t="str">
        <x:v>Овощи, бобовые и грибы</x:v>
      </x:c>
      <x:c r="E74" s="28" t="str">
        <x:v>сенсорная комплементарность</x:v>
      </x:c>
      <x:c r="F74" s="28" t="str">
        <x:v>Миндаль имеет профиль «ореховый, сладкий, марципановый, слегка зелёный; после обжарки — карамельный и жареный». Партнёр «спаржа»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74" s="28" t="str">
        <x:v>аллерген; быстро прогоркает после помола; горький миндаль и ядра косточковых не взаимозаменяемы</x:v>
      </x:c>
      <x:c r="I74" s="28" t="str">
        <x:v>пралине, паста, выпечка, гарнир, соус, молочный или коктейльный компонент с спаржа</x:v>
      </x:c>
      <x:c r="J74" s="28" t="str">
        <x:v>Средняя</x:v>
      </x:c>
      <x:c r="K74" s="28" t="str">
        <x:v>Тезариус вкусов (Ники Сегнит)(1).pdf</x:v>
      </x:c>
      <x:c r="L74" s="28" t="str">
        <x:v>Тезариус вкусов (Ники Сегнит)(1).pdf: 347, 648</x:v>
      </x:c>
    </x:row>
    <x:row r="75" ht="64" customHeight="1">
      <x:c r="A75" s="28" t="str">
        <x:v>NCT-0373</x:v>
      </x:c>
      <x:c r="B75" s="28" t="str">
        <x:v>миндаль</x:v>
      </x:c>
      <x:c r="C75" s="28" t="str">
        <x:v>тыква баттернат</x:v>
      </x:c>
      <x:c r="D75" s="28" t="str">
        <x:v>Овощи, бобовые и грибы</x:v>
      </x:c>
      <x:c r="E75" s="28" t="str">
        <x:v>сенсорная комплементарность</x:v>
      </x:c>
      <x:c r="F75" s="28" t="str">
        <x:v>Миндаль имеет профиль «ореховый, сладкий, марципановый, слегка зелёный; после обжарки — карамельный и жареный». Партнёр «тыква баттернат»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75" s="28" t="str">
        <x:v>аллерген; быстро прогоркает после помола; горький миндаль и ядра косточковых не взаимозаменяемы</x:v>
      </x:c>
      <x:c r="I75" s="28" t="str">
        <x:v>пралине, паста, выпечка, гарнир, соус, молочный или коктейльный компонент с тыква баттернат</x:v>
      </x:c>
      <x:c r="J75" s="28" t="str">
        <x:v>Средняя</x:v>
      </x:c>
      <x:c r="K75" s="28" t="str">
        <x:v>Тезариус вкусов (Ники Сегнит)(1).pdf</x:v>
      </x:c>
      <x:c r="L75" s="28" t="str">
        <x:v>Тезариус вкусов (Ники Сегнит)(1).pdf: 611, 648</x:v>
      </x:c>
    </x:row>
    <x:row r="76" ht="64" customHeight="1">
      <x:c r="A76" s="28" t="str">
        <x:v>NCT-0378</x:v>
      </x:c>
      <x:c r="B76" s="28" t="str">
        <x:v>миндаль</x:v>
      </x:c>
      <x:c r="C76" s="28" t="str">
        <x:v>цветная капуста</x:v>
      </x:c>
      <x:c r="D76" s="28" t="str">
        <x:v>Овощи, бобовые и грибы</x:v>
      </x:c>
      <x:c r="E76" s="28" t="str">
        <x:v>сенсорная комплементарность</x:v>
      </x:c>
      <x:c r="F76" s="28" t="str">
        <x:v>Миндаль имеет профиль «ореховый, сладкий, марципановый, слегка зелёный; после обжарки — карамельный и жареный». Партнёр «цветная капуста»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76" s="28" t="str">
        <x:v>аллерген; быстро прогоркает после помола; горький миндаль и ядра косточковых не взаимозаменяемы</x:v>
      </x:c>
      <x:c r="I76" s="28" t="str">
        <x:v>пралине, паста, выпечка, гарнир, соус, молочный или коктейльный компонент с цветная капуста</x:v>
      </x:c>
      <x:c r="J76" s="28" t="str">
        <x:v>Средняя</x:v>
      </x:c>
      <x:c r="K76" s="28" t="str">
        <x:v>Тезариус вкусов (Ники Сегнит)(1).pdf</x:v>
      </x:c>
      <x:c r="L76" s="28" t="str">
        <x:v>Тезариус вкусов (Ники Сегнит)(1).pdf: 324, 648</x:v>
      </x:c>
    </x:row>
    <x:row r="77" ht="64" customHeight="1">
      <x:c r="A77" s="28" t="str">
        <x:v>NCT-0383</x:v>
      </x:c>
      <x:c r="B77" s="28" t="str">
        <x:v>миндаль</x:v>
      </x:c>
      <x:c r="C77" s="28" t="str">
        <x:v>чеснок</x:v>
      </x:c>
      <x:c r="D77" s="28" t="str">
        <x:v>Овощи, бобовые и грибы</x:v>
      </x:c>
      <x:c r="E77" s="28" t="str">
        <x:v>сенсорная комплементарность</x:v>
      </x:c>
      <x:c r="F77" s="28" t="str">
        <x:v>Миндаль имеет профиль «ореховый, сладкий, марципановый, слегка зелёный; после обжарки — карамельный и жареный». Партнёр «чеснок»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77" s="28" t="str">
        <x:v>аллерген; быстро прогоркает после помола; горький миндаль и ядра косточковых не взаимозаменяемы</x:v>
      </x:c>
      <x:c r="I77" s="28" t="str">
        <x:v>пралине, паста, выпечка, гарнир, соус, молочный или коктейльный компонент с чеснок</x:v>
      </x:c>
      <x:c r="J77" s="28" t="str">
        <x:v>Средняя</x:v>
      </x:c>
      <x:c r="K77" s="28" t="str">
        <x:v>Тезариус вкусов (Ники Сегнит)(1).pdf</x:v>
      </x:c>
      <x:c r="L77" s="28" t="str">
        <x:v>Тезариус вкусов (Ники Сегнит)(1).pdf: 295, 650</x:v>
      </x:c>
    </x:row>
    <x:row r="78" ht="64" customHeight="1">
      <x:c r="A78" s="28" t="str">
        <x:v>NCT-0390</x:v>
      </x:c>
      <x:c r="B78" s="28" t="str">
        <x:v>молочный шоколад</x:v>
      </x:c>
      <x:c r="C78" s="28" t="str">
        <x:v>balsamic vinegar</x:v>
      </x:c>
      <x:c r="D78" s="28" t="str">
        <x:v>Ферментированные продукты и соусы</x:v>
      </x:c>
      <x:c r="E78" s="28" t="str">
        <x:v>общие ароматические соединения, солёно-умами контраст</x:v>
      </x:c>
      <x:c r="F78" s="28" t="str">
        <x:v>Молочный шоколад имеет профиль «какаовый, молочный, карамельный и ванильный». Партнёр «balsamic vinegar»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пиразины, фураны.</x:v>
      </x:c>
      <x:c r="G78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78" s="28" t="str">
        <x:v>сладость и жир быстро подавляют кислотные и цветочные продукты</x:v>
      </x:c>
      <x:c r="I78" s="28" t="str">
        <x:v>ганаш, плитка, крем, мусс, напиток, глазурь или соус с balsamic vinegar</x:v>
      </x:c>
      <x:c r="J78" s="28" t="str">
        <x:v>Средняя</x:v>
      </x:c>
      <x:c r="K78" s="28" t="str">
        <x:v>The Art &amp; Science of Foodpairing.pdf</x:v>
      </x:c>
      <x:c r="L78" s="28" t="str">
        <x:v>The Art &amp; Science of Foodpairing.pdf: 316</x:v>
      </x:c>
    </x:row>
    <x:row r="79" ht="64" customHeight="1">
      <x:c r="A79" s="28" t="str">
        <x:v>NCT-0391</x:v>
      </x:c>
      <x:c r="B79" s="28" t="str">
        <x:v>молочный шоколад</x:v>
      </x:c>
      <x:c r="C79" s="28" t="str">
        <x:v>lberico ham</x:v>
      </x:c>
      <x:c r="D79" s="28" t="str">
        <x:v>Мясо и птица</x:v>
      </x:c>
      <x:c r="E79" s="28" t="str">
        <x:v>общие ароматические соединения, жареная химия и реакции Майяра, солёно-умами контраст</x:v>
      </x:c>
      <x:c r="F79" s="28" t="str">
        <x:v>Молочный шоколад имеет профиль «какаовый, молочный, карамельный и ванильный».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пиразины.</x:v>
      </x:c>
      <x:c r="G79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79" s="28" t="str">
        <x:v>сладость и жир быстро подавляют кислотные и цветочные продукты</x:v>
      </x:c>
      <x:c r="I79" s="28" t="str">
        <x:v>ганаш, плитка, крем, мусс, напиток, глазурь или соус с lberico ham</x:v>
      </x:c>
      <x:c r="J79" s="28" t="str">
        <x:v>Средняя</x:v>
      </x:c>
      <x:c r="K79" s="28" t="str">
        <x:v>The Art &amp; Science of Foodpairing.pdf</x:v>
      </x:c>
      <x:c r="L79" s="28" t="str">
        <x:v>The Art &amp; Science of Foodpairing.pdf: 278</x:v>
      </x:c>
    </x:row>
    <x:row r="80" ht="64" customHeight="1">
      <x:c r="A80" s="28" t="str">
        <x:v>NCT-0392</x:v>
      </x:c>
      <x:c r="B80" s="28" t="str">
        <x:v>молочный шоколад</x:v>
      </x:c>
      <x:c r="C80" s="28" t="str">
        <x:v>tomato and tomato puree</x:v>
      </x:c>
      <x:c r="D80" s="28" t="str">
        <x:v>Овощи, бобовые и грибы</x:v>
      </x:c>
      <x:c r="E80" s="28" t="str">
        <x:v>сенсорная комплементарность</x:v>
      </x:c>
      <x:c r="F80" s="28" t="str">
        <x:v>Молочный шоколад имеет профиль «какаовый, молочный, карамельный и ванильный». Партнёр «tomato and tomato puree» относится к группе «Овощи, бобовые и грибы» и даёт зелёный, землистый или умами.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80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80" s="28" t="str">
        <x:v>сладость и жир быстро подавляют кислотные и цветочные продукты</x:v>
      </x:c>
      <x:c r="I80" s="28" t="str">
        <x:v>ганаш, плитка, крем, мусс, напиток, глазурь или соус с tomato and tomato puree</x:v>
      </x:c>
      <x:c r="J80" s="28" t="str">
        <x:v>Средняя</x:v>
      </x:c>
      <x:c r="K80" s="28" t="str">
        <x:v>The Art &amp; Science of Foodpairing.pdf</x:v>
      </x:c>
      <x:c r="L80" s="28" t="str">
        <x:v>The Art &amp; Science of Foodpairing.pdf: 161</x:v>
      </x:c>
    </x:row>
    <x:row r="81" ht="64" customHeight="1">
      <x:c r="A81" s="28" t="str">
        <x:v>NCT-0399</x:v>
      </x:c>
      <x:c r="B81" s="28" t="str">
        <x:v>пекан</x:v>
      </x:c>
      <x:c r="C81" s="28" t="str">
        <x:v>tomato and tomato puree</x:v>
      </x:c>
      <x:c r="D81" s="28" t="str">
        <x:v>Овощи, бобовые и грибы</x:v>
      </x:c>
      <x:c r="E81" s="28" t="str">
        <x:v>сенсорная комплементарность</x:v>
      </x:c>
      <x:c r="F81" s="28" t="str">
        <x:v>Пекан имеет профиль «маслянистый, сладкий, карамельный и древесно-ореховый». Партнёр «tomato and tomato puree»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1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81" s="28" t="str">
        <x:v>аллерген и высокая склонность к окислению</x:v>
      </x:c>
      <x:c r="I81" s="28" t="str">
        <x:v>пралине, паста, выпечка, гарнир, соус, молочный или коктейльный компонент с tomato and tomato puree</x:v>
      </x:c>
      <x:c r="J81" s="28" t="str">
        <x:v>Средняя</x:v>
      </x:c>
      <x:c r="K81" s="28" t="str">
        <x:v>The Art &amp; Science of Foodpairing.pdf</x:v>
      </x:c>
      <x:c r="L81" s="28" t="str">
        <x:v>The Art &amp; Science of Foodpairing.pdf: 161</x:v>
      </x:c>
    </x:row>
    <x:row r="82" ht="64" customHeight="1">
      <x:c r="A82" s="28" t="str">
        <x:v>NCT-0415</x:v>
      </x:c>
      <x:c r="B82" s="28" t="str">
        <x:v>пекан</x:v>
      </x:c>
      <x:c r="C82" s="28" t="str">
        <x:v>свёкла</x:v>
      </x:c>
      <x:c r="D82" s="28" t="str">
        <x:v>Овощи, бобовые и грибы</x:v>
      </x:c>
      <x:c r="E82" s="28" t="str">
        <x:v>сенсорная комплементарность</x:v>
      </x:c>
      <x:c r="F82" s="28" t="str">
        <x:v>Пекан имеет профиль «маслянистый, сладкий, карамельный и древесно-ореховый». Партнёр «свёкла» относится к группе «Овощи, бобовые и грибы» и даёт землистый, сладкий.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2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82" s="28" t="str">
        <x:v>аллерген и высокая склонность к окислению</x:v>
      </x:c>
      <x:c r="I82" s="28" t="str">
        <x:v>пралине, паста, выпечка, гарнир, соус, молочный или коктейльный компонент с свёкла</x:v>
      </x:c>
      <x:c r="J82" s="28" t="str">
        <x:v>Средняя</x:v>
      </x:c>
      <x:c r="K82" s="28" t="str">
        <x:v>The Art &amp; Science of Foodpairing.pdf</x:v>
      </x:c>
      <x:c r="L82" s="28" t="str">
        <x:v>The Art &amp; Science of Foodpairing.pdf: 224</x:v>
      </x:c>
    </x:row>
    <x:row r="83" ht="64" customHeight="1">
      <x:c r="A83" s="28" t="str">
        <x:v>NCT-0421</x:v>
      </x:c>
      <x:c r="B83" s="28" t="str">
        <x:v>ройбуш</x:v>
      </x:c>
      <x:c r="C83" s="28" t="str">
        <x:v>свёкла</x:v>
      </x:c>
      <x:c r="D83" s="28" t="str">
        <x:v>Овощи, бобовые и грибы</x:v>
      </x:c>
      <x:c r="E83" s="28" t="str">
        <x:v>сенсорная комплементарность</x:v>
      </x:c>
      <x:c r="F83" s="28" t="str">
        <x:v>Ройбуш имеет профиль «медовый, древесный, ванильный и слегка ореховый». Партнёр «свёкла» относится к группе «Овощи, бобовые и грибы» и даёт землистый, сладкий.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83" s="28" t="str">
        <x:v>длительное заваривание переносит лучше чая, но может усилить древесность.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83" s="28" t="str">
        <x:v>слабая структура требует кислоты или специи; легко потерять тонкий аромат; слишком горячая вода и долгое заваривание усиливают терпкость</x:v>
      </x:c>
      <x:c r="I83" s="28" t="str">
        <x:v>чайный настой, холодный чай, кордиал, молочный пунш, десерт или соус с свёкла</x:v>
      </x:c>
      <x:c r="J83" s="28" t="str">
        <x:v>Средняя</x:v>
      </x:c>
      <x:c r="K83" s="28" t="str">
        <x:v>The Art &amp; Science of Foodpairing.pdf</x:v>
      </x:c>
      <x:c r="L83" s="28" t="str">
        <x:v>The Art &amp; Science of Foodpairing.pdf: 224</x:v>
      </x:c>
    </x:row>
    <x:row r="84" ht="64" customHeight="1">
      <x:c r="A84" s="28" t="str">
        <x:v>NCT-0450</x:v>
      </x:c>
      <x:c r="B84" s="28" t="str">
        <x:v>фундук</x:v>
      </x:c>
      <x:c r="C84" s="28" t="str">
        <x:v>artichoke, ray wing</x:v>
      </x:c>
      <x:c r="D84" s="28" t="str">
        <x:v>Овощи, бобовые и грибы</x:v>
      </x:c>
      <x:c r="E84" s="28" t="str">
        <x:v>общие ароматические соединения</x:v>
      </x:c>
      <x:c r="F84" s="28" t="str">
        <x:v>Фундук имеет профиль «ореховый, жареный, сладкий, землистый и какаоподобный». Партнёр «artichoke, ray wing»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8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84" s="28" t="str">
        <x:v>аллерген и чувствительность к прогорканию; пережаривание даёт дымную горечь</x:v>
      </x:c>
      <x:c r="I84" s="28" t="str">
        <x:v>пралине, паста, выпечка, гарнир, соус, молочный или коктейльный компонент с artichoke, ray wing</x:v>
      </x:c>
      <x:c r="J84" s="28" t="str">
        <x:v>Высокая</x:v>
      </x:c>
      <x:c r="K84" s="28" t="str">
        <x:v>The Art &amp; Science of Foodpairing.pdf</x:v>
      </x:c>
      <x:c r="L84" s="28" t="str">
        <x:v>The Art &amp; Science of Foodpairing.pdf: 329</x:v>
      </x:c>
    </x:row>
    <x:row r="85" ht="64" customHeight="1">
      <x:c r="A85" s="28" t="str">
        <x:v>NCT-0451</x:v>
      </x:c>
      <x:c r="B85" s="28" t="str">
        <x:v>фундук</x:v>
      </x:c>
      <x:c r="C85" s="28" t="str">
        <x:v>atlantic salmon fillet</x:v>
      </x:c>
      <x:c r="D85" s="28" t="str">
        <x:v>Рыба и морепродукты</x:v>
      </x:c>
      <x:c r="E85" s="28" t="str">
        <x:v>общие ароматические соединения, солёно-умами контраст</x:v>
      </x:c>
      <x:c r="F85" s="28" t="str">
        <x:v>Фундук имеет профиль «ореховый, жареный, сладкий, землистый и какаоподобный». Партнёр «atlantic salmon fillet»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8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85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85" s="28" t="str">
        <x:v>пралине, паста, выпечка, гарнир, соус, молочный или коктейльный компонент с atlantic salmon fillet</x:v>
      </x:c>
      <x:c r="J85" s="28" t="str">
        <x:v>Средняя</x:v>
      </x:c>
      <x:c r="K85" s="28" t="str">
        <x:v>The Art &amp; Science of Foodpairing.pdf</x:v>
      </x:c>
      <x:c r="L85" s="28" t="str">
        <x:v>The Art &amp; Science of Foodpairing.pdf: 332</x:v>
      </x:c>
    </x:row>
    <x:row r="86" ht="64" customHeight="1">
      <x:c r="A86" s="28" t="str">
        <x:v>NCT-0452</x:v>
      </x:c>
      <x:c r="B86" s="28" t="str">
        <x:v>фундук</x:v>
      </x:c>
      <x:c r="C86" s="28" t="str">
        <x:v>bayonne ham</x:v>
      </x:c>
      <x:c r="D86" s="28" t="str">
        <x:v>Мясо и птица</x:v>
      </x:c>
      <x:c r="E86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86" s="28" t="str">
        <x:v>Фундук имеет профиль «ореховый, жареный, сладкий, землистый и какаоподобный». Партнёр «bayonne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8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86" s="28" t="str">
        <x:v>аллерген и чувствительность к прогорканию; пережаривание даёт дымную горечь</x:v>
      </x:c>
      <x:c r="I86" s="28" t="str">
        <x:v>пралине, паста, выпечка, гарнир, соус, молочный или коктейльный компонент с bayonne ham</x:v>
      </x:c>
      <x:c r="J86" s="28" t="str">
        <x:v>Средняя</x:v>
      </x:c>
      <x:c r="K86" s="28" t="str">
        <x:v>The Art &amp; Science of Foodpairing.pdf</x:v>
      </x:c>
      <x:c r="L86" s="28" t="str">
        <x:v>The Art &amp; Science of Foodpairing.pdf: 332</x:v>
      </x:c>
    </x:row>
    <x:row r="87" ht="64" customHeight="1">
      <x:c r="A87" s="28" t="str">
        <x:v>NCT-0455</x:v>
      </x:c>
      <x:c r="B87" s="28" t="str">
        <x:v>фундук</x:v>
      </x:c>
      <x:c r="C87" s="28" t="str">
        <x:v>boiled purple sweet potato</x:v>
      </x:c>
      <x:c r="D87" s="28" t="str">
        <x:v>Овощи, бобовые и грибы</x:v>
      </x:c>
      <x:c r="E87" s="28" t="str">
        <x:v>общие ароматические соединения</x:v>
      </x:c>
      <x:c r="F87" s="28" t="str">
        <x:v>Фундук имеет профиль «ореховый, жареный, сладкий, землистый и какаоподобный». Партнёр «boiled purple sweet potato»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8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87" s="28" t="str">
        <x:v>аллерген и чувствительность к прогорканию; пережаривание даёт дымную горечь</x:v>
      </x:c>
      <x:c r="I87" s="28" t="str">
        <x:v>пралине, паста, выпечка, гарнир, соус, молочный или коктейльный компонент с boiled purple sweet potato</x:v>
      </x:c>
      <x:c r="J87" s="28" t="str">
        <x:v>Средняя</x:v>
      </x:c>
      <x:c r="K87" s="28" t="str">
        <x:v>The Art &amp; Science of Foodpairing.pdf</x:v>
      </x:c>
      <x:c r="L87" s="28" t="str">
        <x:v>The Art &amp; Science of Foodpairing.pdf: 332</x:v>
      </x:c>
    </x:row>
    <x:row r="88" ht="64" customHeight="1">
      <x:c r="A88" s="28" t="str">
        <x:v>NCT-0456</x:v>
      </x:c>
      <x:c r="B88" s="28" t="str">
        <x:v>фундук</x:v>
      </x:c>
      <x:c r="C88" s="28" t="str">
        <x:v>boiledcourgette</x:v>
      </x:c>
      <x:c r="D88" s="28" t="str">
        <x:v>Овощи, бобовые и грибы</x:v>
      </x:c>
      <x:c r="E88" s="28" t="str">
        <x:v>общие ароматические соединения</x:v>
      </x:c>
      <x:c r="F88" s="28" t="str">
        <x:v>Фундук имеет профиль «ореховый, жареный, сладкий, землистый и какаоподобный». Партнёр «boiledcourgette»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8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88" s="28" t="str">
        <x:v>аллерген и чувствительность к прогорканию; пережаривание даёт дымную горечь</x:v>
      </x:c>
      <x:c r="I88" s="28" t="str">
        <x:v>пралине, паста, выпечка, гарнир, соус, молочный или коктейльный компонент с boiledcourgette</x:v>
      </x:c>
      <x:c r="J88" s="28" t="str">
        <x:v>Средняя</x:v>
      </x:c>
      <x:c r="K88" s="28" t="str">
        <x:v>The Art &amp; Science of Foodpairing.pdf</x:v>
      </x:c>
      <x:c r="L88" s="28" t="str">
        <x:v>The Art &amp; Science of Foodpairing.pdf: 332</x:v>
      </x:c>
    </x:row>
    <x:row r="89" ht="64" customHeight="1">
      <x:c r="A89" s="28" t="str">
        <x:v>NCT-0459</x:v>
      </x:c>
      <x:c r="B89" s="28" t="str">
        <x:v>фундук</x:v>
      </x:c>
      <x:c r="C89" s="28" t="str">
        <x:v>carrot</x:v>
      </x:c>
      <x:c r="D89" s="28" t="str">
        <x:v>Овощи, бобовые и грибы</x:v>
      </x:c>
      <x:c r="E89" s="28" t="str">
        <x:v>общие ароматические соединения</x:v>
      </x:c>
      <x:c r="F89" s="28" t="str">
        <x:v>Фундук имеет профиль «ореховый, жареный, сладкий, землистый и какаоподобный». Партнёр «carrot»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8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89" s="28" t="str">
        <x:v>аллерген и чувствительность к прогорканию; пережаривание даёт дымную горечь</x:v>
      </x:c>
      <x:c r="I89" s="28" t="str">
        <x:v>пралине, паста, выпечка, гарнир, соус, молочный или коктейльный компонент с carrot</x:v>
      </x:c>
      <x:c r="J89" s="28" t="str">
        <x:v>Средняя</x:v>
      </x:c>
      <x:c r="K89" s="28" t="str">
        <x:v>The Art &amp; Science of Foodpairing.pdf</x:v>
      </x:c>
      <x:c r="L89" s="28" t="str">
        <x:v>The Art &amp; Science of Foodpairing.pdf: 232</x:v>
      </x:c>
    </x:row>
    <x:row r="90" ht="64" customHeight="1">
      <x:c r="A90" s="28" t="str">
        <x:v>NCT-0461</x:v>
      </x:c>
      <x:c r="B90" s="28" t="str">
        <x:v>фундук</x:v>
      </x:c>
      <x:c r="C90" s="28" t="str">
        <x:v>cooked mussels</x:v>
      </x:c>
      <x:c r="D90" s="28" t="str">
        <x:v>Рыба и морепродукты</x:v>
      </x:c>
      <x:c r="E90" s="28" t="str">
        <x:v>общие ароматические соединения, солёно-умами контраст</x:v>
      </x:c>
      <x:c r="F90" s="28" t="str">
        <x:v>Фундук имеет профиль «ореховый, жареный, сладкий, землистый и какаоподобный». Партнёр «cooked mussels»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9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0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90" s="28" t="str">
        <x:v>пралине, паста, выпечка, гарнир, соус, молочный или коктейльный компонент с cooked mussels</x:v>
      </x:c>
      <x:c r="J90" s="28" t="str">
        <x:v>Средняя</x:v>
      </x:c>
      <x:c r="K90" s="28" t="str">
        <x:v>The Art &amp; Science of Foodpairing.pdf</x:v>
      </x:c>
      <x:c r="L90" s="28" t="str">
        <x:v>The Art &amp; Science of Foodpairing.pdf: 332</x:v>
      </x:c>
    </x:row>
    <x:row r="91" ht="64" customHeight="1">
      <x:c r="A91" s="28" t="str">
        <x:v>NCT-0463</x:v>
      </x:c>
      <x:c r="B91" s="28" t="str">
        <x:v>фундук</x:v>
      </x:c>
      <x:c r="C91" s="28" t="str">
        <x:v>crayfish</x:v>
      </x:c>
      <x:c r="D91" s="28" t="str">
        <x:v>Рыба и морепродукты</x:v>
      </x:c>
      <x:c r="E91" s="28" t="str">
        <x:v>общие ароматические соединения, солёно-умами контраст</x:v>
      </x:c>
      <x:c r="F91" s="28" t="str">
        <x:v>Фундук имеет профиль «ореховый, жареный, сладкий, землистый и какаоподобный». Партнёр «crayfish»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9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1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91" s="28" t="str">
        <x:v>пралине, паста, выпечка, гарнир, соус, молочный или коктейльный компонент с crayfish</x:v>
      </x:c>
      <x:c r="J91" s="28" t="str">
        <x:v>Средняя</x:v>
      </x:c>
      <x:c r="K91" s="28" t="str">
        <x:v>The Art &amp; Science of Foodpairing.pdf</x:v>
      </x:c>
      <x:c r="L91" s="28" t="str">
        <x:v>The Art &amp; Science of Foodpairing.pdf: 332</x:v>
      </x:c>
    </x:row>
    <x:row r="92" ht="64" customHeight="1">
      <x:c r="A92" s="28" t="str">
        <x:v>NCT-0464</x:v>
      </x:c>
      <x:c r="B92" s="28" t="str">
        <x:v>фундук</x:v>
      </x:c>
      <x:c r="C92" s="28" t="str">
        <x:v>dry-aged beef</x:v>
      </x:c>
      <x:c r="D92" s="28" t="str">
        <x:v>Мясо и птица</x:v>
      </x:c>
      <x:c r="E92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92" s="28" t="str">
        <x:v>Фундук имеет профиль «ореховый, жареный, сладкий, землистый и какаоподобный». Партнёр «dry-aged 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9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2" s="28" t="str">
        <x:v>аллерген и чувствительность к прогорканию; пережаривание даёт дымную горечь</x:v>
      </x:c>
      <x:c r="I92" s="28" t="str">
        <x:v>пралине, паста, выпечка, гарнир, соус, молочный или коктейльный компонент с dry-aged beef</x:v>
      </x:c>
      <x:c r="J92" s="28" t="str">
        <x:v>Средняя</x:v>
      </x:c>
      <x:c r="K92" s="28" t="str">
        <x:v>The Art &amp; Science of Foodpairing.pdf</x:v>
      </x:c>
      <x:c r="L92" s="28" t="str">
        <x:v>The Art &amp; Science of Foodpairing.pdf: 332</x:v>
      </x:c>
    </x:row>
    <x:row r="93" ht="64" customHeight="1">
      <x:c r="A93" s="28" t="str">
        <x:v>NCT-0465</x:v>
      </x:c>
      <x:c r="B93" s="28" t="str">
        <x:v>фундук</x:v>
      </x:c>
      <x:c r="C93" s="28" t="str">
        <x:v>dry-agedbeef</x:v>
      </x:c>
      <x:c r="D93" s="28" t="str">
        <x:v>Мясо и птица</x:v>
      </x:c>
      <x:c r="E93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93" s="28" t="str">
        <x:v>Фундук имеет профиль «ореховый, жареный, сладкий, землистый и какаоподобный». Партнёр «dry-agedbeef»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9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3" s="28" t="str">
        <x:v>аллерген и чувствительность к прогорканию; пережаривание даёт дымную горечь</x:v>
      </x:c>
      <x:c r="I93" s="28" t="str">
        <x:v>пралине, паста, выпечка, гарнир, соус, молочный или коктейльный компонент с dry-agedbeef</x:v>
      </x:c>
      <x:c r="J93" s="28" t="str">
        <x:v>Средняя</x:v>
      </x:c>
      <x:c r="K93" s="28" t="str">
        <x:v>The Art &amp; Science of Foodpairing.pdf</x:v>
      </x:c>
      <x:c r="L93" s="28" t="str">
        <x:v>The Art &amp; Science of Foodpairing.pdf: 332</x:v>
      </x:c>
    </x:row>
    <x:row r="94" ht="64" customHeight="1">
      <x:c r="A94" s="28" t="str">
        <x:v>NCT-0469</x:v>
      </x:c>
      <x:c r="B94" s="28" t="str">
        <x:v>фундук</x:v>
      </x:c>
      <x:c r="C94" s="28" t="str">
        <x:v>gandaham</x:v>
      </x:c>
      <x:c r="D94" s="28" t="str">
        <x:v>Мясо и птица</x:v>
      </x:c>
      <x:c r="E9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94" s="28" t="str">
        <x:v>Фундук имеет профиль «ореховый, жареный, сладкий, землистый и какаоподобный». Партнёр «gandaham»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9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4" s="28" t="str">
        <x:v>аллерген и чувствительность к прогорканию; пережаривание даёт дымную горечь</x:v>
      </x:c>
      <x:c r="I94" s="28" t="str">
        <x:v>пралине, паста, выпечка, гарнир, соус, молочный или коктейльный компонент с gandaham</x:v>
      </x:c>
      <x:c r="J94" s="28" t="str">
        <x:v>Средняя</x:v>
      </x:c>
      <x:c r="K94" s="28" t="str">
        <x:v>The Art &amp; Science of Foodpairing.pdf</x:v>
      </x:c>
      <x:c r="L94" s="28" t="str">
        <x:v>The Art &amp; Science of Foodpairing.pdf: 332</x:v>
      </x:c>
    </x:row>
    <x:row r="95" ht="64" customHeight="1">
      <x:c r="A95" s="28" t="str">
        <x:v>NCT-0471</x:v>
      </x:c>
      <x:c r="B95" s="28" t="str">
        <x:v>фундук</x:v>
      </x:c>
      <x:c r="C95" s="28" t="str">
        <x:v>horse mackerel</x:v>
      </x:c>
      <x:c r="D95" s="28" t="str">
        <x:v>Рыба и морепродукты</x:v>
      </x:c>
      <x:c r="E95" s="28" t="str">
        <x:v>общие ароматические соединения, солёно-умами контраст</x:v>
      </x:c>
      <x:c r="F95" s="28" t="str">
        <x:v>Фундук имеет профиль «ореховый, жареный, сладкий, землистый и какаоподобный». Партнёр «horse mackerel»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9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5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95" s="28" t="str">
        <x:v>пралине, паста, выпечка, гарнир, соус, молочный или коктейльный компонент с horse mackerel</x:v>
      </x:c>
      <x:c r="J95" s="28" t="str">
        <x:v>Средняя</x:v>
      </x:c>
      <x:c r="K95" s="28" t="str">
        <x:v>The Art &amp; Science of Foodpairing.pdf</x:v>
      </x:c>
      <x:c r="L95" s="28" t="str">
        <x:v>The Art &amp; Science of Foodpairing.pdf: 332</x:v>
      </x:c>
    </x:row>
    <x:row r="96" ht="64" customHeight="1">
      <x:c r="A96" s="28" t="str">
        <x:v>NCT-0473</x:v>
      </x:c>
      <x:c r="B96" s="28" t="str">
        <x:v>фундук</x:v>
      </x:c>
      <x:c r="C96" s="28" t="str">
        <x:v>korean fish sauce</x:v>
      </x:c>
      <x:c r="D96" s="28" t="str">
        <x:v>Рыба и морепродукты</x:v>
      </x:c>
      <x:c r="E96" s="28" t="str">
        <x:v>общие ароматические соединения, солёно-умами контраст</x:v>
      </x:c>
      <x:c r="F96" s="28" t="str">
        <x:v>Фундук имеет профиль «ореховый, жареный, сладкий, землистый и какаоподобный». Партнёр «korean fish sauce»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9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6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96" s="28" t="str">
        <x:v>пралине, паста, выпечка, гарнир, соус, молочный или коктейльный компонент с korean fish sauce</x:v>
      </x:c>
      <x:c r="J96" s="28" t="str">
        <x:v>Средняя</x:v>
      </x:c>
      <x:c r="K96" s="28" t="str">
        <x:v>The Art &amp; Science of Foodpairing.pdf</x:v>
      </x:c>
      <x:c r="L96" s="28" t="str">
        <x:v>The Art &amp; Science of Foodpairing.pdf: 332</x:v>
      </x:c>
    </x:row>
    <x:row r="97" ht="64" customHeight="1">
      <x:c r="A97" s="28" t="str">
        <x:v>NCT-0476</x:v>
      </x:c>
      <x:c r="B97" s="28" t="str">
        <x:v>фундук</x:v>
      </x:c>
      <x:c r="C97" s="28" t="str">
        <x:v>meat</x:v>
      </x:c>
      <x:c r="D97" s="28" t="str">
        <x:v>Мясо и птица</x:v>
      </x:c>
      <x:c r="E97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97" s="28" t="str">
        <x:v>Фундук имеет профиль «ореховый, жареный, сладкий, землистый и какаоподобный». Партнёр «meat»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9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7" s="28" t="str">
        <x:v>аллерген и чувствительность к прогорканию; пережаривание даёт дымную горечь</x:v>
      </x:c>
      <x:c r="I97" s="28" t="str">
        <x:v>пралине, паста, выпечка, гарнир, соус, молочный или коктейльный компонент с meat</x:v>
      </x:c>
      <x:c r="J97" s="28" t="str">
        <x:v>Средняя</x:v>
      </x:c>
      <x:c r="K97" s="28" t="str">
        <x:v>The Art &amp; Science of Foodpairing.pdf</x:v>
      </x:c>
      <x:c r="L97" s="28" t="str">
        <x:v>The Art &amp; Science of Foodpairing.pdf: 186</x:v>
      </x:c>
    </x:row>
    <x:row r="98" ht="64" customHeight="1">
      <x:c r="A98" s="28" t="str">
        <x:v>NCT-0478</x:v>
      </x:c>
      <x:c r="B98" s="28" t="str">
        <x:v>фундук</x:v>
      </x:c>
      <x:c r="C98" s="28" t="str">
        <x:v>pan-fried duck breast</x:v>
      </x:c>
      <x:c r="D98" s="28" t="str">
        <x:v>Мясо и птица</x:v>
      </x:c>
      <x:c r="E9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98" s="28" t="str">
        <x:v>Фундук имеет профиль «ореховый, жареный, сладкий, землистый и какаоподобный». Партнёр «pan-fried duck breast»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9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8" s="28" t="str">
        <x:v>аллерген и чувствительность к прогорканию; пережаривание даёт дымную горечь</x:v>
      </x:c>
      <x:c r="I98" s="28" t="str">
        <x:v>пралине, паста, выпечка, гарнир, соус, молочный или коктейльный компонент с pan-fried duck breast</x:v>
      </x:c>
      <x:c r="J98" s="28" t="str">
        <x:v>Средняя</x:v>
      </x:c>
      <x:c r="K98" s="28" t="str">
        <x:v>The Art &amp; Science of Foodpairing.pdf</x:v>
      </x:c>
      <x:c r="L98" s="28" t="str">
        <x:v>The Art &amp; Science of Foodpairing.pdf: 332</x:v>
      </x:c>
    </x:row>
    <x:row r="99" ht="64" customHeight="1">
      <x:c r="A99" s="28" t="str">
        <x:v>NCT-0479</x:v>
      </x:c>
      <x:c r="B99" s="28" t="str">
        <x:v>фундук</x:v>
      </x:c>
      <x:c r="C99" s="28" t="str">
        <x:v>pan-fried duck foie gras</x:v>
      </x:c>
      <x:c r="D99" s="28" t="str">
        <x:v>Мясо и птица</x:v>
      </x:c>
      <x:c r="E99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99" s="28" t="str">
        <x:v>Фундук имеет профиль «ореховый, жареный, сладкий, землистый и какаоподобный». Партнёр «pan-fried duck foie gras»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9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9" s="28" t="str">
        <x:v>аллерген и чувствительность к прогорканию; пережаривание даёт дымную горечь</x:v>
      </x:c>
      <x:c r="I99" s="28" t="str">
        <x:v>пралине, паста, выпечка, гарнир, соус, молочный или коктейльный компонент с pan-fried duck foie gras</x:v>
      </x:c>
      <x:c r="J99" s="28" t="str">
        <x:v>Средняя</x:v>
      </x:c>
      <x:c r="K99" s="28" t="str">
        <x:v>The Art &amp; Science of Foodpairing.pdf</x:v>
      </x:c>
      <x:c r="L99" s="28" t="str">
        <x:v>The Art &amp; Science of Foodpairing.pdf: 332</x:v>
      </x:c>
    </x:row>
    <x:row r="100" ht="64" customHeight="1">
      <x:c r="A100" s="28" t="str">
        <x:v>NCT-0480</x:v>
      </x:c>
      <x:c r="B100" s="28" t="str">
        <x:v>фундук</x:v>
      </x:c>
      <x:c r="C100" s="28" t="str">
        <x:v>pan-fried wild duck</x:v>
      </x:c>
      <x:c r="D100" s="28" t="str">
        <x:v>Мясо и птица</x:v>
      </x:c>
      <x:c r="E10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00" s="28" t="str">
        <x:v>Фундук имеет профиль «ореховый, жареный, сладкий, землистый и какаоподобный». Партнёр «pan-fried wild duck»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10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0" s="28" t="str">
        <x:v>аллерген и чувствительность к прогорканию; пережаривание даёт дымную горечь</x:v>
      </x:c>
      <x:c r="I100" s="28" t="str">
        <x:v>пралине, паста, выпечка, гарнир, соус, молочный или коктейльный компонент с pan-fried wild duck</x:v>
      </x:c>
      <x:c r="J100" s="28" t="str">
        <x:v>Средняя</x:v>
      </x:c>
      <x:c r="K100" s="28" t="str">
        <x:v>The Art &amp; Science of Foodpairing.pdf</x:v>
      </x:c>
      <x:c r="L100" s="28" t="str">
        <x:v>The Art &amp; Science of Foodpairing.pdf: 332</x:v>
      </x:c>
    </x:row>
    <x:row r="101" ht="64" customHeight="1">
      <x:c r="A101" s="28" t="str">
        <x:v>NCT-0482</x:v>
      </x:c>
      <x:c r="B101" s="28" t="str">
        <x:v>фундук</x:v>
      </x:c>
      <x:c r="C101" s="28" t="str">
        <x:v>poached cod fillet</x:v>
      </x:c>
      <x:c r="D101" s="28" t="str">
        <x:v>Рыба и морепродукты</x:v>
      </x:c>
      <x:c r="E101" s="28" t="str">
        <x:v>общие ароматические соединения, солёно-умами контраст</x:v>
      </x:c>
      <x:c r="F101" s="28" t="str">
        <x:v>Фундук имеет профиль «ореховый, жареный, сладкий, землистый и какаоподобный». Партнёр «poached cod fillet»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1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101" s="28" t="str">
        <x:v>пралине, паста, выпечка, гарнир, соус, молочный или коктейльный компонент с poached cod fillet</x:v>
      </x:c>
      <x:c r="J101" s="28" t="str">
        <x:v>Средняя</x:v>
      </x:c>
      <x:c r="K101" s="28" t="str">
        <x:v>The Art &amp; Science of Foodpairing.pdf</x:v>
      </x:c>
      <x:c r="L101" s="28" t="str">
        <x:v>The Art &amp; Science of Foodpairing.pdf: 332</x:v>
      </x:c>
    </x:row>
    <x:row r="102" ht="64" customHeight="1">
      <x:c r="A102" s="28" t="str">
        <x:v>NCT-0483</x:v>
      </x:c>
      <x:c r="B102" s="28" t="str">
        <x:v>фундук</x:v>
      </x:c>
      <x:c r="C102" s="28" t="str">
        <x:v>poached salmon</x:v>
      </x:c>
      <x:c r="D102" s="28" t="str">
        <x:v>Рыба и морепродукты</x:v>
      </x:c>
      <x:c r="E102" s="28" t="str">
        <x:v>общие ароматические соединения, солёно-умами контраст</x:v>
      </x:c>
      <x:c r="F102" s="28" t="str">
        <x:v>Фундук имеет профиль «ореховый, жареный, сладкий, землистый и какаоподобный». Партнёр «poached salmon»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2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102" s="28" t="str">
        <x:v>пралине, паста, выпечка, гарнир, соус, молочный или коктейльный компонент с poached salmon</x:v>
      </x:c>
      <x:c r="J102" s="28" t="str">
        <x:v>Средняя</x:v>
      </x:c>
      <x:c r="K102" s="28" t="str">
        <x:v>The Art &amp; Science of Foodpairing.pdf</x:v>
      </x:c>
      <x:c r="L102" s="28" t="str">
        <x:v>The Art &amp; Science of Foodpairing.pdf: 332</x:v>
      </x:c>
    </x:row>
    <x:row r="103" ht="64" customHeight="1">
      <x:c r="A103" s="28" t="str">
        <x:v>NCT-0484</x:v>
      </x:c>
      <x:c r="B103" s="28" t="str">
        <x:v>фундук</x:v>
      </x:c>
      <x:c r="C103" s="28" t="str">
        <x:v>poached turbot</x:v>
      </x:c>
      <x:c r="D103" s="28" t="str">
        <x:v>Рыба и морепродукты</x:v>
      </x:c>
      <x:c r="E103" s="28" t="str">
        <x:v>общие ароматические соединения, солёно-умами контраст</x:v>
      </x:c>
      <x:c r="F103" s="28" t="str">
        <x:v>Фундук имеет профиль «ореховый, жареный, сладкий, землистый и какаоподобный». Партнёр «poached turbot»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3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103" s="28" t="str">
        <x:v>пралине, паста, выпечка, гарнир, соус, молочный или коктейльный компонент с poached turbot</x:v>
      </x:c>
      <x:c r="J103" s="28" t="str">
        <x:v>Средняя</x:v>
      </x:c>
      <x:c r="K103" s="28" t="str">
        <x:v>The Art &amp; Science of Foodpairing.pdf</x:v>
      </x:c>
      <x:c r="L103" s="28" t="str">
        <x:v>The Art &amp; Science of Foodpairing.pdf: 332</x:v>
      </x:c>
    </x:row>
    <x:row r="104" ht="64" customHeight="1">
      <x:c r="A104" s="28" t="str">
        <x:v>NCT-0485</x:v>
      </x:c>
      <x:c r="B104" s="28" t="str">
        <x:v>фундук</x:v>
      </x:c>
      <x:c r="C104" s="28" t="str">
        <x:v>pumpkin seed oil</x:v>
      </x:c>
      <x:c r="D104" s="28" t="str">
        <x:v>Овощи, бобовые и грибы</x:v>
      </x:c>
      <x:c r="E104" s="28" t="str">
        <x:v>общие ароматические соединения</x:v>
      </x:c>
      <x:c r="F104" s="28" t="str">
        <x:v>Фундук имеет профиль «ореховый, жареный, сладкий, землистый и какаоподобный». Партнёр «pumpkin seed oil»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4" s="28" t="str">
        <x:v>аллерген и чувствительность к прогорканию; пережаривание даёт дымную горечь</x:v>
      </x:c>
      <x:c r="I104" s="28" t="str">
        <x:v>пралине, паста, выпечка, гарнир, соус, молочный или коктейльный компонент с pumpkin seed oil</x:v>
      </x:c>
      <x:c r="J104" s="28" t="str">
        <x:v>Средняя</x:v>
      </x:c>
      <x:c r="K104" s="28" t="str">
        <x:v>The Art &amp; Science of Foodpairing.pdf</x:v>
      </x:c>
      <x:c r="L104" s="28" t="str">
        <x:v>The Art &amp; Science of Foodpairing.pdf: 332</x:v>
      </x:c>
    </x:row>
    <x:row r="105" ht="64" customHeight="1">
      <x:c r="A105" s="28" t="str">
        <x:v>NCT-0487</x:v>
      </x:c>
      <x:c r="B105" s="28" t="str">
        <x:v>фундук</x:v>
      </x:c>
      <x:c r="C105" s="28" t="str">
        <x:v>salted sardine</x:v>
      </x:c>
      <x:c r="D105" s="28" t="str">
        <x:v>Рыба и морепродукты</x:v>
      </x:c>
      <x:c r="E105" s="28" t="str">
        <x:v>общие ароматические соединения, солёно-умами контраст</x:v>
      </x:c>
      <x:c r="F105" s="28" t="str">
        <x:v>Фундук имеет профиль «ореховый, жареный, сладкий, землистый и какаоподобный». Партнёр «salted sardine»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5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105" s="28" t="str">
        <x:v>пралине, паста, выпечка, гарнир, соус, молочный или коктейльный компонент с salted sardine</x:v>
      </x:c>
      <x:c r="J105" s="28" t="str">
        <x:v>Средняя</x:v>
      </x:c>
      <x:c r="K105" s="28" t="str">
        <x:v>The Art &amp; Science of Foodpairing.pdf</x:v>
      </x:c>
      <x:c r="L105" s="28" t="str">
        <x:v>The Art &amp; Science of Foodpairing.pdf: 332</x:v>
      </x:c>
    </x:row>
    <x:row r="106" ht="64" customHeight="1">
      <x:c r="A106" s="28" t="str">
        <x:v>NCT-0489</x:v>
      </x:c>
      <x:c r="B106" s="28" t="str">
        <x:v>фундук</x:v>
      </x:c>
      <x:c r="C106" s="28" t="str">
        <x:v>sweet potato</x:v>
      </x:c>
      <x:c r="D106" s="28" t="str">
        <x:v>Овощи, бобовые и грибы</x:v>
      </x:c>
      <x:c r="E106" s="28" t="str">
        <x:v>общие ароматические соединения</x:v>
      </x:c>
      <x:c r="F106" s="28" t="str">
        <x:v>Фундук имеет профиль «ореховый, жареный, сладкий, землистый и какаоподобный». Партнёр «sweet potato»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6" s="28" t="str">
        <x:v>аллерген и чувствительность к прогорканию; пережаривание даёт дымную горечь</x:v>
      </x:c>
      <x:c r="I106" s="28" t="str">
        <x:v>пралине, паста, выпечка, гарнир, соус, молочный или коктейльный компонент с sweet potato</x:v>
      </x:c>
      <x:c r="J106" s="28" t="str">
        <x:v>Средняя</x:v>
      </x:c>
      <x:c r="K106" s="28" t="str">
        <x:v>The Art &amp; Science of Foodpairing.pdf</x:v>
      </x:c>
      <x:c r="L106" s="28" t="str">
        <x:v>The Art &amp; Science of Foodpairing.pdf: 119</x:v>
      </x:c>
    </x:row>
    <x:row r="107" ht="64" customHeight="1">
      <x:c r="A107" s="28" t="str">
        <x:v>NCT-0498</x:v>
      </x:c>
      <x:c r="B107" s="28" t="str">
        <x:v>фундук</x:v>
      </x:c>
      <x:c r="C107" s="28" t="str">
        <x:v>белая рыба</x:v>
      </x:c>
      <x:c r="D107" s="28" t="str">
        <x:v>Рыба и морепродукты</x:v>
      </x:c>
      <x:c r="E107" s="28" t="str">
        <x:v>общие ароматические соединения, солёно-умами контраст</x:v>
      </x:c>
      <x:c r="F107" s="28" t="str">
        <x:v>Фундук имеет профиль «ореховый, жареный, сладкий, землистый и какаоподобный». Партнёр «белая рыба»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7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107" s="28" t="str">
        <x:v>пралине, паста, выпечка, гарнир, соус, молочный или коктейльный компонент с белая рыба</x:v>
      </x:c>
      <x:c r="J107" s="28" t="str">
        <x:v>Средняя</x:v>
      </x:c>
      <x:c r="K107" s="28" t="str">
        <x:v>Тезариус вкусов (Ники Сегнит)(1).pdf</x:v>
      </x:c>
      <x:c r="L107" s="28" t="str">
        <x:v>Тезариус вкусов (Ники Сегнит)(1).pdf: 393, 633</x:v>
      </x:c>
    </x:row>
    <x:row r="108" ht="64" customHeight="1">
      <x:c r="A108" s="28" t="str">
        <x:v>NCT-0508</x:v>
      </x:c>
      <x:c r="B108" s="28" t="str">
        <x:v>фундук</x:v>
      </x:c>
      <x:c r="C108" s="28" t="str">
        <x:v>зелёная спаржа</x:v>
      </x:c>
      <x:c r="D108" s="28" t="str">
        <x:v>Овощи, бобовые и грибы</x:v>
      </x:c>
      <x:c r="E108" s="28" t="str">
        <x:v>общие ароматические соединения</x:v>
      </x:c>
      <x:c r="F108" s="28" t="str">
        <x:v>Фундук имеет профиль «ореховый, жареный, сладкий, землистый и какаоподобный». Партнёр «зелёная спаржа»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8" s="28" t="str">
        <x:v>аллерген и чувствительность к прогорканию; пережаривание даёт дымную горечь</x:v>
      </x:c>
      <x:c r="I108" s="28" t="str">
        <x:v>пралине, паста, выпечка, гарнир, соус, молочный или коктейльный компонент с зелёная спаржа</x:v>
      </x:c>
      <x:c r="J108" s="28" t="str">
        <x:v>Средняя</x:v>
      </x:c>
      <x:c r="K108" s="28" t="str">
        <x:v>The Art &amp; Science of Foodpairing.pdf</x:v>
      </x:c>
      <x:c r="L108" s="28" t="str">
        <x:v>The Art &amp; Science of Foodpairing.pdf: 332</x:v>
      </x:c>
    </x:row>
    <x:row r="109" ht="64" customHeight="1">
      <x:c r="A109" s="28" t="str">
        <x:v>NCT-0509</x:v>
      </x:c>
      <x:c r="B109" s="28" t="str">
        <x:v>фундук</x:v>
      </x:c>
      <x:c r="C109" s="28" t="str">
        <x:v>зелёная фасоль</x:v>
      </x:c>
      <x:c r="D109" s="28" t="str">
        <x:v>Овощи, бобовые и грибы</x:v>
      </x:c>
      <x:c r="E109" s="28" t="str">
        <x:v>общие ароматические соединения</x:v>
      </x:c>
      <x:c r="F109" s="28" t="str">
        <x:v>Фундук имеет профиль «ореховый, жареный, сладкий, землистый и какаоподобный». Партнёр «зелёная фасоль»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9" s="28" t="str">
        <x:v>аллерген и чувствительность к прогорканию; пережаривание даёт дымную горечь</x:v>
      </x:c>
      <x:c r="I109" s="28" t="str">
        <x:v>пралине, паста, выпечка, гарнир, соус, молочный или коктейльный компонент с зелёная фасоль</x:v>
      </x:c>
      <x:c r="J109" s="28" t="str">
        <x:v>Средняя</x:v>
      </x:c>
      <x:c r="K109" s="28" t="str">
        <x:v>The Art &amp; Science of Foodpairing.pdf</x:v>
      </x:c>
      <x:c r="L109" s="28" t="str">
        <x:v>The Art &amp; Science of Foodpairing.pdf: 332</x:v>
      </x:c>
    </x:row>
    <x:row r="110" ht="64" customHeight="1">
      <x:c r="A110" s="28" t="str">
        <x:v>NCT-0513</x:v>
      </x:c>
      <x:c r="B110" s="28" t="str">
        <x:v>фундук</x:v>
      </x:c>
      <x:c r="C110" s="28" t="str">
        <x:v>кабачок</x:v>
      </x:c>
      <x:c r="D110" s="28" t="str">
        <x:v>Овощи, бобовые и грибы</x:v>
      </x:c>
      <x:c r="E110" s="28" t="str">
        <x:v>общие ароматические соединения</x:v>
      </x:c>
      <x:c r="F110" s="28" t="str">
        <x:v>Фундук имеет профиль «ореховый, жареный, сладкий, землистый и какаоподобный». Партнёр «кабачок»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1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10" s="28" t="str">
        <x:v>аллерген и чувствительность к прогорканию; пережаривание даёт дымную горечь</x:v>
      </x:c>
      <x:c r="I110" s="28" t="str">
        <x:v>пралине, паста, выпечка, гарнир, соус, молочный или коктейльный компонент с кабачок</x:v>
      </x:c>
      <x:c r="J110" s="28" t="str">
        <x:v>Высокая</x:v>
      </x:c>
      <x:c r="K110" s="28" t="str">
        <x:v>The Art &amp; Science of Foodpairing.pdf</x:v>
      </x:c>
      <x:c r="L110" s="28" t="str">
        <x:v>The Art &amp; Science of Foodpairing.pdf: 332</x:v>
      </x:c>
    </x:row>
    <x:row r="111" ht="64" customHeight="1">
      <x:c r="A111" s="28" t="str">
        <x:v>NCT-0514</x:v>
      </x:c>
      <x:c r="B111" s="28" t="str">
        <x:v>фундук</x:v>
      </x:c>
      <x:c r="C111" s="28" t="str">
        <x:v>картофель фри</x:v>
      </x:c>
      <x:c r="D111" s="28" t="str">
        <x:v>Овощи, бобовые и грибы</x:v>
      </x:c>
      <x:c r="E111" s="28" t="str">
        <x:v>общие ароматические соединения</x:v>
      </x:c>
      <x:c r="F111" s="28" t="str">
        <x:v>Фундук имеет профиль «ореховый, жареный, сладкий, землистый и какаоподобный». Партнёр «картофель фри»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1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11" s="28" t="str">
        <x:v>аллерген и чувствительность к прогорканию; пережаривание даёт дымную горечь</x:v>
      </x:c>
      <x:c r="I111" s="28" t="str">
        <x:v>пралине, паста, выпечка, гарнир, соус, молочный или коктейльный компонент с картофель фри</x:v>
      </x:c>
      <x:c r="J111" s="28" t="str">
        <x:v>Средняя</x:v>
      </x:c>
      <x:c r="K111" s="28" t="str">
        <x:v>The Art &amp; Science of Foodpairing.pdf</x:v>
      </x:c>
      <x:c r="L111" s="28" t="str">
        <x:v>The Art &amp; Science of Foodpairing.pdf: 196, 332</x:v>
      </x:c>
    </x:row>
    <x:row r="112" ht="64" customHeight="1">
      <x:c r="A112" s="28" t="str">
        <x:v>NCT-0527</x:v>
      </x:c>
      <x:c r="B112" s="28" t="str">
        <x:v>фундук</x:v>
      </x:c>
      <x:c r="C112" s="28" t="str">
        <x:v>морковь</x:v>
      </x:c>
      <x:c r="D112" s="28" t="str">
        <x:v>Овощи, бобовые и грибы</x:v>
      </x:c>
      <x:c r="E112" s="28" t="str">
        <x:v>общие ароматические соединения</x:v>
      </x:c>
      <x:c r="F112" s="28" t="str">
        <x:v>Фундук имеет профиль «ореховый, жареный, сладкий, землистый и какаоподобный». Партнёр «морковь»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1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12" s="28" t="str">
        <x:v>аллерген и чувствительность к прогорканию; пережаривание даёт дымную горечь</x:v>
      </x:c>
      <x:c r="I112" s="28" t="str">
        <x:v>пралине, паста, выпечка, гарнир, соус, молочный или коктейльный компонент с морковь</x:v>
      </x:c>
      <x:c r="J112" s="28" t="str">
        <x:v>Средняя</x:v>
      </x:c>
      <x:c r="K112" s="28" t="str">
        <x:v>Тезариус вкусов (Ники Сегнит)(1).pdf</x:v>
      </x:c>
      <x:c r="L112" s="28" t="str">
        <x:v>Тезариус вкусов (Ники Сегнит)(1).pdf: 607, 636</x:v>
      </x:c>
    </x:row>
    <x:row r="113" ht="64" customHeight="1">
      <x:c r="A113" s="28" t="str">
        <x:v>NCT-0535</x:v>
      </x:c>
      <x:c r="B113" s="28" t="str">
        <x:v>фундук</x:v>
      </x:c>
      <x:c r="C113" s="28" t="str">
        <x:v>свёкла</x:v>
      </x:c>
      <x:c r="D113" s="28" t="str">
        <x:v>Овощи, бобовые и грибы</x:v>
      </x:c>
      <x:c r="E113" s="28" t="str">
        <x:v>сенсорная комплементарность</x:v>
      </x:c>
      <x:c r="F113" s="28" t="str">
        <x:v>Фундук имеет профиль «ореховый, жареный, сладкий, землистый и какаоподобный». Партнёр «свёкла» относится к группе «Овощи, бобовые и грибы» и даёт землистый, сладкий.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1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13" s="28" t="str">
        <x:v>аллерген и чувствительность к прогорканию; пережаривание даёт дымную горечь</x:v>
      </x:c>
      <x:c r="I113" s="28" t="str">
        <x:v>пралине, паста, выпечка, гарнир, соус, молочный или коктейльный компонент с свёкла</x:v>
      </x:c>
      <x:c r="J113" s="28" t="str">
        <x:v>Средняя</x:v>
      </x:c>
      <x:c r="K113" s="28" t="str">
        <x:v>The Art &amp; Science of Foodpairing.pdf</x:v>
      </x:c>
      <x:c r="L113" s="28" t="str">
        <x:v>The Art &amp; Science of Foodpairing.pdf: 332</x:v>
      </x:c>
    </x:row>
    <x:row r="114" ht="64" customHeight="1">
      <x:c r="A114" s="28" t="str">
        <x:v>NCT-0539</x:v>
      </x:c>
      <x:c r="B114" s="28" t="str">
        <x:v>фундук</x:v>
      </x:c>
      <x:c r="C114" s="28" t="str">
        <x:v>тёмный соевый соус</x:v>
      </x:c>
      <x:c r="D114" s="28" t="str">
        <x:v>Ферментированные продукты и соусы</x:v>
      </x:c>
      <x:c r="E114" s="28" t="str">
        <x:v>общие ароматические соединения, пересечение ароматических семейств, солёно-умами контраст</x:v>
      </x:c>
      <x:c r="F114" s="28" t="str">
        <x:v>Фундук имеет профиль «ореховый, жареный, сладкий, землистый и какаоподобный». Партнёр «тёмный 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11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14" s="28" t="str">
        <x:v>аллерген и чувствительность к прогорканию; пережаривание даёт дымную горечь</x:v>
      </x:c>
      <x:c r="I114" s="28" t="str">
        <x:v>пралине, паста, выпечка, гарнир, соус, молочный или коктейльный компонент с тёмный соевый соус</x:v>
      </x:c>
      <x:c r="J114" s="28" t="str">
        <x:v>Средняя</x:v>
      </x:c>
      <x:c r="K114" s="28" t="str">
        <x:v>The Art &amp; Science of Foodpairing.pdf</x:v>
      </x:c>
      <x:c r="L114" s="28" t="str">
        <x:v>The Art &amp; Science of Foodpairing.pdf: 332</x:v>
      </x:c>
    </x:row>
    <x:row r="115" ht="64" customHeight="1">
      <x:c r="A115" s="28" t="str">
        <x:v>NCT-0543</x:v>
      </x:c>
      <x:c r="B115" s="28" t="str">
        <x:v>фундук</x:v>
      </x:c>
      <x:c r="C115" s="28" t="str">
        <x:v>черная икра</x:v>
      </x:c>
      <x:c r="D115" s="28" t="str">
        <x:v>Рыба и морепродукты</x:v>
      </x:c>
      <x:c r="E115" s="28" t="str">
        <x:v>общие ароматические соединения, солёно-умами контраст</x:v>
      </x:c>
      <x:c r="F115" s="28" t="str">
        <x:v>Фундук имеет профиль «ореховый, жареный, сладкий, землистый и какаоподобный». Партнёр «черная икра»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1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15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115" s="28" t="str">
        <x:v>пралине, паста, выпечка, гарнир, соус, молочный или коктейльный компонент с черная икра</x:v>
      </x:c>
      <x:c r="J115" s="28" t="str">
        <x:v>Средняя</x:v>
      </x:c>
      <x:c r="K115" s="28" t="str">
        <x:v>Тезариус вкусов (Ники Сегнит)(1).pdf</x:v>
      </x:c>
      <x:c r="L115" s="28" t="str">
        <x:v>Тезариус вкусов (Ники Сегнит)(1).pdf: 408, 638</x:v>
      </x:c>
    </x:row>
    <x:row r="116" ht="64" customHeight="1">
      <x:c r="A116" s="28" t="str">
        <x:v>NCT-0545</x:v>
      </x:c>
      <x:c r="B116" s="28" t="str">
        <x:v>фундук</x:v>
      </x:c>
      <x:c r="C116" s="28" t="str">
        <x:v>чеснок</x:v>
      </x:c>
      <x:c r="D116" s="28" t="str">
        <x:v>Овощи, бобовые и грибы</x:v>
      </x:c>
      <x:c r="E116" s="28" t="str">
        <x:v>общие ароматические соединения</x:v>
      </x:c>
      <x:c r="F116" s="28" t="str">
        <x:v>Фундук имеет профиль «ореховый, жареный, сладкий, землистый и какаоподобный». Партнёр «чеснок»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1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16" s="28" t="str">
        <x:v>аллерген и чувствительность к прогорканию; пережаривание даёт дымную горечь</x:v>
      </x:c>
      <x:c r="I116" s="28" t="str">
        <x:v>пралине, паста, выпечка, гарнир, соус, молочный или коктейльный компонент с чеснок</x:v>
      </x:c>
      <x:c r="J116" s="28" t="str">
        <x:v>Средняя</x:v>
      </x:c>
      <x:c r="K116" s="28" t="str">
        <x:v>Тезариус вкусов (Ники Сегнит)(1).pdf</x:v>
      </x:c>
      <x:c r="L116" s="28" t="str">
        <x:v>Тезариус вкусов (Ники Сегнит)(1).pdf: 299, 377, 638</x:v>
      </x:c>
    </x:row>
    <x:row r="117" ht="64" customHeight="1">
      <x:c r="A117" s="28" t="str">
        <x:v>NCT-0551</x:v>
      </x:c>
      <x:c r="B117" s="28" t="str">
        <x:v>чёрный чай</x:v>
      </x:c>
      <x:c r="C117" s="28" t="str">
        <x:v>bacon</x:v>
      </x:c>
      <x:c r="D117" s="28" t="str">
        <x:v>Мясо и птица</x:v>
      </x:c>
      <x:c r="E117" s="28" t="str">
        <x:v>жареная химия и реакции Майяра, солёно-умами контраст</x:v>
      </x:c>
      <x:c r="F117" s="28" t="str">
        <x:v>Чёрный чай имеет профиль «мальтовый, цветочный, фруктовый, древесный и слегка дымный». Партнёр «bacon»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17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17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17" s="28" t="str">
        <x:v>чайный настой, холодный чай, кордиал, молочный пунш, десерт или соус с bacon</x:v>
      </x:c>
      <x:c r="J117" s="28" t="str">
        <x:v>Высокая</x:v>
      </x:c>
      <x:c r="K117" s="28" t="str">
        <x:v>The Art &amp; Science of Foodpairing.pdf</x:v>
      </x:c>
      <x:c r="L117" s="28" t="str">
        <x:v>The Art &amp; Science of Foodpairing.pdf: 362</x:v>
      </x:c>
    </x:row>
    <x:row r="118" ht="64" customHeight="1">
      <x:c r="A118" s="28" t="str">
        <x:v>NCT-0552</x:v>
      </x:c>
      <x:c r="B118" s="28" t="str">
        <x:v>чёрный чай</x:v>
      </x:c>
      <x:c r="C118" s="28" t="str">
        <x:v>balsamic vinegar</x:v>
      </x:c>
      <x:c r="D118" s="28" t="str">
        <x:v>Ферментированные продукты и соусы</x:v>
      </x:c>
      <x:c r="E118" s="28" t="str">
        <x:v>солёно-умами контраст</x:v>
      </x:c>
      <x:c r="F118" s="28" t="str">
        <x:v>Чёрный чай имеет профиль «мальтовый, цветочный, фруктовый, древесный и слегка дымный». Партнёр «balsamic vinegar» относится к группе «Ферментированные продукты и соусы» и даёт ферментированный, умами и сложный.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18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18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18" s="28" t="str">
        <x:v>чайный настой, холодный чай, кордиал, молочный пунш, десерт или соус с balsamic vinegar</x:v>
      </x:c>
      <x:c r="J118" s="28" t="str">
        <x:v>Средняя</x:v>
      </x:c>
      <x:c r="K118" s="28" t="str">
        <x:v>The Art &amp; Science of Foodpairing.pdf</x:v>
      </x:c>
      <x:c r="L118" s="28" t="str">
        <x:v>The Art &amp; Science of Foodpairing.pdf: 316</x:v>
      </x:c>
    </x:row>
    <x:row r="119" ht="64" customHeight="1">
      <x:c r="A119" s="28" t="str">
        <x:v>NCT-0555</x:v>
      </x:c>
      <x:c r="B119" s="28" t="str">
        <x:v>чёрный чай</x:v>
      </x:c>
      <x:c r="C119" s="28" t="str">
        <x:v>garlic</x:v>
      </x:c>
      <x:c r="D119" s="28" t="str">
        <x:v>Овощи, бобовые и грибы</x:v>
      </x:c>
      <x:c r="E119" s="28" t="str">
        <x:v>сенсорная комплементарность</x:v>
      </x:c>
      <x:c r="F119" s="28" t="str">
        <x:v>Чёрный чай имеет профиль «мальтовый, цветочный, фруктовый, древесный и слегка дымный». Партнёр «garlic» относится к группе «Овощи, бобовые и грибы» и даёт зелёный, землистый или умами.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19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19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19" s="28" t="str">
        <x:v>чайный настой, холодный чай, кордиал, молочный пунш, десерт или соус с garlic</x:v>
      </x:c>
      <x:c r="J119" s="28" t="str">
        <x:v>Средняя</x:v>
      </x:c>
      <x:c r="K119" s="28" t="str">
        <x:v>The Art &amp; Science of Foodpairing.pdf</x:v>
      </x:c>
      <x:c r="L119" s="28" t="str">
        <x:v>The Art &amp; Science of Foodpairing.pdf: 113</x:v>
      </x:c>
    </x:row>
    <x:row r="120" ht="64" customHeight="1">
      <x:c r="A120" s="28" t="str">
        <x:v>NCT-0556</x:v>
      </x:c>
      <x:c r="B120" s="28" t="str">
        <x:v>чёрный чай</x:v>
      </x:c>
      <x:c r="C120" s="28" t="str">
        <x:v>lberico ham</x:v>
      </x:c>
      <x:c r="D120" s="28" t="str">
        <x:v>Мясо и птица</x:v>
      </x:c>
      <x:c r="E120" s="28" t="str">
        <x:v>жареная химия и реакции Майяра, солёно-умами контраст</x:v>
      </x:c>
      <x:c r="F120" s="28" t="str">
        <x:v>Чёрный чай имеет профиль «мальтовый, цветочный, фруктовый, древесный и слегка дымный». Партнёр «lberico ham»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20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20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20" s="28" t="str">
        <x:v>чайный настой, холодный чай, кордиал, молочный пунш, десерт или соус с lberico ham</x:v>
      </x:c>
      <x:c r="J120" s="28" t="str">
        <x:v>Средняя</x:v>
      </x:c>
      <x:c r="K120" s="28" t="str">
        <x:v>The Art &amp; Science of Foodpairing.pdf</x:v>
      </x:c>
      <x:c r="L120" s="28" t="str">
        <x:v>The Art &amp; Science of Foodpairing.pdf: 278</x:v>
      </x:c>
    </x:row>
    <x:row r="121" ht="64" customHeight="1">
      <x:c r="A121" s="28" t="str">
        <x:v>NCT-0557</x:v>
      </x:c>
      <x:c r="B121" s="28" t="str">
        <x:v>чёрный чай</x:v>
      </x:c>
      <x:c r="C121" s="28" t="str">
        <x:v>meat</x:v>
      </x:c>
      <x:c r="D121" s="28" t="str">
        <x:v>Мясо и птица</x:v>
      </x:c>
      <x:c r="E121" s="28" t="str">
        <x:v>жареная химия и реакции Майяра, солёно-умами контраст</x:v>
      </x:c>
      <x:c r="F121" s="28" t="str">
        <x:v>Чёрный чай имеет профиль «мальтовый, цветочный, фруктовый, древесный и слегка дымный». Партнёр «meat»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21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21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21" s="28" t="str">
        <x:v>чайный настой, холодный чай, кордиал, молочный пунш, десерт или соус с meat</x:v>
      </x:c>
      <x:c r="J121" s="28" t="str">
        <x:v>Средняя</x:v>
      </x:c>
      <x:c r="K121" s="28" t="str">
        <x:v>The Art &amp; Science of Foodpairing.pdf</x:v>
      </x:c>
      <x:c r="L121" s="28" t="str">
        <x:v>The Art &amp; Science of Foodpairing.pdf: 186</x:v>
      </x:c>
    </x:row>
    <x:row r="122" ht="64" customHeight="1">
      <x:c r="A122" s="28" t="str">
        <x:v>NCT-0563</x:v>
      </x:c>
      <x:c r="B122" s="28" t="str">
        <x:v>чёрный чай</x:v>
      </x:c>
      <x:c r="C122" s="28" t="str">
        <x:v>картофель фри</x:v>
      </x:c>
      <x:c r="D122" s="28" t="str">
        <x:v>Овощи, бобовые и грибы</x:v>
      </x:c>
      <x:c r="E122" s="28" t="str">
        <x:v>сенсорная комплементарность</x:v>
      </x:c>
      <x:c r="F122" s="28" t="str">
        <x:v>Чёрный чай имеет профиль «мальтовый, цветочный, фруктовый, древесный и слегка дымный». Партнёр «картофель фри» относится к группе «Овощи, бобовые и грибы» и даёт зелёный, землистый или умами.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22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22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22" s="28" t="str">
        <x:v>чайный настой, холодный чай, кордиал, молочный пунш, десерт или соус с картофель фри</x:v>
      </x:c>
      <x:c r="J122" s="28" t="str">
        <x:v>Средняя</x:v>
      </x:c>
      <x:c r="K122" s="28" t="str">
        <x:v>The Art &amp; Science of Foodpairing.pdf</x:v>
      </x:c>
      <x:c r="L122" s="28" t="str">
        <x:v>The Art &amp; Science of Foodpairing.pdf: 196</x:v>
      </x:c>
    </x:row>
    <x:row r="123" ht="64" customHeight="1">
      <x:c r="A123" s="28" t="str">
        <x:v>NCT-0570</x:v>
      </x:c>
      <x:c r="B123" s="28" t="str">
        <x:v>шоколад</x:v>
      </x:c>
      <x:c r="C123" s="28" t="str">
        <x:v>bacon</x:v>
      </x:c>
      <x:c r="D123" s="28" t="str">
        <x:v>Мясо и птица</x:v>
      </x:c>
      <x:c r="E123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2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«bacon»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2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3" s="28" t="str">
        <x:v>горечь и терпкость способны подавлять нежные продукты; содержит стимуляторы; аллергенные добавки возможны</x:v>
      </x:c>
      <x:c r="I123" s="28" t="str">
        <x:v>ганаш, плитка, крем, мусс, напиток, глазурь или соус с bacon</x:v>
      </x:c>
      <x:c r="J123" s="28" t="str">
        <x:v>Высокая</x:v>
      </x:c>
      <x:c r="K123" s="28" t="str">
        <x:v>The Art &amp; Science of Foodpairing.pdf</x:v>
      </x:c>
      <x:c r="L123" s="28" t="str">
        <x:v>The Art &amp; Science of Foodpairing.pdf: 184</x:v>
      </x:c>
    </x:row>
    <x:row r="124" ht="64" customHeight="1">
      <x:c r="A124" s="28" t="str">
        <x:v>NCT-0571</x:v>
      </x:c>
      <x:c r="B124" s="28" t="str">
        <x:v>шоколад</x:v>
      </x:c>
      <x:c r="C124" s="28" t="str">
        <x:v>baechu kimchi</x:v>
      </x:c>
      <x:c r="D124" s="28" t="str">
        <x:v>Ферментированные продукты и соусы</x:v>
      </x:c>
      <x:c r="E124" s="28" t="str">
        <x:v>общие ароматические соединения, пересечение ароматических семейств, солёно-умами контраст</x:v>
      </x:c>
      <x:c r="F12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«baechu kimchi» относится к группе «Ферментированные продукты и соусы» и даёт ферментированный, умами и сложный. Молекулярный мост создают пиразины, фураны, эфиры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пиразины, фураны, эфиры.</x:v>
      </x:c>
      <x:c r="G12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4" s="28" t="str">
        <x:v>горечь и терпкость способны подавлять нежные продукты; содержит стимуляторы; аллергенные добавки возможны</x:v>
      </x:c>
      <x:c r="I124" s="28" t="str">
        <x:v>ганаш, плитка, крем, мусс, напиток, глазурь или соус с baechu kimchi</x:v>
      </x:c>
      <x:c r="J124" s="28" t="str">
        <x:v>Средняя</x:v>
      </x:c>
      <x:c r="K124" s="28" t="str">
        <x:v>The Art &amp; Science of Foodpairing.pdf</x:v>
      </x:c>
      <x:c r="L124" s="28" t="str">
        <x:v>The Art &amp; Science of Foodpairing.pdf: 305</x:v>
      </x:c>
    </x:row>
    <x:row r="125" ht="64" customHeight="1">
      <x:c r="A125" s="28" t="str">
        <x:v>NCT-0572</x:v>
      </x:c>
      <x:c r="B125" s="28" t="str">
        <x:v>шоколад</x:v>
      </x:c>
      <x:c r="C125" s="28" t="str">
        <x:v>bayonne ham</x:v>
      </x:c>
      <x:c r="D125" s="28" t="str">
        <x:v>Мясо и птица</x:v>
      </x:c>
      <x:c r="E125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2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«bayonne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2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5" s="28" t="str">
        <x:v>горечь и терпкость способны подавлять нежные продукты; содержит стимуляторы; аллергенные добавки возможны</x:v>
      </x:c>
      <x:c r="I125" s="28" t="str">
        <x:v>ганаш, плитка, крем, мусс, напиток, глазурь или соус с bayonne ham</x:v>
      </x:c>
      <x:c r="J125" s="28" t="str">
        <x:v>Средняя</x:v>
      </x:c>
      <x:c r="K125" s="28" t="str">
        <x:v>The Art &amp; Science of Foodpairing.pdf</x:v>
      </x:c>
      <x:c r="L125" s="28" t="str">
        <x:v>The Art &amp; Science of Foodpairing.pdf: 62</x:v>
      </x:c>
    </x:row>
    <x:row r="126" ht="64" customHeight="1">
      <x:c r="A126" s="28" t="str">
        <x:v>NCT-0573</x:v>
      </x:c>
      <x:c r="B126" s="28" t="str">
        <x:v>шоколад</x:v>
      </x:c>
      <x:c r="C126" s="28" t="str">
        <x:v>black garlic</x:v>
      </x:c>
      <x:c r="D126" s="28" t="str">
        <x:v>Овощи, бобовые и грибы</x:v>
      </x:c>
      <x:c r="E126" s="28" t="str">
        <x:v>общие ароматические соединения</x:v>
      </x:c>
      <x:c r="F12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«black garlic»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2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6" s="28" t="str">
        <x:v>горечь и терпкость способны подавлять нежные продукты; содержит стимуляторы; аллергенные добавки возможны</x:v>
      </x:c>
      <x:c r="I126" s="28" t="str">
        <x:v>ганаш, плитка, крем, мусс, напиток, глазурь или соус с black garlic</x:v>
      </x:c>
      <x:c r="J126" s="28" t="str">
        <x:v>Высокая</x:v>
      </x:c>
      <x:c r="K126" s="28" t="str">
        <x:v>The Art &amp; Science of Foodpairing.pdf</x:v>
      </x:c>
      <x:c r="L126" s="28" t="str">
        <x:v>The Art &amp; Science of Foodpairing.pdf: 113</x:v>
      </x:c>
    </x:row>
    <x:row r="127" ht="64" customHeight="1">
      <x:c r="A127" s="28" t="str">
        <x:v>NCT-0575</x:v>
      </x:c>
      <x:c r="B127" s="28" t="str">
        <x:v>шоколад</x:v>
      </x:c>
      <x:c r="C127" s="28" t="str">
        <x:v>boiled potato</x:v>
      </x:c>
      <x:c r="D127" s="28" t="str">
        <x:v>Овощи, бобовые и грибы</x:v>
      </x:c>
      <x:c r="E127" s="28" t="str">
        <x:v>общие ароматические соединения</x:v>
      </x:c>
      <x:c r="F12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«boiled potato»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2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7" s="28" t="str">
        <x:v>горечь и терпкость способны подавлять нежные продукты; содержит стимуляторы; аллергенные добавки возможны</x:v>
      </x:c>
      <x:c r="I127" s="28" t="str">
        <x:v>ганаш, плитка, крем, мусс, напиток, глазурь или соус с boiled potato</x:v>
      </x:c>
      <x:c r="J127" s="28" t="str">
        <x:v>Средняя</x:v>
      </x:c>
      <x:c r="K127" s="28" t="str">
        <x:v>The Art &amp; Science of Foodpairing.pdf</x:v>
      </x:c>
      <x:c r="L127" s="28" t="str">
        <x:v>The Art &amp; Science of Foodpairing.pdf: 62</x:v>
      </x:c>
    </x:row>
    <x:row r="128" ht="64" customHeight="1">
      <x:c r="A128" s="28" t="str">
        <x:v>NCT-0576</x:v>
      </x:c>
      <x:c r="B128" s="28" t="str">
        <x:v>шоколад</x:v>
      </x:c>
      <x:c r="C128" s="28" t="str">
        <x:v>boiledlobster</x:v>
      </x:c>
      <x:c r="D128" s="28" t="str">
        <x:v>Рыба и морепродукты</x:v>
      </x:c>
      <x:c r="E128" s="28" t="str">
        <x:v>общие ароматические соединения, солёно-умами контраст</x:v>
      </x:c>
      <x:c r="F12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«boiledlobster»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2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8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128" s="28" t="str">
        <x:v>ганаш, плитка, крем, мусс, напиток, глазурь или соус с boiledlobster</x:v>
      </x:c>
      <x:c r="J128" s="28" t="str">
        <x:v>Средняя</x:v>
      </x:c>
      <x:c r="K128" s="28" t="str">
        <x:v>The Art &amp; Science of Foodpairing.pdf</x:v>
      </x:c>
      <x:c r="L128" s="28" t="str">
        <x:v>The Art &amp; Science of Foodpairing.pdf: 62</x:v>
      </x:c>
    </x:row>
    <x:row r="129" ht="64" customHeight="1">
      <x:c r="A129" s="28" t="str">
        <x:v>NCT-0580</x:v>
      </x:c>
      <x:c r="B129" s="28" t="str">
        <x:v>шоколад</x:v>
      </x:c>
      <x:c r="C129" s="28" t="str">
        <x:v>carrot</x:v>
      </x:c>
      <x:c r="D129" s="28" t="str">
        <x:v>Овощи, бобовые и грибы</x:v>
      </x:c>
      <x:c r="E129" s="28" t="str">
        <x:v>общие ароматические соединения</x:v>
      </x:c>
      <x:c r="F12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«carrot»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2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9" s="28" t="str">
        <x:v>горечь и терпкость способны подавлять нежные продукты; содержит стимуляторы; аллергенные добавки возможны</x:v>
      </x:c>
      <x:c r="I129" s="28" t="str">
        <x:v>ганаш, плитка, крем, мусс, напиток, глазурь или соус с carrot</x:v>
      </x:c>
      <x:c r="J129" s="28" t="str">
        <x:v>Средняя</x:v>
      </x:c>
      <x:c r="K129" s="28" t="str">
        <x:v>The Art &amp; Science of Foodpairing.pdf</x:v>
      </x:c>
      <x:c r="L129" s="28" t="str">
        <x:v>The Art &amp; Science of Foodpairing.pdf: 232</x:v>
      </x:c>
    </x:row>
    <x:row r="130" ht="64" customHeight="1">
      <x:c r="A130" s="28" t="str">
        <x:v>NCT-0583</x:v>
      </x:c>
      <x:c r="B130" s="28" t="str">
        <x:v>шоколад</x:v>
      </x:c>
      <x:c r="C130" s="28" t="str">
        <x:v>dry-aged beef</x:v>
      </x:c>
      <x:c r="D130" s="28" t="str">
        <x:v>Мясо и птица</x:v>
      </x:c>
      <x:c r="E13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3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«dry-aged 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3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0" s="28" t="str">
        <x:v>горечь и терпкость способны подавлять нежные продукты; содержит стимуляторы; аллергенные добавки возможны</x:v>
      </x:c>
      <x:c r="I130" s="28" t="str">
        <x:v>ганаш, плитка, крем, мусс, напиток, глазурь или соус с dry-aged beef</x:v>
      </x:c>
      <x:c r="J130" s="28" t="str">
        <x:v>Средняя</x:v>
      </x:c>
      <x:c r="K130" s="28" t="str">
        <x:v>The Art &amp; Science of Foodpairing.pdf</x:v>
      </x:c>
      <x:c r="L130" s="28" t="str">
        <x:v>The Art &amp; Science of Foodpairing.pdf: 62</x:v>
      </x:c>
    </x:row>
    <x:row r="131" ht="64" customHeight="1">
      <x:c r="A131" s="28" t="str">
        <x:v>NCT-0585</x:v>
      </x:c>
      <x:c r="B131" s="28" t="str">
        <x:v>шоколад</x:v>
      </x:c>
      <x:c r="C131" s="28" t="str">
        <x:v>fish</x:v>
      </x:c>
      <x:c r="D131" s="28" t="str">
        <x:v>Рыба и морепродукты</x:v>
      </x:c>
      <x:c r="E131" s="28" t="str">
        <x:v>общие ароматические соединения, солёно-умами контраст</x:v>
      </x:c>
      <x:c r="F13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3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1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131" s="28" t="str">
        <x:v>ганаш, плитка, крем, мусс, напиток, глазурь или соус с fish</x:v>
      </x:c>
      <x:c r="J131" s="28" t="str">
        <x:v>Средняя</x:v>
      </x:c>
      <x:c r="K131" s="28" t="str">
        <x:v>The Art &amp; Science of Foodpairing.pdf</x:v>
      </x:c>
      <x:c r="L131" s="28" t="str">
        <x:v>The Art &amp; Science of Foodpairing.pdf: 104</x:v>
      </x:c>
    </x:row>
    <x:row r="132" ht="64" customHeight="1">
      <x:c r="A132" s="28" t="str">
        <x:v>NCT-0586</x:v>
      </x:c>
      <x:c r="B132" s="28" t="str">
        <x:v>шоколад</x:v>
      </x:c>
      <x:c r="C132" s="28" t="str">
        <x:v>garlic</x:v>
      </x:c>
      <x:c r="D132" s="28" t="str">
        <x:v>Овощи, бобовые и грибы</x:v>
      </x:c>
      <x:c r="E132" s="28" t="str">
        <x:v>общие ароматические соединения</x:v>
      </x:c>
      <x:c r="F13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«garlic»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3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2" s="28" t="str">
        <x:v>горечь и терпкость способны подавлять нежные продукты; содержит стимуляторы; аллергенные добавки возможны</x:v>
      </x:c>
      <x:c r="I132" s="28" t="str">
        <x:v>ганаш, плитка, крем, мусс, напиток, глазурь или соус с garlic</x:v>
      </x:c>
      <x:c r="J132" s="28" t="str">
        <x:v>Средняя</x:v>
      </x:c>
      <x:c r="K132" s="28" t="str">
        <x:v>The Art &amp; Science of Foodpairing.pdf</x:v>
      </x:c>
      <x:c r="L132" s="28" t="str">
        <x:v>The Art &amp; Science of Foodpairing.pdf: 113</x:v>
      </x:c>
    </x:row>
    <x:row r="133" ht="64" customHeight="1">
      <x:c r="A133" s="28" t="str">
        <x:v>NCT-0587</x:v>
      </x:c>
      <x:c r="B133" s="28" t="str">
        <x:v>шоколад</x:v>
      </x:c>
      <x:c r="C133" s="28" t="str">
        <x:v>grilled lamb</x:v>
      </x:c>
      <x:c r="D133" s="28" t="str">
        <x:v>Мясо и птица</x:v>
      </x:c>
      <x:c r="E133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3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«grilled lamb»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3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3" s="28" t="str">
        <x:v>горечь и терпкость способны подавлять нежные продукты; содержит стимуляторы; аллергенные добавки возможны</x:v>
      </x:c>
      <x:c r="I133" s="28" t="str">
        <x:v>ганаш, плитка, крем, мусс, напиток, глазурь или соус с grilled lamb</x:v>
      </x:c>
      <x:c r="J133" s="28" t="str">
        <x:v>Средняя</x:v>
      </x:c>
      <x:c r="K133" s="28" t="str">
        <x:v>The Art &amp; Science of Foodpairing.pdf</x:v>
      </x:c>
      <x:c r="L133" s="28" t="str">
        <x:v>The Art &amp; Science of Foodpairing.pdf: 62</x:v>
      </x:c>
    </x:row>
    <x:row r="134" ht="64" customHeight="1">
      <x:c r="A134" s="28" t="str">
        <x:v>NCT-0589</x:v>
      </x:c>
      <x:c r="B134" s="28" t="str">
        <x:v>шоколад</x:v>
      </x:c>
      <x:c r="C134" s="28" t="str">
        <x:v>lberico ham</x:v>
      </x:c>
      <x:c r="D134" s="28" t="str">
        <x:v>Мясо и птица</x:v>
      </x:c>
      <x:c r="E13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3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3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4" s="28" t="str">
        <x:v>горечь и терпкость способны подавлять нежные продукты; содержит стимуляторы; аллергенные добавки возможны</x:v>
      </x:c>
      <x:c r="I134" s="28" t="str">
        <x:v>ганаш, плитка, крем, мусс, напиток, глазурь или соус с lberico ham</x:v>
      </x:c>
      <x:c r="J134" s="28" t="str">
        <x:v>Средняя</x:v>
      </x:c>
      <x:c r="K134" s="28" t="str">
        <x:v>The Art &amp; Science of Foodpairing.pdf</x:v>
      </x:c>
      <x:c r="L134" s="28" t="str">
        <x:v>The Art &amp; Science of Foodpairing.pdf: 278</x:v>
      </x:c>
    </x:row>
    <x:row r="135" ht="64" customHeight="1">
      <x:c r="A135" s="28" t="str">
        <x:v>NCT-0591</x:v>
      </x:c>
      <x:c r="B135" s="28" t="str">
        <x:v>шоколад</x:v>
      </x:c>
      <x:c r="C135" s="28" t="str">
        <x:v>meat</x:v>
      </x:c>
      <x:c r="D135" s="28" t="str">
        <x:v>Мясо и птица</x:v>
      </x:c>
      <x:c r="E135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3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«meat»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3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5" s="28" t="str">
        <x:v>горечь и терпкость способны подавлять нежные продукты; содержит стимуляторы; аллергенные добавки возможны</x:v>
      </x:c>
      <x:c r="I135" s="28" t="str">
        <x:v>ганаш, плитка, крем, мусс, напиток, глазурь или соус с meat</x:v>
      </x:c>
      <x:c r="J135" s="28" t="str">
        <x:v>Средняя</x:v>
      </x:c>
      <x:c r="K135" s="28" t="str">
        <x:v>The Art &amp; Science of Foodpairing.pdf</x:v>
      </x:c>
      <x:c r="L135" s="28" t="str">
        <x:v>The Art &amp; Science of Foodpairing.pdf: 186</x:v>
      </x:c>
    </x:row>
    <x:row r="136" ht="64" customHeight="1">
      <x:c r="A136" s="28" t="str">
        <x:v>NCT-0594</x:v>
      </x:c>
      <x:c r="B136" s="28" t="str">
        <x:v>шоколад</x:v>
      </x:c>
      <x:c r="C136" s="28" t="str">
        <x:v>oyster leaf</x:v>
      </x:c>
      <x:c r="D136" s="28" t="str">
        <x:v>Рыба и морепродукты</x:v>
      </x:c>
      <x:c r="E136" s="28" t="str">
        <x:v>общие ароматические соединения, солёно-умами контраст</x:v>
      </x:c>
      <x:c r="F13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«oyster leaf»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3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6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136" s="28" t="str">
        <x:v>ганаш, плитка, крем, мусс, напиток, глазурь или соус с oyster leaf</x:v>
      </x:c>
      <x:c r="J136" s="28" t="str">
        <x:v>Средняя</x:v>
      </x:c>
      <x:c r="K136" s="28" t="str">
        <x:v>The Art &amp; Science of Foodpairing.pdf</x:v>
      </x:c>
      <x:c r="L136" s="28" t="str">
        <x:v>The Art &amp; Science of Foodpairing.pdf: 62</x:v>
      </x:c>
    </x:row>
    <x:row r="137" ht="64" customHeight="1">
      <x:c r="A137" s="28" t="str">
        <x:v>NCT-0595</x:v>
      </x:c>
      <x:c r="B137" s="28" t="str">
        <x:v>шоколад</x:v>
      </x:c>
      <x:c r="C137" s="28" t="str">
        <x:v>pan-fried king prawns</x:v>
      </x:c>
      <x:c r="D137" s="28" t="str">
        <x:v>Рыба и морепродукты</x:v>
      </x:c>
      <x:c r="E137" s="28" t="str">
        <x:v>общие ароматические соединения, солёно-умами контраст</x:v>
      </x:c>
      <x:c r="F13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king prawns»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3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7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137" s="28" t="str">
        <x:v>ганаш, плитка, крем, мусс, напиток, глазурь или соус с pan-fried king prawns</x:v>
      </x:c>
      <x:c r="J137" s="28" t="str">
        <x:v>Средняя</x:v>
      </x:c>
      <x:c r="K137" s="28" t="str">
        <x:v>The Art &amp; Science of Foodpairing.pdf</x:v>
      </x:c>
      <x:c r="L137" s="28" t="str">
        <x:v>The Art &amp; Science of Foodpairing.pdf: 62</x:v>
      </x:c>
    </x:row>
    <x:row r="138" ht="64" customHeight="1">
      <x:c r="A138" s="28" t="str">
        <x:v>NCT-0596</x:v>
      </x:c>
      <x:c r="B138" s="28" t="str">
        <x:v>шоколад</x:v>
      </x:c>
      <x:c r="C138" s="28" t="str">
        <x:v>pan-fried kingprawn</x:v>
      </x:c>
      <x:c r="D138" s="28" t="str">
        <x:v>Рыба и морепродукты</x:v>
      </x:c>
      <x:c r="E138" s="28" t="str">
        <x:v>общие ароматические соединения, солёно-умами контраст</x:v>
      </x:c>
      <x:c r="F13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kingprawn»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3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8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138" s="28" t="str">
        <x:v>ганаш, плитка, крем, мусс, напиток, глазурь или соус с pan-fried kingprawn</x:v>
      </x:c>
      <x:c r="J138" s="28" t="str">
        <x:v>Средняя</x:v>
      </x:c>
      <x:c r="K138" s="28" t="str">
        <x:v>The Art &amp; Science of Foodpairing.pdf</x:v>
      </x:c>
      <x:c r="L138" s="28" t="str">
        <x:v>The Art &amp; Science of Foodpairing.pdf: 62</x:v>
      </x:c>
    </x:row>
    <x:row r="139" ht="64" customHeight="1">
      <x:c r="A139" s="28" t="str">
        <x:v>NCT-0597</x:v>
      </x:c>
      <x:c r="B139" s="28" t="str">
        <x:v>шоколад</x:v>
      </x:c>
      <x:c r="C139" s="28" t="str">
        <x:v>pan-fried porkloin</x:v>
      </x:c>
      <x:c r="D139" s="28" t="str">
        <x:v>Мясо и птица</x:v>
      </x:c>
      <x:c r="E139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3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porkloin»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3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9" s="28" t="str">
        <x:v>горечь и терпкость способны подавлять нежные продукты; содержит стимуляторы; аллергенные добавки возможны</x:v>
      </x:c>
      <x:c r="I139" s="28" t="str">
        <x:v>ганаш, плитка, крем, мусс, напиток, глазурь или соус с pan-fried porkloin</x:v>
      </x:c>
      <x:c r="J139" s="28" t="str">
        <x:v>Средняя</x:v>
      </x:c>
      <x:c r="K139" s="28" t="str">
        <x:v>The Art &amp; Science of Foodpairing.pdf</x:v>
      </x:c>
      <x:c r="L139" s="28" t="str">
        <x:v>The Art &amp; Science of Foodpairing.pdf: 62</x:v>
      </x:c>
    </x:row>
    <x:row r="140" ht="64" customHeight="1">
      <x:c r="A140" s="28" t="str">
        <x:v>NCT-0598</x:v>
      </x:c>
      <x:c r="B140" s="28" t="str">
        <x:v>шоколад</x:v>
      </x:c>
      <x:c r="C140" s="28" t="str">
        <x:v>pan-fried quail</x:v>
      </x:c>
      <x:c r="D140" s="28" t="str">
        <x:v>Мясо и птица</x:v>
      </x:c>
      <x:c r="E14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4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quail»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4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0" s="28" t="str">
        <x:v>горечь и терпкость способны подавлять нежные продукты; содержит стимуляторы; аллергенные добавки возможны</x:v>
      </x:c>
      <x:c r="I140" s="28" t="str">
        <x:v>ганаш, плитка, крем, мусс, напиток, глазурь или соус с pan-fried quail</x:v>
      </x:c>
      <x:c r="J140" s="28" t="str">
        <x:v>Средняя</x:v>
      </x:c>
      <x:c r="K140" s="28" t="str">
        <x:v>The Art &amp; Science of Foodpairing.pdf</x:v>
      </x:c>
      <x:c r="L140" s="28" t="str">
        <x:v>The Art &amp; Science of Foodpairing.pdf: 62</x:v>
      </x:c>
    </x:row>
    <x:row r="141" ht="64" customHeight="1">
      <x:c r="A141" s="28" t="str">
        <x:v>NCT-0603</x:v>
      </x:c>
      <x:c r="B141" s="28" t="str">
        <x:v>шоколад</x:v>
      </x:c>
      <x:c r="C141" s="28" t="str">
        <x:v>roastedbrown shrimp</x:v>
      </x:c>
      <x:c r="D141" s="28" t="str">
        <x:v>Рыба и морепродукты</x:v>
      </x:c>
      <x:c r="E141" s="28" t="str">
        <x:v>общие ароматические соединения, солёно-умами контраст</x:v>
      </x:c>
      <x:c r="F14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«roastedbrown shrimp»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4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1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141" s="28" t="str">
        <x:v>ганаш, плитка, крем, мусс, напиток, глазурь или соус с roastedbrown shrimp</x:v>
      </x:c>
      <x:c r="J141" s="28" t="str">
        <x:v>Средняя</x:v>
      </x:c>
      <x:c r="K141" s="28" t="str">
        <x:v>The Art &amp; Science of Foodpairing.pdf</x:v>
      </x:c>
      <x:c r="L141" s="28" t="str">
        <x:v>The Art &amp; Science of Foodpairing.pdf: 62</x:v>
      </x:c>
    </x:row>
    <x:row r="142" ht="64" customHeight="1">
      <x:c r="A142" s="28" t="str">
        <x:v>NCT-0605</x:v>
      </x:c>
      <x:c r="B142" s="28" t="str">
        <x:v>шоколад</x:v>
      </x:c>
      <x:c r="C142" s="28" t="str">
        <x:v>salted anchovies</x:v>
      </x:c>
      <x:c r="D142" s="28" t="str">
        <x:v>Рыба и морепродукты</x:v>
      </x:c>
      <x:c r="E142" s="28" t="str">
        <x:v>общие ароматические соединения, солёно-умами контраст</x:v>
      </x:c>
      <x:c r="F14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«salted anchovies»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4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2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142" s="28" t="str">
        <x:v>ганаш, плитка, крем, мусс, напиток, глазурь или соус с salted anchovies</x:v>
      </x:c>
      <x:c r="J142" s="28" t="str">
        <x:v>Средняя</x:v>
      </x:c>
      <x:c r="K142" s="28" t="str">
        <x:v>The Art &amp; Science of Foodpairing.pdf</x:v>
      </x:c>
      <x:c r="L142" s="28" t="str">
        <x:v>The Art &amp; Science of Foodpairing.pdf: 62</x:v>
      </x:c>
    </x:row>
    <x:row r="143" ht="64" customHeight="1">
      <x:c r="A143" s="28" t="str">
        <x:v>NCT-0606</x:v>
      </x:c>
      <x:c r="B143" s="28" t="str">
        <x:v>шоколад</x:v>
      </x:c>
      <x:c r="C143" s="28" t="str">
        <x:v>salted dried cod</x:v>
      </x:c>
      <x:c r="D143" s="28" t="str">
        <x:v>Рыба и морепродукты</x:v>
      </x:c>
      <x:c r="E143" s="28" t="str">
        <x:v>общие ароматические соединения, солёно-умами контраст</x:v>
      </x:c>
      <x:c r="F14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«salted dried cod»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4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3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143" s="28" t="str">
        <x:v>ганаш, плитка, крем, мусс, напиток, глазурь или соус с salted dried cod</x:v>
      </x:c>
      <x:c r="J143" s="28" t="str">
        <x:v>Средняя</x:v>
      </x:c>
      <x:c r="K143" s="28" t="str">
        <x:v>The Art &amp; Science of Foodpairing.pdf</x:v>
      </x:c>
      <x:c r="L143" s="28" t="str">
        <x:v>The Art &amp; Science of Foodpairing.pdf: 62</x:v>
      </x:c>
    </x:row>
    <x:row r="144" ht="64" customHeight="1">
      <x:c r="A144" s="28" t="str">
        <x:v>NCT-0608</x:v>
      </x:c>
      <x:c r="B144" s="28" t="str">
        <x:v>шоколад</x:v>
      </x:c>
      <x:c r="C144" s="28" t="str">
        <x:v>sweet potato</x:v>
      </x:c>
      <x:c r="D144" s="28" t="str">
        <x:v>Овощи, бобовые и грибы</x:v>
      </x:c>
      <x:c r="E144" s="28" t="str">
        <x:v>общие ароматические соединения</x:v>
      </x:c>
      <x:c r="F14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«sweet potato»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4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4" s="28" t="str">
        <x:v>горечь и терпкость способны подавлять нежные продукты; содержит стимуляторы; аллергенные добавки возможны</x:v>
      </x:c>
      <x:c r="I144" s="28" t="str">
        <x:v>ганаш, плитка, крем, мусс, напиток, глазурь или соус с sweet potato</x:v>
      </x:c>
      <x:c r="J144" s="28" t="str">
        <x:v>Средняя</x:v>
      </x:c>
      <x:c r="K144" s="28" t="str">
        <x:v>The Art &amp; Science of Foodpairing.pdf</x:v>
      </x:c>
      <x:c r="L144" s="28" t="str">
        <x:v>The Art &amp; Science of Foodpairing.pdf: 119</x:v>
      </x:c>
    </x:row>
    <x:row r="145" ht="64" customHeight="1">
      <x:c r="A145" s="28" t="str">
        <x:v>NCT-0609</x:v>
      </x:c>
      <x:c r="B145" s="28" t="str">
        <x:v>шоколад</x:v>
      </x:c>
      <x:c r="C145" s="28" t="str">
        <x:v>tomato and tomato puree</x:v>
      </x:c>
      <x:c r="D145" s="28" t="str">
        <x:v>Овощи, бобовые и грибы</x:v>
      </x:c>
      <x:c r="E145" s="28" t="str">
        <x:v>общие ароматические соединения</x:v>
      </x:c>
      <x:c r="F14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«tomato and tomato puree»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4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5" s="28" t="str">
        <x:v>горечь и терпкость способны подавлять нежные продукты; содержит стимуляторы; аллергенные добавки возможны</x:v>
      </x:c>
      <x:c r="I145" s="28" t="str">
        <x:v>ганаш, плитка, крем, мусс, напиток, глазурь или соус с tomato and tomato puree</x:v>
      </x:c>
      <x:c r="J145" s="28" t="str">
        <x:v>Средняя</x:v>
      </x:c>
      <x:c r="K145" s="28" t="str">
        <x:v>The Art &amp; Science of Foodpairing.pdf</x:v>
      </x:c>
      <x:c r="L145" s="28" t="str">
        <x:v>The Art &amp; Science of Foodpairing.pdf: 161</x:v>
      </x:c>
    </x:row>
    <x:row r="146" ht="64" customHeight="1">
      <x:c r="A146" s="28" t="str">
        <x:v>NCT-0610</x:v>
      </x:c>
      <x:c r="B146" s="28" t="str">
        <x:v>шоколад</x:v>
      </x:c>
      <x:c r="C146" s="28" t="str">
        <x:v>wagyu beef</x:v>
      </x:c>
      <x:c r="D146" s="28" t="str">
        <x:v>Мясо и птица</x:v>
      </x:c>
      <x:c r="E146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4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«wagyu 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4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6" s="28" t="str">
        <x:v>горечь и терпкость способны подавлять нежные продукты; содержит стимуляторы; аллергенные добавки возможны</x:v>
      </x:c>
      <x:c r="I146" s="28" t="str">
        <x:v>ганаш, плитка, крем, мусс, напиток, глазурь или соус с wagyu beef</x:v>
      </x:c>
      <x:c r="J146" s="28" t="str">
        <x:v>Средняя</x:v>
      </x:c>
      <x:c r="K146" s="28" t="str">
        <x:v>The Art &amp; Science of Foodpairing.pdf</x:v>
      </x:c>
      <x:c r="L146" s="28" t="str">
        <x:v>The Art &amp; Science of Foodpairing.pdf: 62</x:v>
      </x:c>
    </x:row>
    <x:row r="147" ht="64" customHeight="1">
      <x:c r="A147" s="28" t="str">
        <x:v>NCT-0611</x:v>
      </x:c>
      <x:c r="B147" s="28" t="str">
        <x:v>шоколад</x:v>
      </x:c>
      <x:c r="C147" s="28" t="str">
        <x:v>wheatgrass and another one with cauliflower. his menueven</x:v>
      </x:c>
      <x:c r="D147" s="28" t="str">
        <x:v>Овощи, бобовые и грибы</x:v>
      </x:c>
      <x:c r="E147" s="28" t="str">
        <x:v>общие ароматические соединения</x:v>
      </x:c>
      <x:c r="F14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«wheatgrass and another one with cauliflower. his menueven»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4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7" s="28" t="str">
        <x:v>горечь и терпкость способны подавлять нежные продукты; содержит стимуляторы; аллергенные добавки возможны</x:v>
      </x:c>
      <x:c r="I147" s="28" t="str">
        <x:v>ганаш, плитка, крем, мусс, напиток, глазурь или соус с wheatgrass and another one with cauliflower. his menueven</x:v>
      </x:c>
      <x:c r="J147" s="28" t="str">
        <x:v>Средняя</x:v>
      </x:c>
      <x:c r="K147" s="28" t="str">
        <x:v>The Art &amp; Science of Foodpairing.pdf</x:v>
      </x:c>
      <x:c r="L147" s="28" t="str">
        <x:v>The Art &amp; Science of Foodpairing.pdf: 61</x:v>
      </x:c>
    </x:row>
    <x:row r="148" ht="64" customHeight="1">
      <x:c r="A148" s="28" t="str">
        <x:v>NCT-0623</x:v>
      </x:c>
      <x:c r="B148" s="28" t="str">
        <x:v>шоколад</x:v>
      </x:c>
      <x:c r="C148" s="28" t="str">
        <x:v>бекон</x:v>
      </x:c>
      <x:c r="D148" s="28" t="str">
        <x:v>Мясо и птица</x:v>
      </x:c>
      <x:c r="E14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4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«бекон» относится к группе «Мясо и птица» и даёт дымный, жареный,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4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8" s="28" t="str">
        <x:v>горечь и терпкость способны подавлять нежные продукты; содержит стимуляторы; аллергенные добавки возможны</x:v>
      </x:c>
      <x:c r="I148" s="28" t="str">
        <x:v>ганаш, плитка, крем, мусс, напиток, глазурь или соус с бекон</x:v>
      </x:c>
      <x:c r="J148" s="28" t="str">
        <x:v>Средняя</x:v>
      </x:c>
      <x:c r="K148" s="28" t="str">
        <x:v>Тезариус вкусов (Ники Сегнит)(1).pdf</x:v>
      </x:c>
      <x:c r="L148" s="28" t="str">
        <x:v>Тезариус вкусов (Ники Сегнит)(1).pdf: 27, 449</x:v>
      </x:c>
    </x:row>
    <x:row r="149" ht="64" customHeight="1">
      <x:c r="A149" s="28" t="str">
        <x:v>NCT-0636</x:v>
      </x:c>
      <x:c r="B149" s="28" t="str">
        <x:v>шоколад</x:v>
      </x:c>
      <x:c r="C149" s="28" t="str">
        <x:v>запечённая свёкла</x:v>
      </x:c>
      <x:c r="D149" s="28" t="str">
        <x:v>Овощи, бобовые и грибы</x:v>
      </x:c>
      <x:c r="E149" s="28" t="str">
        <x:v>сенсорная комплементарность</x:v>
      </x:c>
      <x:c r="F14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«запечённая свёкла» относится к группе «Овощи, бобовые и грибы» и даёт землистый, сладкий.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4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9" s="28" t="str">
        <x:v>горечь и терпкость способны подавлять нежные продукты; содержит стимуляторы; аллергенные добавки возможны</x:v>
      </x:c>
      <x:c r="I149" s="28" t="str">
        <x:v>ганаш, плитка, крем, мусс, напиток, глазурь или соус с запечённая свёкла</x:v>
      </x:c>
      <x:c r="J149" s="28" t="str">
        <x:v>Средняя</x:v>
      </x:c>
      <x:c r="K149" s="28" t="str">
        <x:v>The Art &amp; Science of Foodpairing.pdf</x:v>
      </x:c>
      <x:c r="L149" s="28" t="str">
        <x:v>The Art &amp; Science of Foodpairing.pdf: 62</x:v>
      </x:c>
    </x:row>
    <x:row r="150" ht="64" customHeight="1">
      <x:c r="A150" s="28" t="str">
        <x:v>NCT-0640</x:v>
      </x:c>
      <x:c r="B150" s="28" t="str">
        <x:v>шоколад</x:v>
      </x:c>
      <x:c r="C150" s="28" t="str">
        <x:v>кабачок</x:v>
      </x:c>
      <x:c r="D150" s="28" t="str">
        <x:v>Овощи, бобовые и грибы</x:v>
      </x:c>
      <x:c r="E150" s="28" t="str">
        <x:v>общие ароматические соединения</x:v>
      </x:c>
      <x:c r="F15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«кабачок»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5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0" s="28" t="str">
        <x:v>горечь и терпкость способны подавлять нежные продукты; содержит стимуляторы; аллергенные добавки возможны</x:v>
      </x:c>
      <x:c r="I150" s="28" t="str">
        <x:v>ганаш, плитка, крем, мусс, напиток, глазурь или соус с кабачок</x:v>
      </x:c>
      <x:c r="J150" s="28" t="str">
        <x:v>Средняя</x:v>
      </x:c>
      <x:c r="K150" s="28" t="str">
        <x:v>The Art &amp; Science of Foodpairing.pdf</x:v>
      </x:c>
      <x:c r="L150" s="28" t="str">
        <x:v>The Art &amp; Science of Foodpairing.pdf: 62</x:v>
      </x:c>
    </x:row>
    <x:row r="151" ht="64" customHeight="1">
      <x:c r="A151" s="28" t="str">
        <x:v>NCT-0675</x:v>
      </x:c>
      <x:c r="B151" s="28" t="str">
        <x:v>шоколад</x:v>
      </x:c>
      <x:c r="C151" s="28" t="str">
        <x:v>свекла</x:v>
      </x:c>
      <x:c r="D151" s="28" t="str">
        <x:v>Овощи, бобовые и грибы</x:v>
      </x:c>
      <x:c r="E151" s="28" t="str">
        <x:v>сенсорная комплементарность</x:v>
      </x:c>
      <x:c r="F15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«свекла» относится к группе «Овощи, бобовые и грибы» и даёт землистый, сладкий.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5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1" s="28" t="str">
        <x:v>горечь и терпкость способны подавлять нежные продукты; содержит стимуляторы; аллергенные добавки возможны</x:v>
      </x:c>
      <x:c r="I151" s="28" t="str">
        <x:v>ганаш, плитка, крем, мусс, напиток, глазурь или соус с свекла</x:v>
      </x:c>
      <x:c r="J151" s="28" t="str">
        <x:v>Средняя</x:v>
      </x:c>
      <x:c r="K151" s="28" t="str">
        <x:v>Тезариус вкусов (Ники Сегнит)(1).pdf</x:v>
      </x:c>
      <x:c r="L151" s="28" t="str">
        <x:v>Тезариус вкусов (Ники Сегнит)(1).pdf: 35, 227</x:v>
      </x:c>
    </x:row>
    <x:row r="152" ht="64" customHeight="1">
      <x:c r="A152" s="28" t="str">
        <x:v>NCT-0679</x:v>
      </x:c>
      <x:c r="B152" s="28" t="str">
        <x:v>шоколад</x:v>
      </x:c>
      <x:c r="C152" s="28" t="str">
        <x:v>соевый соус</x:v>
      </x:c>
      <x:c r="D152" s="28" t="str">
        <x:v>Ферментированные продукты и соусы</x:v>
      </x:c>
      <x:c r="E152" s="28" t="str">
        <x:v>общие ароматические соединения, пересечение ароматических семейств, солёно-умами контраст</x:v>
      </x:c>
      <x:c r="F15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фураны, эфиры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пиразины, фураны, эфиры.</x:v>
      </x:c>
      <x:c r="G15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2" s="28" t="str">
        <x:v>горечь и терпкость способны подавлять нежные продукты; содержит стимуляторы; аллергенные добавки возможны</x:v>
      </x:c>
      <x:c r="I152" s="28" t="str">
        <x:v>ганаш, плитка, крем, мусс, напиток, глазурь или соус с соевый соус</x:v>
      </x:c>
      <x:c r="J152" s="28" t="str">
        <x:v>Высокая</x:v>
      </x:c>
      <x:c r="K152" s="28" t="str">
        <x:v>The Art &amp; Science of Foodpairing.pdf</x:v>
      </x:c>
      <x:c r="L152" s="28" t="str">
        <x:v>The Art &amp; Science of Foodpairing.pdf: 301</x:v>
      </x:c>
    </x:row>
    <x:row r="153" ht="64" customHeight="1">
      <x:c r="A153" s="28" t="str">
        <x:v>NCT-0681</x:v>
      </x:c>
      <x:c r="B153" s="28" t="str">
        <x:v>шоколад</x:v>
      </x:c>
      <x:c r="C153" s="28" t="str">
        <x:v>томат черри</x:v>
      </x:c>
      <x:c r="D153" s="28" t="str">
        <x:v>Овощи, бобовые и грибы</x:v>
      </x:c>
      <x:c r="E153" s="28" t="str">
        <x:v>пересечение ароматических семейств</x:v>
      </x:c>
      <x:c r="F15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«томат черри» относится к группе «Овощи, бобовые и грибы» и даёт зелёный, умами, фруктовый. Профили пересекаются в семействах: фруктовый Какао-масло медленно высвобождает липофильные ароматы, а сахар и соль изменяют воспринимаемую горечь. Итог: фруктовый; механизм не следует сводить к одной общей молекуле.</x:v>
      </x:c>
      <x:c r="G15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3" s="28" t="str">
        <x:v>горечь и терпкость способны подавлять нежные продукты; содержит стимуляторы; аллергенные добавки возможны</x:v>
      </x:c>
      <x:c r="I153" s="28" t="str">
        <x:v>ганаш, плитка, крем, мусс, напиток, глазурь или соус с томат черри</x:v>
      </x:c>
      <x:c r="J153" s="28" t="str">
        <x:v>Средняя</x:v>
      </x:c>
      <x:c r="K153" s="28" t="str">
        <x:v>The Art &amp; Science of Foodpairing.pdf</x:v>
      </x:c>
      <x:c r="L153" s="28" t="str">
        <x:v>The Art &amp; Science of Foodpairing.pdf: 62</x:v>
      </x:c>
    </x:row>
    <x:row r="154" ht="64" customHeight="1">
      <x:c r="A154" s="28" t="str">
        <x:v>NCT-0682</x:v>
      </x:c>
      <x:c r="B154" s="28" t="str">
        <x:v>шоколад</x:v>
      </x:c>
      <x:c r="C154" s="28" t="str">
        <x:v>томаты</x:v>
      </x:c>
      <x:c r="D154" s="28" t="str">
        <x:v>Овощи, бобовые и грибы</x:v>
      </x:c>
      <x:c r="E154" s="28" t="str">
        <x:v>пересечение ароматических семейств</x:v>
      </x:c>
      <x:c r="F15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«томаты» относится к группе «Овощи, бобовые и грибы» и даёт зелёный, умами, фруктовый. Профили пересекаются в семействах: фруктовый Какао-масло медленно высвобождает липофильные ароматы, а сахар и соль изменяют воспринимаемую горечь. Итог: фруктовый; механизм не следует сводить к одной общей молекуле.</x:v>
      </x:c>
      <x:c r="G15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4" s="28" t="str">
        <x:v>горечь и терпкость способны подавлять нежные продукты; содержит стимуляторы; аллергенные добавки возможны</x:v>
      </x:c>
      <x:c r="I154" s="28" t="str">
        <x:v>ганаш, плитка, крем, мусс, напиток, глазурь или соус с томаты</x:v>
      </x:c>
      <x:c r="J154" s="28" t="str">
        <x:v>Средняя</x:v>
      </x:c>
      <x:c r="K154" s="28" t="str">
        <x:v>Тезариус вкусов (Ники Сегнит)(1).pdf</x:v>
      </x:c>
      <x:c r="L154" s="28" t="str">
        <x:v>Тезариус вкусов (Ники Сегнит)(1).pdf: 35, 691</x:v>
      </x:c>
    </x:row>
    <x:row r="155" ht="64" customHeight="1">
      <x:c r="A155" s="28" t="str">
        <x:v>NCT-0684</x:v>
      </x:c>
      <x:c r="B155" s="28" t="str">
        <x:v>шоколад</x:v>
      </x:c>
      <x:c r="C155" s="28" t="str">
        <x:v>тыква</x:v>
      </x:c>
      <x:c r="D155" s="28" t="str">
        <x:v>Овощи, бобовые и грибы</x:v>
      </x:c>
      <x:c r="E155" s="28" t="str">
        <x:v>общие ароматические соединения</x:v>
      </x:c>
      <x:c r="F15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«тыква»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5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5" s="28" t="str">
        <x:v>горечь и терпкость способны подавлять нежные продукты; содержит стимуляторы; аллергенные добавки возможны</x:v>
      </x:c>
      <x:c r="I155" s="28" t="str">
        <x:v>ганаш, плитка, крем, мусс, напиток, глазурь или соус с тыква</x:v>
      </x:c>
      <x:c r="J155" s="28" t="str">
        <x:v>Гипотеза / практическая</x:v>
      </x:c>
      <x:c r="K155" s="28" t="str">
        <x:v>Таблица сочетания(1).pdf</x:v>
      </x:c>
      <x:c r="L155" s="28" t="str">
        <x:v>Таблица сочетания(1).pdf: 18</x:v>
      </x:c>
    </x:row>
    <x:row r="156" ht="64" customHeight="1">
      <x:c r="A156" s="28" t="str">
        <x:v>NCT-0686</x:v>
      </x:c>
      <x:c r="B156" s="28" t="str">
        <x:v>шоколад</x:v>
      </x:c>
      <x:c r="C156" s="28" t="str">
        <x:v>цветная капуста</x:v>
      </x:c>
      <x:c r="D156" s="28" t="str">
        <x:v>Овощи, бобовые и грибы</x:v>
      </x:c>
      <x:c r="E156" s="28" t="str">
        <x:v>общие ароматические соединения</x:v>
      </x:c>
      <x:c r="F15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«цветная капуста»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5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6" s="28" t="str">
        <x:v>горечь и терпкость способны подавлять нежные продукты; содержит стимуляторы; аллергенные добавки возможны</x:v>
      </x:c>
      <x:c r="I156" s="28" t="str">
        <x:v>ганаш, плитка, крем, мусс, напиток, глазурь или соус с цветная капуста</x:v>
      </x:c>
      <x:c r="J156" s="28" t="str">
        <x:v>Высокая</x:v>
      </x:c>
      <x:c r="K156" s="28" t="str">
        <x:v>The Art &amp; Science of Foodpairing.pdf | Тезариус вкусов (Ники Сегнит)(1).pdf</x:v>
      </x:c>
      <x:c r="L156" s="28" t="str">
        <x:v>The Art &amp; Science of Foodpairing.pdf: 63; Тезариус вкусов (Ники Сегнит)(1).pdf: 37, 327</x:v>
      </x:c>
    </x:row>
    <x:row r="157" ht="64" customHeight="1">
      <x:c r="A157" s="28" t="str">
        <x:v>NCT-0698</x:v>
      </x:c>
      <x:c r="B157" s="28" t="str">
        <x:v>шоколад</x:v>
      </x:c>
      <x:c r="C157" s="28" t="str">
        <x:v>японский соевый соус</x:v>
      </x:c>
      <x:c r="D157" s="28" t="str">
        <x:v>Ферментированные продукты и соусы</x:v>
      </x:c>
      <x:c r="E157" s="28" t="str">
        <x:v>общие ароматические соединения, пересечение ароматических семейств, солёно-умами контраст</x:v>
      </x:c>
      <x:c r="F15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«японский 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фураны, эфиры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пиразины, фураны, эфиры.</x:v>
      </x:c>
      <x:c r="G15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7" s="28" t="str">
        <x:v>горечь и терпкость способны подавлять нежные продукты; содержит стимуляторы; аллергенные добавки возможны</x:v>
      </x:c>
      <x:c r="I157" s="28" t="str">
        <x:v>ганаш, плитка, крем, мусс, напиток, глазурь или соус с японский соевый соус</x:v>
      </x:c>
      <x:c r="J157" s="28" t="str">
        <x:v>Средняя</x:v>
      </x:c>
      <x:c r="K157" s="28" t="str">
        <x:v>The Art &amp; Science of Foodpairing.pdf</x:v>
      </x:c>
      <x:c r="L157" s="28" t="str">
        <x:v>The Art &amp; Science of Foodpairing.pdf: 62</x:v>
      </x:c>
    </x:row>
  </x:sheetData>
  <x:conditionalFormatting sqref="J2:J157">
    <x:cfRule type="expression" dxfId="18" priority="1">
      <x:formula>J2="Высокая"</x:formula>
    </x:cfRule>
    <x:cfRule type="expression" dxfId="19" priority="2">
      <x:formula>J2="Средняя"</x:formula>
    </x:cfRule>
    <x:cfRule type="expression" dxfId="20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12f7e7a4454a3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31" hidden="0" customWidth="1"/>
    <x:col min="4" max="4" width="29" hidden="0" customWidth="1"/>
    <x:col min="5" max="5" width="39" hidden="0" customWidth="1"/>
    <x:col min="6" max="6" width="68" hidden="0" customWidth="1"/>
    <x:col min="7" max="7" width="55" hidden="0" customWidth="1"/>
    <x:col min="8" max="8" width="55" hidden="0" customWidth="1"/>
    <x:col min="9" max="9" width="49" hidden="0" customWidth="1"/>
    <x:col min="10" max="10" width="22" hidden="0" customWidth="1"/>
    <x:col min="11" max="11" width="40" hidden="0" customWidth="1"/>
    <x:col min="12" max="12" width="48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4" customHeight="1">
      <x:c r="A2" s="28" t="str">
        <x:v>NCT-0001</x:v>
      </x:c>
      <x:c r="B2" s="28" t="str">
        <x:v>арахис</x:v>
      </x:c>
      <x:c r="C2" s="28" t="str">
        <x:v>fish</x:v>
      </x:c>
      <x:c r="D2" s="28" t="str">
        <x:v>Рыба и морепродукты</x:v>
      </x:c>
      <x:c r="E2" s="28" t="str">
        <x:v>общие ароматические соединения, солёно-умами контраст</x:v>
      </x:c>
      <x:c r="F2" s="28" t="str">
        <x:v>Арахис имеет профиль «бобовый и зелёный в сыром виде; жареный, ореховый и какаоподобный после обжарки».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" s="28" t="str">
        <x:v>сильный аллерген; риск прогоркания и загрязнения плесенью при плохом хранении; малейшая прогорклость ореха или шоколада усиливает неприятные рыбные оттенки</x:v>
      </x:c>
      <x:c r="I2" s="28" t="str">
        <x:v>пралине, паста, выпечка, гарнир, соус, молочный или коктейльный компонент с fish</x:v>
      </x:c>
      <x:c r="J2" s="28" t="str">
        <x:v>Средняя</x:v>
      </x:c>
      <x:c r="K2" s="28" t="str">
        <x:v>The Art &amp; Science of Foodpairing.pdf</x:v>
      </x:c>
      <x:c r="L2" s="28" t="str">
        <x:v>The Art &amp; Science of Foodpairing.pdf: 104</x:v>
      </x:c>
    </x:row>
    <x:row r="3" ht="64" customHeight="1">
      <x:c r="A3" s="28" t="str">
        <x:v>NCT-0002</x:v>
      </x:c>
      <x:c r="B3" s="28" t="str">
        <x:v>арахис</x:v>
      </x:c>
      <x:c r="C3" s="28" t="str">
        <x:v>garlic</x:v>
      </x:c>
      <x:c r="D3" s="28" t="str">
        <x:v>Овощи, бобовые и грибы</x:v>
      </x:c>
      <x:c r="E3" s="28" t="str">
        <x:v>общие ароматические соединения</x:v>
      </x:c>
      <x:c r="F3" s="28" t="str">
        <x:v>Арахис имеет профиль «бобовый и зелёный в сыром виде; жареный, ореховый и какаоподобный после обжарки». Партнёр «garlic»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" s="28" t="str">
        <x:v>сильный аллерген; риск прогоркания и загрязнения плесенью при плохом хранении</x:v>
      </x:c>
      <x:c r="I3" s="28" t="str">
        <x:v>пралине, паста, выпечка, гарнир, соус, молочный или коктейльный компонент с garlic</x:v>
      </x:c>
      <x:c r="J3" s="28" t="str">
        <x:v>Средняя</x:v>
      </x:c>
      <x:c r="K3" s="28" t="str">
        <x:v>The Art &amp; Science of Foodpairing.pdf</x:v>
      </x:c>
      <x:c r="L3" s="28" t="str">
        <x:v>The Art &amp; Science of Foodpairing.pdf: 113, 114</x:v>
      </x:c>
    </x:row>
    <x:row r="4" ht="64" customHeight="1">
      <x:c r="A4" s="28" t="str">
        <x:v>NCT-0003</x:v>
      </x:c>
      <x:c r="B4" s="28" t="str">
        <x:v>арахис</x:v>
      </x:c>
      <x:c r="C4" s="28" t="str">
        <x:v>lberico ham</x:v>
      </x:c>
      <x:c r="D4" s="28" t="str">
        <x:v>Мясо и птица</x:v>
      </x:c>
      <x:c r="E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" s="28" t="str">
        <x:v>Арахис имеет профиль «бобовый и зелёный в сыром виде; жареный, ореховый и какаоподобный после обжарки».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4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4" s="28" t="str">
        <x:v>сильный аллерген; риск прогоркания и загрязнения плесенью при плохом хранении</x:v>
      </x:c>
      <x:c r="I4" s="28" t="str">
        <x:v>пралине, паста, выпечка, гарнир, соус, молочный или коктейльный компонент с lberico ham</x:v>
      </x:c>
      <x:c r="J4" s="28" t="str">
        <x:v>Высокая</x:v>
      </x:c>
      <x:c r="K4" s="28" t="str">
        <x:v>The Art &amp; Science of Foodpairing.pdf</x:v>
      </x:c>
      <x:c r="L4" s="28" t="str">
        <x:v>The Art &amp; Science of Foodpairing.pdf: 278</x:v>
      </x:c>
    </x:row>
    <x:row r="5" ht="64" customHeight="1">
      <x:c r="A5" s="28" t="str">
        <x:v>NCT-0004</x:v>
      </x:c>
      <x:c r="B5" s="28" t="str">
        <x:v>арахис</x:v>
      </x:c>
      <x:c r="C5" s="28" t="str">
        <x:v>meat</x:v>
      </x:c>
      <x:c r="D5" s="28" t="str">
        <x:v>Мясо и птица</x:v>
      </x:c>
      <x:c r="E5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" s="28" t="str">
        <x:v>Арахис имеет профиль «бобовый и зелёный в сыром виде; жареный, ореховый и какаоподобный после обжарки». Партнёр «meat»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5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5" s="28" t="str">
        <x:v>сильный аллерген; риск прогоркания и загрязнения плесенью при плохом хранении</x:v>
      </x:c>
      <x:c r="I5" s="28" t="str">
        <x:v>пралине, паста, выпечка, гарнир, соус, молочный или коктейльный компонент с meat</x:v>
      </x:c>
      <x:c r="J5" s="28" t="str">
        <x:v>Средняя</x:v>
      </x:c>
      <x:c r="K5" s="28" t="str">
        <x:v>The Art &amp; Science of Foodpairing.pdf</x:v>
      </x:c>
      <x:c r="L5" s="28" t="str">
        <x:v>The Art &amp; Science of Foodpairing.pdf: 186</x:v>
      </x:c>
    </x:row>
    <x:row r="6" ht="64" customHeight="1">
      <x:c r="A6" s="28" t="str">
        <x:v>NCT-0005</x:v>
      </x:c>
      <x:c r="B6" s="28" t="str">
        <x:v>арахис</x:v>
      </x:c>
      <x:c r="C6" s="28" t="str">
        <x:v>sesame seeds, halva and tahini</x:v>
      </x:c>
      <x:c r="D6" s="28" t="str">
        <x:v>Прочее</x:v>
      </x:c>
      <x:c r="E6" s="28" t="str">
        <x:v>сенсорная комплементарность</x:v>
      </x:c>
      <x:c r="F6" s="28" t="str">
        <x:v>Арахис имеет профиль «бобовый и зелёный в сыром виде; жареный, ореховый и какаоподобный после обжарки». Партнёр «sesame seeds, halva and tahini»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6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6" s="28" t="str">
        <x:v>сильный аллерген; риск прогоркания и загрязнения плесенью при плохом хранении</x:v>
      </x:c>
      <x:c r="I6" s="28" t="str">
        <x:v>пралине, паста, выпечка, гарнир, соус, молочный или коктейльный компонент с sesame seeds, halva and tahini</x:v>
      </x:c>
      <x:c r="J6" s="28" t="str">
        <x:v>Средняя</x:v>
      </x:c>
      <x:c r="K6" s="28" t="str">
        <x:v>The Art &amp; Science of Foodpairing.pdf</x:v>
      </x:c>
      <x:c r="L6" s="28" t="str">
        <x:v>The Art &amp; Science of Foodpairing.pdf: 308</x:v>
      </x:c>
    </x:row>
    <x:row r="7" ht="64" customHeight="1">
      <x:c r="A7" s="28" t="str">
        <x:v>NCT-0006</x:v>
      </x:c>
      <x:c r="B7" s="28" t="str">
        <x:v>арахис</x:v>
      </x:c>
      <x:c r="C7" s="28" t="str">
        <x:v>sweet potato</x:v>
      </x:c>
      <x:c r="D7" s="28" t="str">
        <x:v>Овощи, бобовые и грибы</x:v>
      </x:c>
      <x:c r="E7" s="28" t="str">
        <x:v>общие ароматические соединения</x:v>
      </x:c>
      <x:c r="F7" s="28" t="str">
        <x:v>Арахис имеет профиль «бобовый и зелёный в сыром виде; жареный, ореховый и какаоподобный после обжарки». Партнёр «sweet potato»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7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7" s="28" t="str">
        <x:v>сильный аллерген; риск прогоркания и загрязнения плесенью при плохом хранении</x:v>
      </x:c>
      <x:c r="I7" s="28" t="str">
        <x:v>пралине, паста, выпечка, гарнир, соус, молочный или коктейльный компонент с sweet potato</x:v>
      </x:c>
      <x:c r="J7" s="28" t="str">
        <x:v>Средняя</x:v>
      </x:c>
      <x:c r="K7" s="28" t="str">
        <x:v>The Art &amp; Science of Foodpairing.pdf</x:v>
      </x:c>
      <x:c r="L7" s="28" t="str">
        <x:v>The Art &amp; Science of Foodpairing.pdf: 119</x:v>
      </x:c>
    </x:row>
    <x:row r="8" ht="64" customHeight="1">
      <x:c r="A8" s="28" t="str">
        <x:v>NCT-0007</x:v>
      </x:c>
      <x:c r="B8" s="28" t="str">
        <x:v>арахис</x:v>
      </x:c>
      <x:c r="C8" s="28" t="str">
        <x:v>ананас</x:v>
      </x:c>
      <x:c r="D8" s="28" t="str">
        <x:v>Прочее</x:v>
      </x:c>
      <x:c r="E8" s="28" t="str">
        <x:v>сенсорная комплементарность</x:v>
      </x:c>
      <x:c r="F8" s="28" t="str">
        <x:v>Арахис имеет профиль «бобовый и зелёный в сыром виде; жареный, ореховый и какаоподобный после обжарки». Партнёр «ананас»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8" s="28" t="str">
        <x:v>сильный аллерген; риск прогоркания и загрязнения плесенью при плохом хранении</x:v>
      </x:c>
      <x:c r="I8" s="28" t="str">
        <x:v>пралине, паста, выпечка, гарнир, соус, молочный или коктейльный компонент с ананас</x:v>
      </x:c>
      <x:c r="J8" s="28" t="str">
        <x:v>Гипотеза / практическая</x:v>
      </x:c>
      <x:c r="K8" s="28" t="str">
        <x:v>Таблица сочетания(1).pdf</x:v>
      </x:c>
      <x:c r="L8" s="28" t="str">
        <x:v>Таблица сочетания(1).pdf: 17</x:v>
      </x:c>
    </x:row>
    <x:row r="9" ht="64" customHeight="1">
      <x:c r="A9" s="28" t="str">
        <x:v>NCT-0008</x:v>
      </x:c>
      <x:c r="B9" s="28" t="str">
        <x:v>арахис</x:v>
      </x:c>
      <x:c r="C9" s="28" t="str">
        <x:v>банан</x:v>
      </x:c>
      <x:c r="D9" s="28" t="str">
        <x:v>Фрукты и ягоды</x:v>
      </x:c>
      <x:c r="E9" s="28" t="str">
        <x:v>контраст кислоты и жирной/горькой матрицы</x:v>
      </x:c>
      <x:c r="F9" s="28" t="str">
        <x:v>Арахис имеет профиль «бобовый и зелёный в сыром виде; жареный, ореховый и какаоподобный после обжарки».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9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9" s="28" t="str">
        <x:v>сильный аллерген; риск прогоркания и загрязнения плесенью при плохом хранении; избыток кислоты может сделать чай или кофе резкими и разрушить молочную эмульсию</x:v>
      </x:c>
      <x:c r="I9" s="28" t="str">
        <x:v>пралине, паста, выпечка, гарнир, соус, молочный или коктейльный компонент с банан</x:v>
      </x:c>
      <x:c r="J9" s="28" t="str">
        <x:v>Высокая</x:v>
      </x:c>
      <x:c r="K9" s="28" t="str">
        <x:v>Таблица сочетания(1).pdf | Тезариус вкусов (Ники Сегнит)(1).pdf</x:v>
      </x:c>
      <x:c r="L9" s="28" t="str">
        <x:v>Таблица сочетания(1).pdf: 15; Тезариус вкусов (Ники Сегнит)(1).pdf: 50, 729</x:v>
      </x:c>
    </x:row>
    <x:row r="10" ht="64" customHeight="1">
      <x:c r="A10" s="28" t="str">
        <x:v>NCT-0009</x:v>
      </x:c>
      <x:c r="B10" s="28" t="str">
        <x:v>арахис</x:v>
      </x:c>
      <x:c r="C10" s="28" t="str">
        <x:v>баранина</x:v>
      </x:c>
      <x:c r="D10" s="28" t="str">
        <x:v>Мясо и птица</x:v>
      </x:c>
      <x:c r="E1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0" s="28" t="str">
        <x:v>Арахис имеет профиль «бобовый и зелёный в сыром виде; жареный, ореховый и какаоподобный после обжарки». Партнёр «баранина»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10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0" s="28" t="str">
        <x:v>сильный аллерген; риск прогоркания и загрязнения плесенью при плохом хранении</x:v>
      </x:c>
      <x:c r="I10" s="28" t="str">
        <x:v>пралине, паста, выпечка, гарнир, соус, молочный или коктейльный компонент с баранина</x:v>
      </x:c>
      <x:c r="J10" s="28" t="str">
        <x:v>Средняя</x:v>
      </x:c>
      <x:c r="K10" s="28" t="str">
        <x:v>Тезариус вкусов (Ники Сегнит)(1).pdf</x:v>
      </x:c>
      <x:c r="L10" s="28" t="str">
        <x:v>Тезариус вкусов (Ники Сегнит)(1).pdf: 50, 125</x:v>
      </x:c>
    </x:row>
    <x:row r="11" ht="64" customHeight="1">
      <x:c r="A11" s="28" t="str">
        <x:v>NCT-0010</x:v>
      </x:c>
      <x:c r="B11" s="28" t="str">
        <x:v>арахис</x:v>
      </x:c>
      <x:c r="C11" s="28" t="str">
        <x:v>брокколи</x:v>
      </x:c>
      <x:c r="D11" s="28" t="str">
        <x:v>Прочее</x:v>
      </x:c>
      <x:c r="E11" s="28" t="str">
        <x:v>сенсорная комплементарность</x:v>
      </x:c>
      <x:c r="F11" s="28" t="str">
        <x:v>Арахис имеет профиль «бобовый и зелёный в сыром виде; жареный, ореховый и какаоподобный после обжарки». Партнёр «брокколи»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1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1" s="28" t="str">
        <x:v>сильный аллерген; риск прогоркания и загрязнения плесенью при плохом хранении</x:v>
      </x:c>
      <x:c r="I11" s="28" t="str">
        <x:v>пралине, паста, выпечка, гарнир, соус, молочный или коктейльный компонент с брокколи</x:v>
      </x:c>
      <x:c r="J11" s="28" t="str">
        <x:v>Средняя</x:v>
      </x:c>
      <x:c r="K11" s="28" t="str">
        <x:v>Тезариус вкусов (Ники Сегнит)(1).pdf</x:v>
      </x:c>
      <x:c r="L11" s="28" t="str">
        <x:v>Тезариус вкусов (Ники Сегнит)(1).pdf: 51, 329</x:v>
      </x:c>
    </x:row>
    <x:row r="12" ht="64" customHeight="1">
      <x:c r="A12" s="28" t="str">
        <x:v>NCT-0011</x:v>
      </x:c>
      <x:c r="B12" s="28" t="str">
        <x:v>арахис</x:v>
      </x:c>
      <x:c r="C12" s="28" t="str">
        <x:v>ваниль</x:v>
      </x:c>
      <x:c r="D12" s="28" t="str">
        <x:v>Специи</x:v>
      </x:c>
      <x:c r="E12" s="28" t="str">
        <x:v>сенсорная комплементарность</x:v>
      </x:c>
      <x:c r="F12" s="28" t="str">
        <x:v>Арахис имеет профиль «бобовый и зелёный в сыром виде; жареный, ореховый и какаоподобный после обжарки».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2" s="28" t="str">
        <x:v>сильный аллерген; риск прогоркания и загрязнения плесенью при плохом хранении</x:v>
      </x:c>
      <x:c r="I12" s="28" t="str">
        <x:v>пралине, паста, выпечка, гарнир, соус, молочный или коктейльный компонент с ваниль</x:v>
      </x:c>
      <x:c r="J12" s="28" t="str">
        <x:v>Средняя</x:v>
      </x:c>
      <x:c r="K12" s="28" t="str">
        <x:v>Тезариус вкусов (Ники Сегнит)(1).pdf</x:v>
      </x:c>
      <x:c r="L12" s="28" t="str">
        <x:v>Тезариус вкусов (Ники Сегнит)(1).pdf: 51, 914</x:v>
      </x:c>
    </x:row>
    <x:row r="13" ht="64" customHeight="1">
      <x:c r="A13" s="28" t="str">
        <x:v>NCT-0012</x:v>
      </x:c>
      <x:c r="B13" s="28" t="str">
        <x:v>арахис</x:v>
      </x:c>
      <x:c r="C13" s="28" t="str">
        <x:v>виноград</x:v>
      </x:c>
      <x:c r="D13" s="28" t="str">
        <x:v>Алкогольные напитки</x:v>
      </x:c>
      <x:c r="E13" s="28" t="str">
        <x:v>общие ароматические соединения</x:v>
      </x:c>
      <x:c r="F13" s="28" t="str">
        <x:v>Арахис имеет профиль «бобовый и зелёный в сыром виде; жареный, ореховый и какаоподобный после обжарки». Партнёр «виноград» относится к группе «Алкогольные напитки» и даёт спиртовой, фруктовый или древесный.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3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3" s="28" t="str">
        <x:v>сильный аллерген; риск прогоркания и загрязнения плесенью при плохом хранении</x:v>
      </x:c>
      <x:c r="I13" s="28" t="str">
        <x:v>пралине, паста, выпечка, гарнир, соус, молочный или коктейльный компонент с виноград</x:v>
      </x:c>
      <x:c r="J13" s="28" t="str">
        <x:v>Средняя</x:v>
      </x:c>
      <x:c r="K13" s="28" t="str">
        <x:v>Тезариус вкусов (Ники Сегнит)(1).pdf</x:v>
      </x:c>
      <x:c r="L13" s="28" t="str">
        <x:v>Тезариус вкусов (Ники Сегнит)(1).pdf: 52, 665</x:v>
      </x:c>
    </x:row>
    <x:row r="14" ht="64" customHeight="1">
      <x:c r="A14" s="28" t="str">
        <x:v>NCT-0013</x:v>
      </x:c>
      <x:c r="B14" s="28" t="str">
        <x:v>арахис</x:v>
      </x:c>
      <x:c r="C14" s="28" t="str">
        <x:v>говядина</x:v>
      </x:c>
      <x:c r="D14" s="28" t="str">
        <x:v>Мясо и птица</x:v>
      </x:c>
      <x:c r="E1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4" s="28" t="str">
        <x:v>Арахис имеет профиль «бобовый и зелёный в сыром виде; жареный, ореховый и какаоподобный после обжарки». Партнёр «говядина»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14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4" s="28" t="str">
        <x:v>сильный аллерген; риск прогоркания и загрязнения плесенью при плохом хранении</x:v>
      </x:c>
      <x:c r="I14" s="28" t="str">
        <x:v>пралине, паста, выпечка, гарнир, соус, молочный или коктейльный компонент с говядина</x:v>
      </x:c>
      <x:c r="J14" s="28" t="str">
        <x:v>Средняя</x:v>
      </x:c>
      <x:c r="K14" s="28" t="str">
        <x:v>Тезариус вкусов (Ники Сегнит)(1).pdf</x:v>
      </x:c>
      <x:c r="L14" s="28" t="str">
        <x:v>Тезариус вкусов (Ники Сегнит)(1).pdf: 52</x:v>
      </x:c>
    </x:row>
    <x:row r="15" ht="64" customHeight="1">
      <x:c r="A15" s="28" t="str">
        <x:v>NCT-0014</x:v>
      </x:c>
      <x:c r="B15" s="28" t="str">
        <x:v>арахис</x:v>
      </x:c>
      <x:c r="C15" s="28" t="str">
        <x:v>груша</x:v>
      </x:c>
      <x:c r="D15" s="28" t="str">
        <x:v>Фрукты и ягоды</x:v>
      </x:c>
      <x:c r="E15" s="28" t="str">
        <x:v>общие ароматические соединения, контраст кислоты и жирной/горькой матрицы</x:v>
      </x:c>
      <x:c r="F15" s="28" t="str">
        <x:v>Арахис имеет профиль «бобовый и зелёный в сыром виде; жареный, ореховый и какаоподобный после обжарки». Партнёр «груша»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5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5" s="28" t="str">
        <x:v>сильный аллерген; риск прогоркания и загрязнения плесенью при плохом хранении; избыток кислоты может сделать чай или кофе резкими и разрушить молочную эмульсию</x:v>
      </x:c>
      <x:c r="I15" s="28" t="str">
        <x:v>пралине, паста, выпечка, гарнир, соус, молочный или коктейльный компонент с груша</x:v>
      </x:c>
      <x:c r="J15" s="28" t="str">
        <x:v>Гипотеза / практическая</x:v>
      </x:c>
      <x:c r="K15" s="28" t="str">
        <x:v>Таблица сочетания(1).pdf</x:v>
      </x:c>
      <x:c r="L15" s="28" t="str">
        <x:v>Таблица сочетания(1).pdf: 16</x:v>
      </x:c>
    </x:row>
    <x:row r="16" ht="64" customHeight="1">
      <x:c r="A16" s="28" t="str">
        <x:v>NCT-0015</x:v>
      </x:c>
      <x:c r="B16" s="28" t="str">
        <x:v>арахис</x:v>
      </x:c>
      <x:c r="C16" s="28" t="str">
        <x:v>имбирь</x:v>
      </x:c>
      <x:c r="D16" s="28" t="str">
        <x:v>Специи</x:v>
      </x:c>
      <x:c r="E16" s="28" t="str">
        <x:v>сенсорная комплементарность</x:v>
      </x:c>
      <x:c r="F16" s="28" t="str">
        <x:v>Арахис имеет профиль «бобовый и зелёный в сыром виде; жареный, ореховый и какаоподобный после обжарки». Партнёр «имбирь» относится к группе «Специи» и даёт пряный, тёплый,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6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6" s="28" t="str">
        <x:v>сильный аллерген; риск прогоркания и загрязнения плесенью при плохом хранении</x:v>
      </x:c>
      <x:c r="I16" s="28" t="str">
        <x:v>пралине, паста, выпечка, гарнир, соус, молочный или коктейльный компонент с имбирь</x:v>
      </x:c>
      <x:c r="J16" s="28" t="str">
        <x:v>Средняя</x:v>
      </x:c>
      <x:c r="K16" s="28" t="str">
        <x:v>The Art &amp; Science of Foodpairing.pdf</x:v>
      </x:c>
      <x:c r="L16" s="28" t="str">
        <x:v>The Art &amp; Science of Foodpairing.pdf: 142</x:v>
      </x:c>
    </x:row>
    <x:row r="17" ht="64" customHeight="1">
      <x:c r="A17" s="28" t="str">
        <x:v>NCT-0016</x:v>
      </x:c>
      <x:c r="B17" s="28" t="str">
        <x:v>арахис</x:v>
      </x:c>
      <x:c r="C17" s="28" t="str">
        <x:v>картофель</x:v>
      </x:c>
      <x:c r="D17" s="28" t="str">
        <x:v>Овощи, бобовые и грибы</x:v>
      </x:c>
      <x:c r="E17" s="28" t="str">
        <x:v>общие ароматические соединения</x:v>
      </x:c>
      <x:c r="F17" s="28" t="str">
        <x:v>Арахис имеет профиль «бобовый и зелёный в сыром виде; жареный, ореховый и какаоподобный после обжарки». Партнёр «картофель»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7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7" s="28" t="str">
        <x:v>сильный аллерген; риск прогоркания и загрязнения плесенью при плохом хранении</x:v>
      </x:c>
      <x:c r="I17" s="28" t="str">
        <x:v>пралине, паста, выпечка, гарнир, соус, молочный или коктейльный компонент с картофель</x:v>
      </x:c>
      <x:c r="J17" s="28" t="str">
        <x:v>Средняя</x:v>
      </x:c>
      <x:c r="K17" s="28" t="str">
        <x:v>Тезариус вкусов (Ники Сегнит)(1).pdf</x:v>
      </x:c>
      <x:c r="L17" s="28" t="str">
        <x:v>Тезариус вкусов (Ники Сегнит)(1).pdf: 53, 230</x:v>
      </x:c>
    </x:row>
    <x:row r="18" ht="64" customHeight="1">
      <x:c r="A18" s="28" t="str">
        <x:v>NCT-0017</x:v>
      </x:c>
      <x:c r="B18" s="28" t="str">
        <x:v>арахис</x:v>
      </x:c>
      <x:c r="C18" s="28" t="str">
        <x:v>клубника</x:v>
      </x:c>
      <x:c r="D18" s="28" t="str">
        <x:v>Прочее</x:v>
      </x:c>
      <x:c r="E18" s="28" t="str">
        <x:v>сенсорная комплементарность</x:v>
      </x:c>
      <x:c r="F18" s="28" t="str">
        <x:v>Арахис имеет профиль «бобовый и зелёный в сыром виде; жареный, ореховый и какаоподобный после обжарки». Партнёр «клубника» относится к группе «Прочее» и даёт зелёный, карамельный, фруктовый.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8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8" s="28" t="str">
        <x:v>сильный аллерген; риск прогоркания и загрязнения плесенью при плохом хранении</x:v>
      </x:c>
      <x:c r="I18" s="28" t="str">
        <x:v>пралине, паста, выпечка, гарнир, соус, молочный или коктейльный компонент с клубника</x:v>
      </x:c>
      <x:c r="J18" s="28" t="str">
        <x:v>Гипотеза / практическая</x:v>
      </x:c>
      <x:c r="K18" s="28" t="str">
        <x:v>Таблица сочетания(1).pdf</x:v>
      </x:c>
      <x:c r="L18" s="28" t="str">
        <x:v>Таблица сочетания(1).pdf: 15</x:v>
      </x:c>
    </x:row>
    <x:row r="19" ht="64" customHeight="1">
      <x:c r="A19" s="28" t="str">
        <x:v>NCT-0018</x:v>
      </x:c>
      <x:c r="B19" s="28" t="str">
        <x:v>арахис</x:v>
      </x:c>
      <x:c r="C19" s="28" t="str">
        <x:v>кокос</x:v>
      </x:c>
      <x:c r="D19" s="28" t="str">
        <x:v>Прочее</x:v>
      </x:c>
      <x:c r="E19" s="28" t="str">
        <x:v>сенсорная комплементарность</x:v>
      </x:c>
      <x:c r="F19" s="28" t="str">
        <x:v>Арахис имеет профиль «бобовый и зелёный в сыром виде; жареный, ореховый и какаоподобный после обжарки». Партнёр «кокос» относится к группе «Прочее» и даёт лактонный, сливочный.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9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9" s="28" t="str">
        <x:v>сильный аллерген; риск прогоркания и загрязнения плесенью при плохом хранении</x:v>
      </x:c>
      <x:c r="I19" s="28" t="str">
        <x:v>пралине, паста, выпечка, гарнир, соус, молочный или коктейльный компонент с кокос</x:v>
      </x:c>
      <x:c r="J19" s="28" t="str">
        <x:v>Средняя</x:v>
      </x:c>
      <x:c r="K19" s="28" t="str">
        <x:v>Тезариус вкусов (Ники Сегнит)(1).pdf</x:v>
      </x:c>
      <x:c r="L19" s="28" t="str">
        <x:v>Тезариус вкусов (Ники Сегнит)(1).pdf: 51, 53, 753</x:v>
      </x:c>
    </x:row>
    <x:row r="20" ht="64" customHeight="1">
      <x:c r="A20" s="28" t="str">
        <x:v>NCT-0019</x:v>
      </x:c>
      <x:c r="B20" s="28" t="str">
        <x:v>арахис</x:v>
      </x:c>
      <x:c r="C20" s="28" t="str">
        <x:v>корица</x:v>
      </x:c>
      <x:c r="D20" s="28" t="str">
        <x:v>Специи</x:v>
      </x:c>
      <x:c r="E20" s="28" t="str">
        <x:v>сенсорная комплементарность</x:v>
      </x:c>
      <x:c r="F20" s="28" t="str">
        <x:v>Арахис имеет профиль «бобовый и зелёный в сыром виде; жареный, ореховый и какаоподобный после обжарки». Партнёр «корица» относится к группе «Специи» и даёт древесный, пряный.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0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0" s="28" t="str">
        <x:v>сильный аллерген; риск прогоркания и загрязнения плесенью при плохом хранении</x:v>
      </x:c>
      <x:c r="I20" s="28" t="str">
        <x:v>пралине, паста, выпечка, гарнир, соус, молочный или коктейльный компонент с корица</x:v>
      </x:c>
      <x:c r="J20" s="28" t="str">
        <x:v>Высокая</x:v>
      </x:c>
      <x:c r="K20" s="28" t="str">
        <x:v>Таблица сочетания(1).pdf | Тезариус вкусов (Ники Сегнит)(1).pdf</x:v>
      </x:c>
      <x:c r="L20" s="28" t="str">
        <x:v>Таблица сочетания(1).pdf: 15; Тезариус вкусов (Ники Сегнит)(1).pdf: 54, 574</x:v>
      </x:c>
    </x:row>
    <x:row r="21" ht="64" customHeight="1">
      <x:c r="A21" s="28" t="str">
        <x:v>NCT-0020</x:v>
      </x:c>
      <x:c r="B21" s="28" t="str">
        <x:v>арахис</x:v>
      </x:c>
      <x:c r="C21" s="28" t="str">
        <x:v>кофе</x:v>
      </x:c>
      <x:c r="D21" s="28" t="str">
        <x:v>Кофе</x:v>
      </x:c>
      <x:c r="E21" s="28" t="str">
        <x:v>общие ароматические соединения, пересечение ароматических семейств, жареная химия и реакции Майяра</x:v>
      </x:c>
      <x:c r="F21" s="28" t="str">
        <x:v>Арахис имеет профиль «бобовый и зелёный в сыром виде; жареный, ореховый и какаоподобный после обжарки».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ореховый; пиразины, фураны.</x:v>
      </x:c>
      <x:c r="G21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1" s="28" t="str">
        <x:v>сильный аллерген; риск прогоркания и загрязнения плесенью при плохом хранении</x:v>
      </x:c>
      <x:c r="I21" s="28" t="str">
        <x:v>пралине, паста, выпечка, гарнир, соус, молочный или коктейльный компонент с кофе</x:v>
      </x:c>
      <x:c r="J21" s="28" t="str">
        <x:v>Гипотеза / практическая</x:v>
      </x:c>
      <x:c r="K21" s="28" t="str">
        <x:v>Таблица сочетания(1).pdf</x:v>
      </x:c>
      <x:c r="L21" s="28" t="str">
        <x:v>Таблица сочетания(1).pdf: 15</x:v>
      </x:c>
    </x:row>
    <x:row r="22" ht="64" customHeight="1">
      <x:c r="A22" s="28" t="str">
        <x:v>NCT-0021</x:v>
      </x:c>
      <x:c r="B22" s="28" t="str">
        <x:v>арахис</x:v>
      </x:c>
      <x:c r="C22" s="28" t="str">
        <x:v>лайм</x:v>
      </x:c>
      <x:c r="D22" s="28" t="str">
        <x:v>Фрукты и ягоды</x:v>
      </x:c>
      <x:c r="E22" s="28" t="str">
        <x:v>контраст кислоты и жирной/горькой матрицы</x:v>
      </x:c>
      <x:c r="F22" s="28" t="str">
        <x:v>Арахис имеет профиль «бобовый и зелёный в сыром виде; жареный, ореховый и какаоподобный после обжарки». Партнёр «лайм» относится к группе «Фрукты и ягоды» и даёт зелёный,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2" s="28" t="str">
        <x:v>сильный аллерген; риск прогоркания и загрязнения плесенью при плохом хранении; избыток кислоты может сделать чай или кофе резкими и разрушить молочную эмульсию</x:v>
      </x:c>
      <x:c r="I22" s="28" t="str">
        <x:v>пралине, паста, выпечка, гарнир, соус, молочный или коктейльный компонент с лайм</x:v>
      </x:c>
      <x:c r="J22" s="28" t="str">
        <x:v>Средняя</x:v>
      </x:c>
      <x:c r="K22" s="28" t="str">
        <x:v>Тезариус вкусов (Ники Сегнит)(1).pdf</x:v>
      </x:c>
      <x:c r="L22" s="28" t="str">
        <x:v>Тезариус вкусов (Ники Сегнит)(1).pdf: 54, 792</x:v>
      </x:c>
    </x:row>
    <x:row r="23" ht="64" customHeight="1">
      <x:c r="A23" s="28" t="str">
        <x:v>NCT-0022</x:v>
      </x:c>
      <x:c r="B23" s="28" t="str">
        <x:v>арахис</x:v>
      </x:c>
      <x:c r="C23" s="28" t="str">
        <x:v>листья кориандра</x:v>
      </x:c>
      <x:c r="D23" s="28" t="str">
        <x:v>Травы, цветы и листья</x:v>
      </x:c>
      <x:c r="E23" s="28" t="str">
        <x:v>сенсорная комплементарность</x:v>
      </x:c>
      <x:c r="F23" s="28" t="str">
        <x:v>Арахис имеет профиль «бобовый и зелёный в сыром виде; жареный, ореховый и какаоподобный после обжарки». Партнёр «листья кориандра»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3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3" s="28" t="str">
        <x:v>сильный аллерген; риск прогоркания и загрязнения плесенью при плохом хранении</x:v>
      </x:c>
      <x:c r="I23" s="28" t="str">
        <x:v>пралине, паста, выпечка, гарнир, соус, молочный или коктейльный компонент с листья кориандра</x:v>
      </x:c>
      <x:c r="J23" s="28" t="str">
        <x:v>Средняя</x:v>
      </x:c>
      <x:c r="K23" s="28" t="str">
        <x:v>Тезариус вкусов (Ники Сегнит)(1).pdf</x:v>
      </x:c>
      <x:c r="L23" s="28" t="str">
        <x:v>Тезариус вкусов (Ники Сегнит)(1).pdf: 55, 516</x:v>
      </x:c>
    </x:row>
    <x:row r="24" ht="64" customHeight="1">
      <x:c r="A24" s="28" t="str">
        <x:v>NCT-0023</x:v>
      </x:c>
      <x:c r="B24" s="28" t="str">
        <x:v>арахис</x:v>
      </x:c>
      <x:c r="C24" s="28" t="str">
        <x:v>моллюски</x:v>
      </x:c>
      <x:c r="D24" s="28" t="str">
        <x:v>Прочее</x:v>
      </x:c>
      <x:c r="E24" s="28" t="str">
        <x:v>сенсорная комплементарность</x:v>
      </x:c>
      <x:c r="F24" s="28" t="str">
        <x:v>Арахис имеет профиль «бобовый и зелёный в сыром виде; жареный, ореховый и какаоподобный после обжарки». Партнёр «моллюски»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4" s="28" t="str">
        <x:v>сильный аллерген; риск прогоркания и загрязнения плесенью при плохом хранении</x:v>
      </x:c>
      <x:c r="I24" s="28" t="str">
        <x:v>пралине, паста, выпечка, гарнир, соус, молочный или коктейльный компонент с моллюски</x:v>
      </x:c>
      <x:c r="J24" s="28" t="str">
        <x:v>Средняя</x:v>
      </x:c>
      <x:c r="K24" s="28" t="str">
        <x:v>Тезариус вкусов (Ники Сегнит)(1).pdf</x:v>
      </x:c>
      <x:c r="L24" s="28" t="str">
        <x:v>Тезариус вкусов (Ники Сегнит)(1).pdf: 55, 365</x:v>
      </x:c>
    </x:row>
    <x:row r="25" ht="64" customHeight="1">
      <x:c r="A25" s="28" t="str">
        <x:v>NCT-0024</x:v>
      </x:c>
      <x:c r="B25" s="28" t="str">
        <x:v>арахис</x:v>
      </x:c>
      <x:c r="C25" s="28" t="str">
        <x:v>морковь</x:v>
      </x:c>
      <x:c r="D25" s="28" t="str">
        <x:v>Овощи, бобовые и грибы</x:v>
      </x:c>
      <x:c r="E25" s="28" t="str">
        <x:v>общие ароматические соединения</x:v>
      </x:c>
      <x:c r="F25" s="28" t="str">
        <x:v>Арахис имеет профиль «бобовый и зелёный в сыром виде; жареный, ореховый и какаоподобный после обжарки». Партнёр «морковь»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25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5" s="28" t="str">
        <x:v>сильный аллерген; риск прогоркания и загрязнения плесенью при плохом хранении</x:v>
      </x:c>
      <x:c r="I25" s="28" t="str">
        <x:v>пралине, паста, выпечка, гарнир, соус, молочный или коктейльный компонент с морковь</x:v>
      </x:c>
      <x:c r="J25" s="28" t="str">
        <x:v>Средняя</x:v>
      </x:c>
      <x:c r="K25" s="28" t="str">
        <x:v>Тезариус вкусов (Ники Сегнит)(1).pdf</x:v>
      </x:c>
      <x:c r="L25" s="28" t="str">
        <x:v>Тезариус вкусов (Ники Сегнит)(1).pdf: 55, 602</x:v>
      </x:c>
    </x:row>
    <x:row r="26" ht="64" customHeight="1">
      <x:c r="A26" s="28" t="str">
        <x:v>NCT-0025</x:v>
      </x:c>
      <x:c r="B26" s="28" t="str">
        <x:v>арахис</x:v>
      </x:c>
      <x:c r="C26" s="28" t="str">
        <x:v>мускатный орех</x:v>
      </x:c>
      <x:c r="D26" s="28" t="str">
        <x:v>Орехи и семена</x:v>
      </x:c>
      <x:c r="E26" s="28" t="str">
        <x:v>пересечение ароматических семейств, жареная химия и реакции Майяра</x:v>
      </x:c>
      <x:c r="F26" s="28" t="str">
        <x:v>Арахис имеет профиль «бобовый и зелёный в сыром виде; жареный, ореховый и какаоподобный после обжарки».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механизм не следует сводить к одной общей молекуле.</x:v>
      </x:c>
      <x:c r="G26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6" s="28" t="str">
        <x:v>сильный аллерген; риск прогоркания и загрязнения плесенью при плохом хранении</x:v>
      </x:c>
      <x:c r="I26" s="28" t="str">
        <x:v>пралине, паста, выпечка, гарнир, соус, молочный или коктейльный компонент с мускатный орех</x:v>
      </x:c>
      <x:c r="J26" s="28" t="str">
        <x:v>Гипотеза / практическая</x:v>
      </x:c>
      <x:c r="K26" s="28" t="str">
        <x:v>Таблица сочетания(1).pdf</x:v>
      </x:c>
      <x:c r="L26" s="28" t="str">
        <x:v>Таблица сочетания(1).pdf: 15</x:v>
      </x:c>
    </x:row>
    <x:row r="27" ht="64" customHeight="1">
      <x:c r="A27" s="28" t="str">
        <x:v>NCT-0026</x:v>
      </x:c>
      <x:c r="B27" s="28" t="str">
        <x:v>арахис</x:v>
      </x:c>
      <x:c r="C27" s="28" t="str">
        <x:v>мята</x:v>
      </x:c>
      <x:c r="D27" s="28" t="str">
        <x:v>Травы, цветы и листья</x:v>
      </x:c>
      <x:c r="E27" s="28" t="str">
        <x:v>сенсорная комплементарность</x:v>
      </x:c>
      <x:c r="F27" s="28" t="str">
        <x:v>Арахис имеет профиль «бобовый и зелёный в сыром виде; жареный, ореховый и какаоподобный после обжарки». Партнёр «мята» относится к группе «Травы, цветы и листья» и даёт зелёный, холодящий.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7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7" s="28" t="str">
        <x:v>сильный аллерген; риск прогоркания и загрязнения плесенью при плохом хранении</x:v>
      </x:c>
      <x:c r="I27" s="28" t="str">
        <x:v>пралине, паста, выпечка, гарнир, соус, молочный или коктейльный компонент с мята</x:v>
      </x:c>
      <x:c r="J27" s="28" t="str">
        <x:v>Высокая</x:v>
      </x:c>
      <x:c r="K27" s="28" t="str">
        <x:v>Таблица сочетания(1).pdf | Тезариус вкусов (Ники Сегнит)(1).pdf</x:v>
      </x:c>
      <x:c r="L27" s="28" t="str">
        <x:v>Таблица сочетания(1).pdf: 16; Тезариус вкусов (Ники Сегнит)(1).pdf: 56, 865</x:v>
      </x:c>
    </x:row>
    <x:row r="28" ht="64" customHeight="1">
      <x:c r="A28" s="28" t="str">
        <x:v>NCT-0027</x:v>
      </x:c>
      <x:c r="B28" s="28" t="str">
        <x:v>арахис</x:v>
      </x:c>
      <x:c r="C28" s="28" t="str">
        <x:v>огурцы</x:v>
      </x:c>
      <x:c r="D28" s="28" t="str">
        <x:v>Овощи, бобовые и грибы</x:v>
      </x:c>
      <x:c r="E28" s="28" t="str">
        <x:v>общие ароматические соединения</x:v>
      </x:c>
      <x:c r="F28" s="28" t="str">
        <x:v>Арахис имеет профиль «бобовый и зелёный в сыром виде; жареный, ореховый и какаоподобный после обжарки». Партнёр «огурцы»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28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8" s="28" t="str">
        <x:v>сильный аллерген; риск прогоркания и загрязнения плесенью при плохом хранении</x:v>
      </x:c>
      <x:c r="I28" s="28" t="str">
        <x:v>пралине, паста, выпечка, гарнир, соус, молочный или коктейльный компонент с огурцы</x:v>
      </x:c>
      <x:c r="J28" s="28" t="str">
        <x:v>Средняя</x:v>
      </x:c>
      <x:c r="K28" s="28" t="str">
        <x:v>Тезариус вкусов (Ники Сегнит)(1).pdf</x:v>
      </x:c>
      <x:c r="L28" s="28" t="str">
        <x:v>Тезариус вкусов (Ники Сегнит)(1).pdf: 56, 491</x:v>
      </x:c>
    </x:row>
    <x:row r="29" ht="64" customHeight="1">
      <x:c r="A29" s="28" t="str">
        <x:v>NCT-0028</x:v>
      </x:c>
      <x:c r="B29" s="28" t="str">
        <x:v>арахис</x:v>
      </x:c>
      <x:c r="C29" s="28" t="str">
        <x:v>оливковое масло</x:v>
      </x:c>
      <x:c r="D29" s="28" t="str">
        <x:v>Масла и жиры</x:v>
      </x:c>
      <x:c r="E29" s="28" t="str">
        <x:v>общие ароматические соединения</x:v>
      </x:c>
      <x:c r="F29" s="28" t="str">
        <x:v>Арахис имеет профиль «бобовый и зелёный в сыром виде; жареный, ореховый и какаоподобный после обжарки». Партнёр «оливковое масло» относится к группе «Масла и жиры» и даёт жирный и мягкий.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29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9" s="28" t="str">
        <x:v>сильный аллерген; риск прогоркания и загрязнения плесенью при плохом хранении</x:v>
      </x:c>
      <x:c r="I29" s="28" t="str">
        <x:v>пралине, паста, выпечка, гарнир, соус, молочный или коктейльный компонент с оливковое масло</x:v>
      </x:c>
      <x:c r="J29" s="28" t="str">
        <x:v>Средняя</x:v>
      </x:c>
      <x:c r="K29" s="28" t="str">
        <x:v>The Art &amp; Science of Foodpairing.pdf</x:v>
      </x:c>
      <x:c r="L29" s="28" t="str">
        <x:v>The Art &amp; Science of Foodpairing.pdf: 172</x:v>
      </x:c>
    </x:row>
    <x:row r="30" ht="64" customHeight="1">
      <x:c r="A30" s="28" t="str">
        <x:v>NCT-0029</x:v>
      </x:c>
      <x:c r="B30" s="28" t="str">
        <x:v>арахис</x:v>
      </x:c>
      <x:c r="C30" s="28" t="str">
        <x:v>паприка</x:v>
      </x:c>
      <x:c r="D30" s="28" t="str">
        <x:v>Прочее</x:v>
      </x:c>
      <x:c r="E30" s="28" t="str">
        <x:v>сенсорная комплементарность</x:v>
      </x:c>
      <x:c r="F30" s="28" t="str">
        <x:v>Арахис имеет профиль «бобовый и зелёный в сыром виде; жареный, ореховый и какаоподобный после обжарки». Партнёр «паприка»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0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0" s="28" t="str">
        <x:v>сильный аллерген; риск прогоркания и загрязнения плесенью при плохом хранении</x:v>
      </x:c>
      <x:c r="I30" s="28" t="str">
        <x:v>пралине, паста, выпечка, гарнир, соус, молочный или коктейльный компонент с паприка</x:v>
      </x:c>
      <x:c r="J30" s="28" t="str">
        <x:v>Гипотеза / практическая</x:v>
      </x:c>
      <x:c r="K30" s="28" t="str">
        <x:v>Таблица сочетания(1).pdf</x:v>
      </x:c>
      <x:c r="L30" s="28" t="str">
        <x:v>Таблица сочетания(1).pdf: 16</x:v>
      </x:c>
    </x:row>
    <x:row r="31" ht="64" customHeight="1">
      <x:c r="A31" s="28" t="str">
        <x:v>NCT-0030</x:v>
      </x:c>
      <x:c r="B31" s="28" t="str">
        <x:v>арахис</x:v>
      </x:c>
      <x:c r="C31" s="28" t="str">
        <x:v>персик</x:v>
      </x:c>
      <x:c r="D31" s="28" t="str">
        <x:v>Фрукты и ягоды</x:v>
      </x:c>
      <x:c r="E31" s="28" t="str">
        <x:v>контраст кислоты и жирной/горькой матрицы</x:v>
      </x:c>
      <x:c r="F31" s="28" t="str">
        <x:v>Арахис имеет профиль «бобовый и зелёный в сыром виде; жареный, ореховый и какаоподобный после обжарки». Партнёр «персик» относится к группе «Фрукты и ягоды» и даёт лактонный, фруктовый, цветочный.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1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1" s="28" t="str">
        <x:v>сильный аллерген; риск прогоркания и загрязнения плесенью при плохом хранении; избыток кислоты может сделать чай или кофе резкими и разрушить молочную эмульсию</x:v>
      </x:c>
      <x:c r="I31" s="28" t="str">
        <x:v>пралине, паста, выпечка, гарнир, соус, молочный или коктейльный компонент с персик</x:v>
      </x:c>
      <x:c r="J31" s="28" t="str">
        <x:v>Гипотеза / практическая</x:v>
      </x:c>
      <x:c r="K31" s="28" t="str">
        <x:v>Таблица сочетания(1).pdf</x:v>
      </x:c>
      <x:c r="L31" s="28" t="str">
        <x:v>Таблица сочетания(1).pdf: 16</x:v>
      </x:c>
    </x:row>
    <x:row r="32" ht="64" customHeight="1">
      <x:c r="A32" s="28" t="str">
        <x:v>NCT-0031</x:v>
      </x:c>
      <x:c r="B32" s="28" t="str">
        <x:v>арахис</x:v>
      </x:c>
      <x:c r="C32" s="28" t="str">
        <x:v>петрушка</x:v>
      </x:c>
      <x:c r="D32" s="28" t="str">
        <x:v>Травы, цветы и листья</x:v>
      </x:c>
      <x:c r="E32" s="28" t="str">
        <x:v>сенсорная комплементарность</x:v>
      </x:c>
      <x:c r="F32" s="28" t="str">
        <x:v>Арахис имеет профиль «бобовый и зелёный в сыром виде; жареный, ореховый и какаоподобный после обжарки». Партнёр «петрушка»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2" s="28" t="str">
        <x:v>сильный аллерген; риск прогоркания и загрязнения плесенью при плохом хранении</x:v>
      </x:c>
      <x:c r="I32" s="28" t="str">
        <x:v>пралине, паста, выпечка, гарнир, соус, молочный или коктейльный компонент с петрушка</x:v>
      </x:c>
      <x:c r="J32" s="28" t="str">
        <x:v>Гипотеза / практическая</x:v>
      </x:c>
      <x:c r="K32" s="28" t="str">
        <x:v>Таблица сочетания(1).pdf</x:v>
      </x:c>
      <x:c r="L32" s="28" t="str">
        <x:v>Таблица сочетания(1).pdf: 16</x:v>
      </x:c>
    </x:row>
    <x:row r="33" ht="64" customHeight="1">
      <x:c r="A33" s="28" t="str">
        <x:v>NCT-0032</x:v>
      </x:c>
      <x:c r="B33" s="28" t="str">
        <x:v>арахис</x:v>
      </x:c>
      <x:c r="C33" s="28" t="str">
        <x:v>свинина</x:v>
      </x:c>
      <x:c r="D33" s="28" t="str">
        <x:v>Мясо и птица</x:v>
      </x:c>
      <x:c r="E33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3" s="28" t="str">
        <x:v>Арахис имеет профиль «бобовый и зелёный в сыром виде; жареный, ореховый и какаоподобный после обжарки». Партнёр «свинина»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33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3" s="28" t="str">
        <x:v>сильный аллерген; риск прогоркания и загрязнения плесенью при плохом хранении</x:v>
      </x:c>
      <x:c r="I33" s="28" t="str">
        <x:v>пралине, паста, выпечка, гарнир, соус, молочный или коктейльный компонент с свинина</x:v>
      </x:c>
      <x:c r="J33" s="28" t="str">
        <x:v>Средняя</x:v>
      </x:c>
      <x:c r="K33" s="28" t="str">
        <x:v>Тезариус вкусов (Ники Сегнит)(1).pdf</x:v>
      </x:c>
      <x:c r="L33" s="28" t="str">
        <x:v>Тезариус вкусов (Ники Сегнит)(1).pdf: 56, 78</x:v>
      </x:c>
    </x:row>
    <x:row r="34" ht="64" customHeight="1">
      <x:c r="A34" s="28" t="str">
        <x:v>NCT-0033</x:v>
      </x:c>
      <x:c r="B34" s="28" t="str">
        <x:v>арахис</x:v>
      </x:c>
      <x:c r="C34" s="28" t="str">
        <x:v>свёкла</x:v>
      </x:c>
      <x:c r="D34" s="28" t="str">
        <x:v>Овощи, бобовые и грибы</x:v>
      </x:c>
      <x:c r="E34" s="28" t="str">
        <x:v>сенсорная комплементарность</x:v>
      </x:c>
      <x:c r="F34" s="28" t="str">
        <x:v>Арахис имеет профиль «бобовый и зелёный в сыром виде; жареный, ореховый и какаоподобный после обжарки». Партнёр «свёкла» относится к группе «Овощи, бобовые и грибы» и даёт землистый, сладкий.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4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4" s="28" t="str">
        <x:v>сильный аллерген; риск прогоркания и загрязнения плесенью при плохом хранении</x:v>
      </x:c>
      <x:c r="I34" s="28" t="str">
        <x:v>пралине, паста, выпечка, гарнир, соус, молочный или коктейльный компонент с свёкла</x:v>
      </x:c>
      <x:c r="J34" s="28" t="str">
        <x:v>Средняя</x:v>
      </x:c>
      <x:c r="K34" s="28" t="str">
        <x:v>The Art &amp; Science of Foodpairing.pdf</x:v>
      </x:c>
      <x:c r="L34" s="28" t="str">
        <x:v>The Art &amp; Science of Foodpairing.pdf: 224</x:v>
      </x:c>
    </x:row>
    <x:row r="35" ht="64" customHeight="1">
      <x:c r="A35" s="28" t="str">
        <x:v>NCT-0034</x:v>
      </x:c>
      <x:c r="B35" s="28" t="str">
        <x:v>арахис</x:v>
      </x:c>
      <x:c r="C35" s="28" t="str">
        <x:v>сельдерей</x:v>
      </x:c>
      <x:c r="D35" s="28" t="str">
        <x:v>Прочее</x:v>
      </x:c>
      <x:c r="E35" s="28" t="str">
        <x:v>сенсорная комплементарность</x:v>
      </x:c>
      <x:c r="F35" s="28" t="str">
        <x:v>Арахис имеет профиль «бобовый и зелёный в сыром виде; жареный, ореховый и какаоподобный после обжарки». Партнёр «сельдерей»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5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5" s="28" t="str">
        <x:v>сильный аллерген; риск прогоркания и загрязнения плесенью при плохом хранении</x:v>
      </x:c>
      <x:c r="I35" s="28" t="str">
        <x:v>пралине, паста, выпечка, гарнир, соус, молочный или коктейльный компонент с сельдерей</x:v>
      </x:c>
      <x:c r="J35" s="28" t="str">
        <x:v>Средняя</x:v>
      </x:c>
      <x:c r="K35" s="28" t="str">
        <x:v>Тезариус вкусов (Ники Сегнит)(1).pdf</x:v>
      </x:c>
      <x:c r="L35" s="28" t="str">
        <x:v>Тезариус вкусов (Ники Сегнит)(1).pdf: 56, 248</x:v>
      </x:c>
    </x:row>
    <x:row r="36" ht="64" customHeight="1">
      <x:c r="A36" s="28" t="str">
        <x:v>NCT-0035</x:v>
      </x:c>
      <x:c r="B36" s="28" t="str">
        <x:v>арахис</x:v>
      </x:c>
      <x:c r="C36" s="28" t="str">
        <x:v>спаржа</x:v>
      </x:c>
      <x:c r="D36" s="28" t="str">
        <x:v>Овощи, бобовые и грибы</x:v>
      </x:c>
      <x:c r="E36" s="28" t="str">
        <x:v>общие ароматические соединения</x:v>
      </x:c>
      <x:c r="F36" s="28" t="str">
        <x:v>Арахис имеет профиль «бобовый и зелёный в сыром виде; жареный, ореховый и какаоподобный после обжарки». Партнёр «спаржа»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6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6" s="28" t="str">
        <x:v>сильный аллерген; риск прогоркания и загрязнения плесенью при плохом хранении</x:v>
      </x:c>
      <x:c r="I36" s="28" t="str">
        <x:v>пралине, паста, выпечка, гарнир, соус, молочный или коктейльный компонент с спаржа</x:v>
      </x:c>
      <x:c r="J36" s="28" t="str">
        <x:v>Средняя</x:v>
      </x:c>
      <x:c r="K36" s="28" t="str">
        <x:v>Тезариус вкусов (Ники Сегнит)(1).pdf</x:v>
      </x:c>
      <x:c r="L36" s="28" t="str">
        <x:v>Тезариус вкусов (Ники Сегнит)(1).pdf: 56, 345</x:v>
      </x:c>
    </x:row>
    <x:row r="37" ht="64" customHeight="1">
      <x:c r="A37" s="28" t="str">
        <x:v>NCT-0036</x:v>
      </x:c>
      <x:c r="B37" s="28" t="str">
        <x:v>арахис</x:v>
      </x:c>
      <x:c r="C37" s="28" t="str">
        <x:v>томаты</x:v>
      </x:c>
      <x:c r="D37" s="28" t="str">
        <x:v>Овощи, бобовые и грибы</x:v>
      </x:c>
      <x:c r="E37" s="28" t="str">
        <x:v>сенсорная комплементарность</x:v>
      </x:c>
      <x:c r="F37" s="28" t="str">
        <x:v>Арахис имеет профиль «бобовый и зелёный в сыром виде; жареный, ореховый и какаоподобный после обжарки». Партнёр «томаты» относится к группе «Овощи, бобовые и грибы» и даёт зелёный, умами, фруктовый.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7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7" s="28" t="str">
        <x:v>сильный аллерген; риск прогоркания и загрязнения плесенью при плохом хранении</x:v>
      </x:c>
      <x:c r="I37" s="28" t="str">
        <x:v>пралине, паста, выпечка, гарнир, соус, молочный или коктейльный компонент с томаты</x:v>
      </x:c>
      <x:c r="J37" s="28" t="str">
        <x:v>Средняя</x:v>
      </x:c>
      <x:c r="K37" s="28" t="str">
        <x:v>Тезариус вкусов (Ники Сегнит)(1).pdf</x:v>
      </x:c>
      <x:c r="L37" s="28" t="str">
        <x:v>Тезариус вкусов (Ники Сегнит)(1).pdf: 56, 680</x:v>
      </x:c>
    </x:row>
    <x:row r="38" ht="64" customHeight="1">
      <x:c r="A38" s="28" t="str">
        <x:v>NCT-0037</x:v>
      </x:c>
      <x:c r="B38" s="28" t="str">
        <x:v>арахис</x:v>
      </x:c>
      <x:c r="C38" s="28" t="str">
        <x:v>цыпленок</x:v>
      </x:c>
      <x:c r="D38" s="28" t="str">
        <x:v>Прочее</x:v>
      </x:c>
      <x:c r="E38" s="28" t="str">
        <x:v>сенсорная комплементарность</x:v>
      </x:c>
      <x:c r="F38" s="28" t="str">
        <x:v>Арахис имеет профиль «бобовый и зелёный в сыром виде; жареный, ореховый и какаоподобный после обжарки». Партнёр «цыпленок»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8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8" s="28" t="str">
        <x:v>сильный аллерген; риск прогоркания и загрязнения плесенью при плохом хранении</x:v>
      </x:c>
      <x:c r="I38" s="28" t="str">
        <x:v>пралине, паста, выпечка, гарнир, соус, молочный или коктейльный компонент с цыпленок</x:v>
      </x:c>
      <x:c r="J38" s="28" t="str">
        <x:v>Средняя</x:v>
      </x:c>
      <x:c r="K38" s="28" t="str">
        <x:v>Тезариус вкусов (Ники Сегнит)(1).pdf</x:v>
      </x:c>
      <x:c r="L38" s="28" t="str">
        <x:v>Тезариус вкусов (Ники Сегнит)(1).pdf: 57, 63</x:v>
      </x:c>
    </x:row>
    <x:row r="39" ht="64" customHeight="1">
      <x:c r="A39" s="28" t="str">
        <x:v>NCT-0038</x:v>
      </x:c>
      <x:c r="B39" s="28" t="str">
        <x:v>арахис</x:v>
      </x:c>
      <x:c r="C39" s="28" t="str">
        <x:v>черная смородина</x:v>
      </x:c>
      <x:c r="D39" s="28" t="str">
        <x:v>Прочее</x:v>
      </x:c>
      <x:c r="E39" s="28" t="str">
        <x:v>сенсорная комплементарность</x:v>
      </x:c>
      <x:c r="F39" s="28" t="str">
        <x:v>Арахис имеет профиль «бобовый и зелёный в сыром виде; жареный, ореховый и какаоподобный после обжарки». Партнёр «черная смородина»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9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9" s="28" t="str">
        <x:v>сильный аллерген; риск прогоркания и загрязнения плесенью при плохом хранении</x:v>
      </x:c>
      <x:c r="I39" s="28" t="str">
        <x:v>пралине, паста, выпечка, гарнир, соус, молочный или коктейльный компонент с черная смородина</x:v>
      </x:c>
      <x:c r="J39" s="28" t="str">
        <x:v>Средняя</x:v>
      </x:c>
      <x:c r="K39" s="28" t="str">
        <x:v>Тезариус вкусов (Ники Сегнит)(1).pdf</x:v>
      </x:c>
      <x:c r="L39" s="28" t="str">
        <x:v>Тезариус вкусов (Ники Сегнит)(1).pdf: 59, 665, 875</x:v>
      </x:c>
    </x:row>
    <x:row r="40" ht="64" customHeight="1">
      <x:c r="A40" s="28" t="str">
        <x:v>NCT-0039</x:v>
      </x:c>
      <x:c r="B40" s="28" t="str">
        <x:v>арахис</x:v>
      </x:c>
      <x:c r="C40" s="28" t="str">
        <x:v>чили</x:v>
      </x:c>
      <x:c r="D40" s="28" t="str">
        <x:v>Специи</x:v>
      </x:c>
      <x:c r="E40" s="28" t="str">
        <x:v>сенсорная комплементарность</x:v>
      </x:c>
      <x:c r="F40" s="28" t="str">
        <x:v>Арахис имеет профиль «бобовый и зелёный в сыром виде; жареный, ореховый и какаоподобный после обжарки». Партнёр «чили»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0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40" s="28" t="str">
        <x:v>сильный аллерген; риск прогоркания и загрязнения плесенью при плохом хранении</x:v>
      </x:c>
      <x:c r="I40" s="28" t="str">
        <x:v>пралине, паста, выпечка, гарнир, соус, молочный или коктейльный компонент с чили</x:v>
      </x:c>
      <x:c r="J40" s="28" t="str">
        <x:v>Средняя</x:v>
      </x:c>
      <x:c r="K40" s="28" t="str">
        <x:v>Тезариус вкусов (Ники Сегнит)(1).pdf</x:v>
      </x:c>
      <x:c r="L40" s="28" t="str">
        <x:v>Тезариус вкусов (Ники Сегнит)(1).pdf: 59, 551</x:v>
      </x:c>
    </x:row>
    <x:row r="41" ht="64" customHeight="1">
      <x:c r="A41" s="28" t="str">
        <x:v>NCT-0040</x:v>
      </x:c>
      <x:c r="B41" s="28" t="str">
        <x:v>арахис</x:v>
      </x:c>
      <x:c r="C41" s="28" t="str">
        <x:v>шоколад</x:v>
      </x:c>
      <x:c r="D41" s="28" t="str">
        <x:v>Какао и шоколад</x:v>
      </x:c>
      <x:c r="E41" s="28" t="str">
        <x:v>общие ароматические соединения, пересечение ароматических семейств, жареная химия и реакции Майяра</x:v>
      </x:c>
      <x:c r="F41" s="28" t="str">
        <x:v>Арахис имеет профиль «бобовый и зелёный в сыром виде; жареный, ореховый и какаоподобный после обжарки».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альдегиды, пиразины, фураны.</x:v>
      </x:c>
      <x:c r="G41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41" s="28" t="str">
        <x:v>сильный аллерген; риск прогоркания и загрязнения плесенью при плохом хранении</x:v>
      </x:c>
      <x:c r="I41" s="28" t="str">
        <x:v>пралине, паста, выпечка, гарнир, соус, молочный или коктейльный компонент с шоколад</x:v>
      </x:c>
      <x:c r="J41" s="28" t="str">
        <x:v>Высокая</x:v>
      </x:c>
      <x:c r="K41" s="28" t="str">
        <x:v>The Art &amp; Science of Foodpairing.pdf | Таблица сочетания(1).pdf | Тезариус вкусов (Ники Сегнит)(1).pdf</x:v>
      </x:c>
      <x:c r="L41" s="28" t="str">
        <x:v>The Art &amp; Science of Foodpairing.pdf: 62; Таблица сочетания(1).pdf: 15; Тезариус вкусов (Ники Сегнит)(1).pdf: 26, 59</x:v>
      </x:c>
    </x:row>
    <x:row r="42" ht="64" customHeight="1">
      <x:c r="A42" s="28" t="str">
        <x:v>NCT-0041</x:v>
      </x:c>
      <x:c r="B42" s="28" t="str">
        <x:v>арахис</x:v>
      </x:c>
      <x:c r="C42" s="28" t="str">
        <x:v>яблоко</x:v>
      </x:c>
      <x:c r="D42" s="28" t="str">
        <x:v>Фрукты и ягоды</x:v>
      </x:c>
      <x:c r="E42" s="28" t="str">
        <x:v>общие ароматические соединения, контраст кислоты и жирной/горькой матрицы</x:v>
      </x:c>
      <x:c r="F42" s="28" t="str">
        <x:v>Арахис имеет профиль «бобовый и зелёный в сыром виде; жареный, ореховый и какаоподобный после обжарки». Партнёр «яблоко»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42" s="28" t="str">
        <x:v>сильный аллерген; риск прогоркания и загрязнения плесенью при плохом хранении; избыток кислоты может сделать чай или кофе резкими и разрушить молочную эмульсию</x:v>
      </x:c>
      <x:c r="I42" s="28" t="str">
        <x:v>пралине, паста, выпечка, гарнир, соус, молочный или коктейльный компонент с яблоко</x:v>
      </x:c>
      <x:c r="J42" s="28" t="str">
        <x:v>Средняя</x:v>
      </x:c>
      <x:c r="K42" s="28" t="str">
        <x:v>Тезариус вкусов (Ники Сегнит)(1).pdf</x:v>
      </x:c>
      <x:c r="L42" s="28" t="str">
        <x:v>Тезариус вкусов (Ники Сегнит)(1).pdf: 59, 710</x:v>
      </x:c>
    </x:row>
    <x:row r="43" ht="64" customHeight="1">
      <x:c r="A43" s="28" t="str">
        <x:v>NCT-0042</x:v>
      </x:c>
      <x:c r="B43" s="28" t="str">
        <x:v>белый шоколад</x:v>
      </x:c>
      <x:c r="C43" s="28" t="str">
        <x:v>baechu kimchi</x:v>
      </x:c>
      <x:c r="D43" s="28" t="str">
        <x:v>Ферментированные продукты и соусы</x:v>
      </x:c>
      <x:c r="E43" s="28" t="str">
        <x:v>солёно-умами контраст</x:v>
      </x:c>
      <x:c r="F43" s="28" t="str">
        <x:v>Белый шоколад имеет профиль «сливочный, ванильный, карамельный и маслянистый без выраженного какаового жареного профиля». Партнёр «baechu kimchi» относится к группе «Ферментированные продукты и соусы» и даёт ферментированный, умами и сложный.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43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43" s="28" t="str">
        <x:v>легко становится приторным и восковым; требует точной температуры темперирования</x:v>
      </x:c>
      <x:c r="I43" s="28" t="str">
        <x:v>ганаш, плитка, крем, мусс, напиток, глазурь или соус с baechu kimchi</x:v>
      </x:c>
      <x:c r="J43" s="28" t="str">
        <x:v>Средняя</x:v>
      </x:c>
      <x:c r="K43" s="28" t="str">
        <x:v>The Art &amp; Science of Foodpairing.pdf</x:v>
      </x:c>
      <x:c r="L43" s="28" t="str">
        <x:v>The Art &amp; Science of Foodpairing.pdf: 305</x:v>
      </x:c>
    </x:row>
    <x:row r="44" ht="64" customHeight="1">
      <x:c r="A44" s="28" t="str">
        <x:v>NCT-0043</x:v>
      </x:c>
      <x:c r="B44" s="28" t="str">
        <x:v>белый шоколад</x:v>
      </x:c>
      <x:c r="C44" s="28" t="str">
        <x:v>balsamic vinegar</x:v>
      </x:c>
      <x:c r="D44" s="28" t="str">
        <x:v>Ферментированные продукты и соусы</x:v>
      </x:c>
      <x:c r="E44" s="28" t="str">
        <x:v>солёно-умами контраст</x:v>
      </x:c>
      <x:c r="F44" s="28" t="str">
        <x:v>Белый шоколад имеет профиль «сливочный, ванильный, карамельный и маслянистый без выраженного какаового жареного профиля». Партнёр «balsamic vinegar» относится к группе «Ферментированные продукты и соусы» и даёт ферментированный, умами и сложный.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44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44" s="28" t="str">
        <x:v>легко становится приторным и восковым; требует точной температуры темперирования</x:v>
      </x:c>
      <x:c r="I44" s="28" t="str">
        <x:v>ганаш, плитка, крем, мусс, напиток, глазурь или соус с balsamic vinegar</x:v>
      </x:c>
      <x:c r="J44" s="28" t="str">
        <x:v>Средняя</x:v>
      </x:c>
      <x:c r="K44" s="28" t="str">
        <x:v>The Art &amp; Science of Foodpairing.pdf</x:v>
      </x:c>
      <x:c r="L44" s="28" t="str">
        <x:v>The Art &amp; Science of Foodpairing.pdf: 316</x:v>
      </x:c>
    </x:row>
    <x:row r="45" ht="64" customHeight="1">
      <x:c r="A45" s="28" t="str">
        <x:v>NCT-0044</x:v>
      </x:c>
      <x:c r="B45" s="28" t="str">
        <x:v>белый шоколад</x:v>
      </x:c>
      <x:c r="C45" s="28" t="str">
        <x:v>blue cheese</x:v>
      </x:c>
      <x:c r="D45" s="28" t="str">
        <x:v>Молочные продукты и сыры</x:v>
      </x:c>
      <x:c r="E45" s="28" t="str">
        <x:v>общие ароматические соединения, пересечение ароматических семейств, жировая экстракция и связывание полифенолов белком</x:v>
      </x:c>
      <x:c r="F45" s="28" t="str">
        <x:v>Белый шоколад имеет профиль «сливочный, ванильный, карамельный и маслянистый без выраженного какаового жареного профиля». Партнёр «blue cheese» относится к группе «Молочные продукты и сыры» и даёт молочный, сливочный и ферментированный. Молекулярный мост создают диацетил, лактоны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сливочный; диацетил, лактоны.</x:v>
      </x:c>
      <x:c r="G45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45" s="28" t="str">
        <x:v>легко становится приторным и восковым; требует точной температуры темперирования; жир способен приглушить тонкую ароматику; белок связывает полифенолы</x:v>
      </x:c>
      <x:c r="I45" s="28" t="str">
        <x:v>ганаш, плитка, крем, мусс, напиток, глазурь или соус с blue cheese</x:v>
      </x:c>
      <x:c r="J45" s="28" t="str">
        <x:v>Средняя</x:v>
      </x:c>
      <x:c r="K45" s="28" t="str">
        <x:v>The Art &amp; Science of Foodpairing.pdf</x:v>
      </x:c>
      <x:c r="L45" s="28" t="str">
        <x:v>The Art &amp; Science of Foodpairing.pdf: 164</x:v>
      </x:c>
    </x:row>
    <x:row r="46" ht="64" customHeight="1">
      <x:c r="A46" s="28" t="str">
        <x:v>NCT-0045</x:v>
      </x:c>
      <x:c r="B46" s="28" t="str">
        <x:v>белый шоколад</x:v>
      </x:c>
      <x:c r="C46" s="28" t="str">
        <x:v>chilli peppers</x:v>
      </x:c>
      <x:c r="D46" s="28" t="str">
        <x:v>Специи</x:v>
      </x:c>
      <x:c r="E46" s="28" t="str">
        <x:v>сенсорная комплементарность</x:v>
      </x:c>
      <x:c r="F46" s="28" t="str">
        <x:v>Белый шоколад имеет профиль «сливочный, ванильный, карамельный и маслянистый без выраженного какаового жареного профиля». Партнёр «chilli peppers» относится к группе «Специи» и даёт пряный и древесный.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46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46" s="28" t="str">
        <x:v>легко становится приторным и восковым; требует точной температуры темперирования</x:v>
      </x:c>
      <x:c r="I46" s="28" t="str">
        <x:v>ганаш, плитка, крем, мусс, напиток, глазурь или соус с chilli peppers</x:v>
      </x:c>
      <x:c r="J46" s="28" t="str">
        <x:v>Средняя</x:v>
      </x:c>
      <x:c r="K46" s="28" t="str">
        <x:v>The Art &amp; Science of Foodpairing.pdf</x:v>
      </x:c>
      <x:c r="L46" s="28" t="str">
        <x:v>The Art &amp; Science of Foodpairing.pdf: 94</x:v>
      </x:c>
    </x:row>
    <x:row r="47" ht="64" customHeight="1">
      <x:c r="A47" s="28" t="str">
        <x:v>NCT-0046</x:v>
      </x:c>
      <x:c r="B47" s="28" t="str">
        <x:v>белый шоколад</x:v>
      </x:c>
      <x:c r="C47" s="28" t="str">
        <x:v>sesame seeds, halva and tahini</x:v>
      </x:c>
      <x:c r="D47" s="28" t="str">
        <x:v>Прочее</x:v>
      </x:c>
      <x:c r="E47" s="28" t="str">
        <x:v>сенсорная комплементарность</x:v>
      </x:c>
      <x:c r="F47" s="28" t="str">
        <x:v>Белый шоколад имеет профиль «сливочный, ванильный, карамельный и маслянистый без выраженного какаового жареного профиля». Партнёр «sesame seeds, halva and tahini»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47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47" s="28" t="str">
        <x:v>легко становится приторным и восковым; требует точной температуры темперирования</x:v>
      </x:c>
      <x:c r="I47" s="28" t="str">
        <x:v>ганаш, плитка, крем, мусс, напиток, глазурь или соус с sesame seeds, halva and tahini</x:v>
      </x:c>
      <x:c r="J47" s="28" t="str">
        <x:v>Средняя</x:v>
      </x:c>
      <x:c r="K47" s="28" t="str">
        <x:v>The Art &amp; Science of Foodpairing.pdf</x:v>
      </x:c>
      <x:c r="L47" s="28" t="str">
        <x:v>The Art &amp; Science of Foodpairing.pdf: 308</x:v>
      </x:c>
    </x:row>
    <x:row r="48" ht="64" customHeight="1">
      <x:c r="A48" s="28" t="str">
        <x:v>NCT-0047</x:v>
      </x:c>
      <x:c r="B48" s="28" t="str">
        <x:v>белый шоколад</x:v>
      </x:c>
      <x:c r="C48" s="28" t="str">
        <x:v>watermelon</x:v>
      </x:c>
      <x:c r="D48" s="28" t="str">
        <x:v>Фрукты и ягоды</x:v>
      </x:c>
      <x:c r="E48" s="28" t="str">
        <x:v>контраст кислоты и жирной/горькой матрицы</x:v>
      </x:c>
      <x:c r="F48" s="28" t="str">
        <x:v>Белый шоколад имеет профиль «сливочный, ванильный, карамельный и маслянистый без выраженного какаового жареного профиля». Партнёр «watermelon»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48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48" s="28" t="str">
        <x:v>легко становится приторным и восковым; требует точной температуры темперирования; избыток кислоты может сделать чай или кофе резкими и разрушить молочную эмульсию</x:v>
      </x:c>
      <x:c r="I48" s="28" t="str">
        <x:v>ганаш, плитка, крем, мусс, напиток, глазурь или соус с watermelon</x:v>
      </x:c>
      <x:c r="J48" s="28" t="str">
        <x:v>Средняя</x:v>
      </x:c>
      <x:c r="K48" s="28" t="str">
        <x:v>The Art &amp; Science of Foodpairing.pdf</x:v>
      </x:c>
      <x:c r="L48" s="28" t="str">
        <x:v>The Art &amp; Science of Foodpairing.pdf: 78</x:v>
      </x:c>
    </x:row>
    <x:row r="49" ht="64" customHeight="1">
      <x:c r="A49" s="28" t="str">
        <x:v>NCT-0048</x:v>
      </x:c>
      <x:c r="B49" s="28" t="str">
        <x:v>белый шоколад</x:v>
      </x:c>
      <x:c r="C49" s="28" t="str">
        <x:v>ананас</x:v>
      </x:c>
      <x:c r="D49" s="28" t="str">
        <x:v>Прочее</x:v>
      </x:c>
      <x:c r="E49" s="28" t="str">
        <x:v>сенсорная комплементарность</x:v>
      </x:c>
      <x:c r="F49" s="28" t="str">
        <x:v>Белый шоколад имеет профиль «сливочный, ванильный, карамельный и маслянистый без выраженного какаового жареного профиля». Партнёр «ананас»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49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49" s="28" t="str">
        <x:v>легко становится приторным и восковым; требует точной температуры темперирования</x:v>
      </x:c>
      <x:c r="I49" s="28" t="str">
        <x:v>ганаш, плитка, крем, мусс, напиток, глазурь или соус с ананас</x:v>
      </x:c>
      <x:c r="J49" s="28" t="str">
        <x:v>Средняя</x:v>
      </x:c>
      <x:c r="K49" s="28" t="str">
        <x:v>Тезариус вкусов (Ники Сегнит)(1).pdf</x:v>
      </x:c>
      <x:c r="L49" s="28" t="str">
        <x:v>Тезариус вкусов (Ники Сегнит)(1).pdf: 702, 923</x:v>
      </x:c>
    </x:row>
    <x:row r="50" ht="64" customHeight="1">
      <x:c r="A50" s="28" t="str">
        <x:v>NCT-0049</x:v>
      </x:c>
      <x:c r="B50" s="28" t="str">
        <x:v>белый шоколад</x:v>
      </x:c>
      <x:c r="C50" s="28" t="str">
        <x:v>банан</x:v>
      </x:c>
      <x:c r="D50" s="28" t="str">
        <x:v>Фрукты и ягоды</x:v>
      </x:c>
      <x:c r="E50" s="28" t="str">
        <x:v>пересечение ароматических семейств, контраст кислоты и жирной/горькой матрицы</x:v>
      </x:c>
      <x:c r="F50" s="28" t="str">
        <x:v>Белый шоколад имеет профиль «сливочный, ванильный, карамельный и маслянистый без выраженного какаового жареного профиля». Партнёр «банан» относится к группе «Фрукты и ягоды» и даёт сливочный, фруктовый. Профили пересекаются в семействах: сливочный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сливочный; механизм не следует сводить к одной общей молекуле.</x:v>
      </x:c>
      <x:c r="G50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50" s="28" t="str">
        <x:v>легко становится приторным и восковым; требует точной температуры темперирования; избыток кислоты может сделать чай или кофе резкими и разрушить молочную эмульсию</x:v>
      </x:c>
      <x:c r="I50" s="28" t="str">
        <x:v>ганаш, плитка, крем, мусс, напиток, глазурь или соус с банан</x:v>
      </x:c>
      <x:c r="J50" s="28" t="str">
        <x:v>Средняя</x:v>
      </x:c>
      <x:c r="K50" s="28" t="str">
        <x:v>The Art &amp; Science of Foodpairing.pdf</x:v>
      </x:c>
      <x:c r="L50" s="28" t="str">
        <x:v>The Art &amp; Science of Foodpairing.pdf: 342</x:v>
      </x:c>
    </x:row>
    <x:row r="51" ht="64" customHeight="1">
      <x:c r="A51" s="28" t="str">
        <x:v>NCT-0050</x:v>
      </x:c>
      <x:c r="B51" s="28" t="str">
        <x:v>белый шоколад</x:v>
      </x:c>
      <x:c r="C51" s="28" t="str">
        <x:v>голубика</x:v>
      </x:c>
      <x:c r="D51" s="28" t="str">
        <x:v>Прочее</x:v>
      </x:c>
      <x:c r="E51" s="28" t="str">
        <x:v>сенсорная комплементарность</x:v>
      </x:c>
      <x:c r="F51" s="28" t="str">
        <x:v>Белый шоколад имеет профиль «сливочный, ванильный, карамельный и маслянистый без выраженного какаового жареного профиля». Партнёр «голубика»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1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51" s="28" t="str">
        <x:v>легко становится приторным и восковым; требует точной температуры темперирования</x:v>
      </x:c>
      <x:c r="I51" s="28" t="str">
        <x:v>ганаш, плитка, крем, мусс, напиток, глазурь или соус с голубика</x:v>
      </x:c>
      <x:c r="J51" s="28" t="str">
        <x:v>Гипотеза / практическая</x:v>
      </x:c>
      <x:c r="K51" s="28" t="str">
        <x:v>Таблица сочетания(1).pdf</x:v>
      </x:c>
      <x:c r="L51" s="28" t="str">
        <x:v>Таблица сочетания(1).pdf: 3</x:v>
      </x:c>
    </x:row>
    <x:row r="52" ht="64" customHeight="1">
      <x:c r="A52" s="28" t="str">
        <x:v>NCT-0051</x:v>
      </x:c>
      <x:c r="B52" s="28" t="str">
        <x:v>белый шоколад</x:v>
      </x:c>
      <x:c r="C52" s="28" t="str">
        <x:v>ежевика</x:v>
      </x:c>
      <x:c r="D52" s="28" t="str">
        <x:v>Прочее</x:v>
      </x:c>
      <x:c r="E52" s="28" t="str">
        <x:v>сенсорная комплементарность</x:v>
      </x:c>
      <x:c r="F52" s="28" t="str">
        <x:v>Белый шоколад имеет профиль «сливочный, ванильный, карамельный и маслянистый без выраженного какаового жареного профиля». Партнёр «ежевика»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2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52" s="28" t="str">
        <x:v>легко становится приторным и восковым; требует точной температуры темперирования</x:v>
      </x:c>
      <x:c r="I52" s="28" t="str">
        <x:v>ганаш, плитка, крем, мусс, напиток, глазурь или соус с ежевика</x:v>
      </x:c>
      <x:c r="J52" s="28" t="str">
        <x:v>Средняя</x:v>
      </x:c>
      <x:c r="K52" s="28" t="str">
        <x:v>Тезариус вкусов (Ники Сегнит)(1).pdf</x:v>
      </x:c>
      <x:c r="L52" s="28" t="str">
        <x:v>Тезариус вкусов (Ники Сегнит)(1).pdf: 880, 923</x:v>
      </x:c>
    </x:row>
    <x:row r="53" ht="64" customHeight="1">
      <x:c r="A53" s="28" t="str">
        <x:v>NCT-0052</x:v>
      </x:c>
      <x:c r="B53" s="28" t="str">
        <x:v>белый шоколад</x:v>
      </x:c>
      <x:c r="C53" s="28" t="str">
        <x:v>кардамон</x:v>
      </x:c>
      <x:c r="D53" s="28" t="str">
        <x:v>Специи</x:v>
      </x:c>
      <x:c r="E53" s="28" t="str">
        <x:v>сенсорная комплементарность</x:v>
      </x:c>
      <x:c r="F53" s="28" t="str">
        <x:v>Белый шоколад имеет профиль «сливочный, ванильный, карамельный и маслянистый без выраженного какаового жареного профиля». Партнёр «кардамон» относится к группе «Специи» и даёт камфорный, цветочный, цитрусовый.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3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53" s="28" t="str">
        <x:v>легко становится приторным и восковым; требует точной температуры темперирования</x:v>
      </x:c>
      <x:c r="I53" s="28" t="str">
        <x:v>ганаш, плитка, крем, мусс, напиток, глазурь или соус с кардамон</x:v>
      </x:c>
      <x:c r="J53" s="28" t="str">
        <x:v>Средняя</x:v>
      </x:c>
      <x:c r="K53" s="28" t="str">
        <x:v>Тезариус вкусов (Ники Сегнит)(1).pdf</x:v>
      </x:c>
      <x:c r="L53" s="28" t="str">
        <x:v>Тезариус вкусов (Ники Сегнит)(1).pdf: 828, 923</x:v>
      </x:c>
    </x:row>
    <x:row r="54" ht="64" customHeight="1">
      <x:c r="A54" s="28" t="str">
        <x:v>NCT-0053</x:v>
      </x:c>
      <x:c r="B54" s="28" t="str">
        <x:v>белый шоколад</x:v>
      </x:c>
      <x:c r="C54" s="28" t="str">
        <x:v>клубника</x:v>
      </x:c>
      <x:c r="D54" s="28" t="str">
        <x:v>Прочее</x:v>
      </x:c>
      <x:c r="E54" s="28" t="str">
        <x:v>пересечение ароматических семейств</x:v>
      </x:c>
      <x:c r="F54" s="28" t="str">
        <x:v>Белый шоколад имеет профиль «сливочный, ванильный, карамельный и маслянистый без выраженного какаового жареного профиля». Партнёр «клубника» относится к группе «Прочее» и даёт зелёный, карамельный, фруктовый. Профили пересекаются в семействах: карамельный Какао-масло медленно высвобождает липофильные ароматы, а сахар и соль изменяют воспринимаемую горечь. Итог: карамельный; механизм не следует сводить к одной общей молекуле.</x:v>
      </x:c>
      <x:c r="G54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54" s="28" t="str">
        <x:v>легко становится приторным и восковым; требует точной температуры темперирования</x:v>
      </x:c>
      <x:c r="I54" s="28" t="str">
        <x:v>ганаш, плитка, крем, мусс, напиток, глазурь или соус с клубника</x:v>
      </x:c>
      <x:c r="J54" s="28" t="str">
        <x:v>Средняя</x:v>
      </x:c>
      <x:c r="K54" s="28" t="str">
        <x:v>Тезариус вкусов (Ники Сегнит)(1).pdf</x:v>
      </x:c>
      <x:c r="L54" s="28" t="str">
        <x:v>Тезариус вкусов (Ники Сегнит)(1).pdf: 693, 923</x:v>
      </x:c>
    </x:row>
    <x:row r="55" ht="64" customHeight="1">
      <x:c r="A55" s="28" t="str">
        <x:v>NCT-0054</x:v>
      </x:c>
      <x:c r="B55" s="28" t="str">
        <x:v>белый шоколад</x:v>
      </x:c>
      <x:c r="C55" s="28" t="str">
        <x:v>клюква</x:v>
      </x:c>
      <x:c r="D55" s="28" t="str">
        <x:v>Прочее</x:v>
      </x:c>
      <x:c r="E55" s="28" t="str">
        <x:v>сенсорная комплементарность</x:v>
      </x:c>
      <x:c r="F55" s="28" t="str">
        <x:v>Белый шоколад имеет профиль «сливочный, ванильный, карамельный и маслянистый без выраженного какаового жареного профиля». Партнёр «клюква»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5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55" s="28" t="str">
        <x:v>легко становится приторным и восковым; требует точной температуры темперирования</x:v>
      </x:c>
      <x:c r="I55" s="28" t="str">
        <x:v>ганаш, плитка, крем, мусс, напиток, глазурь или соус с клюква</x:v>
      </x:c>
      <x:c r="J55" s="28" t="str">
        <x:v>Гипотеза / практическая</x:v>
      </x:c>
      <x:c r="K55" s="28" t="str">
        <x:v>Таблица сочетания(1).pdf</x:v>
      </x:c>
      <x:c r="L55" s="28" t="str">
        <x:v>Таблица сочетания(1).pdf: 6</x:v>
      </x:c>
    </x:row>
    <x:row r="56" ht="64" customHeight="1">
      <x:c r="A56" s="28" t="str">
        <x:v>NCT-0055</x:v>
      </x:c>
      <x:c r="B56" s="28" t="str">
        <x:v>белый шоколад</x:v>
      </x:c>
      <x:c r="C56" s="28" t="str">
        <x:v>кокос</x:v>
      </x:c>
      <x:c r="D56" s="28" t="str">
        <x:v>Прочее</x:v>
      </x:c>
      <x:c r="E56" s="28" t="str">
        <x:v>общие ароматические соединения, пересечение ароматических семейств</x:v>
      </x:c>
      <x:c r="F56" s="28" t="str">
        <x:v>Белый шоколад имеет профиль «сливочный, ванильный, карамельный и маслянистый без выраженного какаового жареного профиля». Партнёр «кокос» относится к группе «Прочее» и даёт лактонный, сливочный. Молекулярный мост создают лактоны Какао-масло медленно высвобождает липофильные ароматы, а сахар и соль изменяют воспринимаемую горечь. Итог: сливочный; лактоны.</x:v>
      </x:c>
      <x:c r="G56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56" s="28" t="str">
        <x:v>легко становится приторным и восковым; требует точной температуры темперирования</x:v>
      </x:c>
      <x:c r="I56" s="28" t="str">
        <x:v>ганаш, плитка, крем, мусс, напиток, глазурь или соус с кокос</x:v>
      </x:c>
      <x:c r="J56" s="28" t="str">
        <x:v>Высокая</x:v>
      </x:c>
      <x:c r="K56" s="28" t="str">
        <x:v>The Art &amp; Science of Foodpairing.pdf | Тезариус вкусов (Ники Сегнит)(1).pdf</x:v>
      </x:c>
      <x:c r="L56" s="28" t="str">
        <x:v>The Art &amp; Science of Foodpairing.pdf: 135; Тезариус вкусов (Ники Сегнит)(1).pdf: 754, 924</x:v>
      </x:c>
    </x:row>
    <x:row r="57" ht="64" customHeight="1">
      <x:c r="A57" s="28" t="str">
        <x:v>NCT-0056</x:v>
      </x:c>
      <x:c r="B57" s="28" t="str">
        <x:v>белый шоколад</x:v>
      </x:c>
      <x:c r="C57" s="28" t="str">
        <x:v>кофе</x:v>
      </x:c>
      <x:c r="D57" s="28" t="str">
        <x:v>Кофе</x:v>
      </x:c>
      <x:c r="E57" s="28" t="str">
        <x:v>общие ароматические соединения, пересечение ароматических семейств, жареная химия и реакции Майяра</x:v>
      </x:c>
      <x:c r="F57" s="28" t="str">
        <x:v>Белый шоколад имеет профиль «сливочный, ванильный, карамельный и маслянистый без выраженного какаового жареного профиля».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диацетил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карамельный; диацетил.</x:v>
      </x:c>
      <x:c r="G57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57" s="28" t="str">
        <x:v>легко становится приторным и восковым; требует точной температуры темперирования</x:v>
      </x:c>
      <x:c r="I57" s="28" t="str">
        <x:v>ганаш, плитка, крем, мусс, напиток, глазурь или соус с кофе</x:v>
      </x:c>
      <x:c r="J57" s="28" t="str">
        <x:v>Высокая</x:v>
      </x:c>
      <x:c r="K57" s="28" t="str">
        <x:v>The Art &amp; Science of Foodpairing.pdf | Тезариус вкусов (Ники Сегнит)(1).pdf</x:v>
      </x:c>
      <x:c r="L57" s="28" t="str">
        <x:v>The Art &amp; Science of Foodpairing.pdf: 297; Тезариус вкусов (Ники Сегнит)(1).pdf: 43, 924</x:v>
      </x:c>
    </x:row>
    <x:row r="58" ht="64" customHeight="1">
      <x:c r="A58" s="28" t="str">
        <x:v>NCT-0057</x:v>
      </x:c>
      <x:c r="B58" s="28" t="str">
        <x:v>белый шоколад</x:v>
      </x:c>
      <x:c r="C58" s="28" t="str">
        <x:v>крыжовник</x:v>
      </x:c>
      <x:c r="D58" s="28" t="str">
        <x:v>Прочее</x:v>
      </x:c>
      <x:c r="E58" s="28" t="str">
        <x:v>сенсорная комплементарность</x:v>
      </x:c>
      <x:c r="F58" s="28" t="str">
        <x:v>Белый шоколад имеет профиль «сливочный, ванильный, карамельный и маслянистый без выраженного какаового жареного профиля». Партнёр «крыжовник»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8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58" s="28" t="str">
        <x:v>легко становится приторным и восковым; требует точной температуры темперирования</x:v>
      </x:c>
      <x:c r="I58" s="28" t="str">
        <x:v>ганаш, плитка, крем, мусс, напиток, глазурь или соус с крыжовник</x:v>
      </x:c>
      <x:c r="J58" s="28" t="str">
        <x:v>Гипотеза / практическая</x:v>
      </x:c>
      <x:c r="K58" s="28" t="str">
        <x:v>Таблица сочетания(1).pdf</x:v>
      </x:c>
      <x:c r="L58" s="28" t="str">
        <x:v>Таблица сочетания(1).pdf: 8</x:v>
      </x:c>
    </x:row>
    <x:row r="59" ht="64" customHeight="1">
      <x:c r="A59" s="28" t="str">
        <x:v>NCT-0058</x:v>
      </x:c>
      <x:c r="B59" s="28" t="str">
        <x:v>белый шоколад</x:v>
      </x:c>
      <x:c r="C59" s="28" t="str">
        <x:v>лимон</x:v>
      </x:c>
      <x:c r="D59" s="28" t="str">
        <x:v>Фрукты и ягоды</x:v>
      </x:c>
      <x:c r="E59" s="28" t="str">
        <x:v>контраст кислоты и жирной/горькой матрицы</x:v>
      </x:c>
      <x:c r="F59" s="28" t="str">
        <x:v>Белый шоколад имеет профиль «сливочный, ванильный, карамельный и маслянистый без выраженного какаового жареного профиля».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9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59" s="28" t="str">
        <x:v>легко становится приторным и восковым; требует точной температуры темперирования; избыток кислоты может сделать чай или кофе резкими и разрушить молочную эмульсию</x:v>
      </x:c>
      <x:c r="I59" s="28" t="str">
        <x:v>ганаш, плитка, крем, мусс, напиток, глазурь или соус с лимон</x:v>
      </x:c>
      <x:c r="J59" s="28" t="str">
        <x:v>Средняя</x:v>
      </x:c>
      <x:c r="K59" s="28" t="str">
        <x:v>Тезариус вкусов (Ники Сегнит)(1).pdf</x:v>
      </x:c>
      <x:c r="L59" s="28" t="str">
        <x:v>Тезариус вкусов (Ники Сегнит)(1).pdf: 801, 924</x:v>
      </x:c>
    </x:row>
    <x:row r="60" ht="64" customHeight="1">
      <x:c r="A60" s="28" t="str">
        <x:v>NCT-0059</x:v>
      </x:c>
      <x:c r="B60" s="28" t="str">
        <x:v>белый шоколад</x:v>
      </x:c>
      <x:c r="C60" s="28" t="str">
        <x:v>малина</x:v>
      </x:c>
      <x:c r="D60" s="28" t="str">
        <x:v>Прочее</x:v>
      </x:c>
      <x:c r="E60" s="28" t="str">
        <x:v>сенсорная комплементарность</x:v>
      </x:c>
      <x:c r="F60" s="28" t="str">
        <x:v>Белый шоколад имеет профиль «сливочный, ванильный, карамельный и маслянистый без выраженного какаового жареного профиля». Партнёр «малина» относится к группе «Прочее» и даёт цветочный, ягодный.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60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60" s="28" t="str">
        <x:v>легко становится приторным и восковым; требует точной температуры темперирования</x:v>
      </x:c>
      <x:c r="I60" s="28" t="str">
        <x:v>ганаш, плитка, крем, мусс, напиток, глазурь или соус с малина</x:v>
      </x:c>
      <x:c r="J60" s="28" t="str">
        <x:v>Средняя</x:v>
      </x:c>
      <x:c r="K60" s="28" t="str">
        <x:v>Тезариус вкусов (Ники Сегнит)(1).pdf</x:v>
      </x:c>
      <x:c r="L60" s="28" t="str">
        <x:v>Тезариус вкусов (Ники Сегнит)(1).pdf: 886, 925</x:v>
      </x:c>
    </x:row>
    <x:row r="61" ht="64" customHeight="1">
      <x:c r="A61" s="28" t="str">
        <x:v>NCT-0060</x:v>
      </x:c>
      <x:c r="B61" s="28" t="str">
        <x:v>белый шоколад</x:v>
      </x:c>
      <x:c r="C61" s="28" t="str">
        <x:v>оливки</x:v>
      </x:c>
      <x:c r="D61" s="28" t="str">
        <x:v>Прочее</x:v>
      </x:c>
      <x:c r="E61" s="28" t="str">
        <x:v>сенсорная комплементарность</x:v>
      </x:c>
      <x:c r="F61" s="28" t="str">
        <x:v>Белый шоколад имеет профиль «сливочный, ванильный, карамельный и маслянистый без выраженного какаового жареного профиля». Партнёр «оливки»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61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61" s="28" t="str">
        <x:v>легко становится приторным и восковым; требует точной температуры темперирования</x:v>
      </x:c>
      <x:c r="I61" s="28" t="str">
        <x:v>ганаш, плитка, крем, мусс, напиток, глазурь или соус с оливки</x:v>
      </x:c>
      <x:c r="J61" s="28" t="str">
        <x:v>Средняя</x:v>
      </x:c>
      <x:c r="K61" s="28" t="str">
        <x:v>Тезариус вкусов (Ники Сегнит)(1).pdf</x:v>
      </x:c>
      <x:c r="L61" s="28" t="str">
        <x:v>Тезариус вкусов (Ники Сегнит)(1).pdf: 464, 926</x:v>
      </x:c>
    </x:row>
    <x:row r="62" ht="64" customHeight="1">
      <x:c r="A62" s="28" t="str">
        <x:v>NCT-0061</x:v>
      </x:c>
      <x:c r="B62" s="28" t="str">
        <x:v>белый шоколад</x:v>
      </x:c>
      <x:c r="C62" s="28" t="str">
        <x:v>пармезан</x:v>
      </x:c>
      <x:c r="D62" s="28" t="str">
        <x:v>Прочее</x:v>
      </x:c>
      <x:c r="E62" s="28" t="str">
        <x:v>сенсорная комплементарность</x:v>
      </x:c>
      <x:c r="F62" s="28" t="str">
        <x:v>Белый шоколад имеет профиль «сливочный, ванильный, карамельный и маслянистый без выраженного какаового жареного профиля». Партнёр «пармезан»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62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62" s="28" t="str">
        <x:v>легко становится приторным и восковым; требует точной температуры темперирования</x:v>
      </x:c>
      <x:c r="I62" s="28" t="str">
        <x:v>ганаш, плитка, крем, мусс, напиток, глазурь или соус с пармезан</x:v>
      </x:c>
      <x:c r="J62" s="28" t="str">
        <x:v>Средняя</x:v>
      </x:c>
      <x:c r="K62" s="28" t="str">
        <x:v>The Art &amp; Science of Foodpairing.pdf</x:v>
      </x:c>
      <x:c r="L62" s="28" t="str">
        <x:v>The Art &amp; Science of Foodpairing.pdf: 282</x:v>
      </x:c>
    </x:row>
    <x:row r="63" ht="64" customHeight="1">
      <x:c r="A63" s="28" t="str">
        <x:v>NCT-0062</x:v>
      </x:c>
      <x:c r="B63" s="28" t="str">
        <x:v>белый шоколад</x:v>
      </x:c>
      <x:c r="C63" s="28" t="str">
        <x:v>перечная мята</x:v>
      </x:c>
      <x:c r="D63" s="28" t="str">
        <x:v>Травы, цветы и листья</x:v>
      </x:c>
      <x:c r="E63" s="28" t="str">
        <x:v>сенсорная комплементарность</x:v>
      </x:c>
      <x:c r="F63" s="28" t="str">
        <x:v>Белый шоколад имеет профиль «сливочный, ванильный, карамельный и маслянистый без выраженного какаового жареного профиля». Партнёр «перечная мята» относится к группе «Травы, цветы и листья» и даёт зелёный, холодящий.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63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63" s="28" t="str">
        <x:v>легко становится приторным и восковым; требует точной температуры темперирования</x:v>
      </x:c>
      <x:c r="I63" s="28" t="str">
        <x:v>ганаш, плитка, крем, мусс, напиток, глазурь или соус с перечная мята</x:v>
      </x:c>
      <x:c r="J63" s="28" t="str">
        <x:v>Высокая</x:v>
      </x:c>
      <x:c r="K63" s="28" t="str">
        <x:v>The Art &amp; Science of Foodpairing.pdf</x:v>
      </x:c>
      <x:c r="L63" s="28" t="str">
        <x:v>The Art &amp; Science of Foodpairing.pdf: 61</x:v>
      </x:c>
    </x:row>
    <x:row r="64" ht="64" customHeight="1">
      <x:c r="A64" s="28" t="str">
        <x:v>NCT-0063</x:v>
      </x:c>
      <x:c r="B64" s="28" t="str">
        <x:v>белый шоколад</x:v>
      </x:c>
      <x:c r="C64" s="28" t="str">
        <x:v>ростки пшеницы</x:v>
      </x:c>
      <x:c r="D64" s="28" t="str">
        <x:v>Прочее</x:v>
      </x:c>
      <x:c r="E64" s="28" t="str">
        <x:v>сенсорная комплементарность</x:v>
      </x:c>
      <x:c r="F64" s="28" t="str">
        <x:v>Белый шоколад имеет профиль «сливочный, ванильный, карамельный и маслянистый без выраженного какаового жареного профиля». Партнёр «ростки пшеницы»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64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64" s="28" t="str">
        <x:v>легко становится приторным и восковым; требует точной температуры темперирования</x:v>
      </x:c>
      <x:c r="I64" s="28" t="str">
        <x:v>ганаш, плитка, крем, мусс, напиток, глазурь или соус с ростки пшеницы</x:v>
      </x:c>
      <x:c r="J64" s="28" t="str">
        <x:v>Высокая</x:v>
      </x:c>
      <x:c r="K64" s="28" t="str">
        <x:v>The Art &amp; Science of Foodpairing.pdf</x:v>
      </x:c>
      <x:c r="L64" s="28" t="str">
        <x:v>The Art &amp; Science of Foodpairing.pdf: 61</x:v>
      </x:c>
    </x:row>
    <x:row r="65" ht="64" customHeight="1">
      <x:c r="A65" s="28" t="str">
        <x:v>NCT-0064</x:v>
      </x:c>
      <x:c r="B65" s="28" t="str">
        <x:v>белый шоколад</x:v>
      </x:c>
      <x:c r="C65" s="28" t="str">
        <x:v>черная икра</x:v>
      </x:c>
      <x:c r="D65" s="28" t="str">
        <x:v>Рыба и морепродукты</x:v>
      </x:c>
      <x:c r="E65" s="28" t="str">
        <x:v>солёно-умами контраст</x:v>
      </x:c>
      <x:c r="F65" s="28" t="str">
        <x:v>Белый шоколад имеет профиль «сливочный, ванильный, карамельный и маслянистый без выраженного какаового жареного профиля». Партнёр «черная икра»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65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65" s="28" t="str">
        <x:v>легко становится приторным и восковым; требует точной температуры темперирования; малейшая прогорклость ореха или шоколада усиливает неприятные рыбные оттенки</x:v>
      </x:c>
      <x:c r="I65" s="28" t="str">
        <x:v>ганаш, плитка, крем, мусс, напиток, глазурь или соус с черная икра</x:v>
      </x:c>
      <x:c r="J65" s="28" t="str">
        <x:v>Средняя</x:v>
      </x:c>
      <x:c r="K65" s="28" t="str">
        <x:v>Тезариус вкусов (Ники Сегнит)(1).pdf</x:v>
      </x:c>
      <x:c r="L65" s="28" t="str">
        <x:v>Тезариус вкусов (Ники Сегнит)(1).pdf: 405, 926</x:v>
      </x:c>
    </x:row>
    <x:row r="66" ht="64" customHeight="1">
      <x:c r="A66" s="28" t="str">
        <x:v>NCT-0065</x:v>
      </x:c>
      <x:c r="B66" s="28" t="str">
        <x:v>белый шоколад</x:v>
      </x:c>
      <x:c r="C66" s="28" t="str">
        <x:v>чёрный чай</x:v>
      </x:c>
      <x:c r="D66" s="28" t="str">
        <x:v>Чай</x:v>
      </x:c>
      <x:c r="E66" s="28" t="str">
        <x:v>сенсорная комплементарность</x:v>
      </x:c>
      <x:c r="F66" s="28" t="str">
        <x:v>Белый шоколад имеет профиль «сливочный, ванильный, карамельный и маслянистый без выраженного какаового жареного профиля». Партнёр «чёрный чай» относится к группе «Чай» и даёт мальтовый, цветочный, фруктовый, древесный и слегка дымный.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66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66" s="28" t="str">
        <x:v>легко становится приторным и восковым; требует точной температуры темперирования</x:v>
      </x:c>
      <x:c r="I66" s="28" t="str">
        <x:v>ганаш, плитка, крем, мусс, напиток, глазурь или соус с чёрный чай</x:v>
      </x:c>
      <x:c r="J66" s="28" t="str">
        <x:v>Высокая</x:v>
      </x:c>
      <x:c r="K66" s="28" t="str">
        <x:v>The Art &amp; Science of Foodpairing.pdf</x:v>
      </x:c>
      <x:c r="L66" s="28" t="str">
        <x:v>The Art &amp; Science of Foodpairing.pdf: 365</x:v>
      </x:c>
    </x:row>
    <x:row r="67" ht="64" customHeight="1">
      <x:c r="A67" s="28" t="str">
        <x:v>NCT-0066</x:v>
      </x:c>
      <x:c r="B67" s="28" t="str">
        <x:v>белый шоколад</x:v>
      </x:c>
      <x:c r="C67" s="28" t="str">
        <x:v>шафран</x:v>
      </x:c>
      <x:c r="D67" s="28" t="str">
        <x:v>Прочее</x:v>
      </x:c>
      <x:c r="E67" s="28" t="str">
        <x:v>сенсорная комплементарность</x:v>
      </x:c>
      <x:c r="F67" s="28" t="str">
        <x:v>Белый шоколад имеет профиль «сливочный, ванильный, карамельный и маслянистый без выраженного какаового жареного профиля». Партнёр «шафран»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67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67" s="28" t="str">
        <x:v>легко становится приторным и восковым; требует точной температуры темперирования</x:v>
      </x:c>
      <x:c r="I67" s="28" t="str">
        <x:v>ганаш, плитка, крем, мусс, напиток, глазурь или соус с шафран</x:v>
      </x:c>
      <x:c r="J67" s="28" t="str">
        <x:v>Средняя</x:v>
      </x:c>
      <x:c r="K67" s="28" t="str">
        <x:v>Тезариус вкусов (Ники Сегнит)(1).pdf</x:v>
      </x:c>
      <x:c r="L67" s="28" t="str">
        <x:v>Тезариус вкусов (Ники Сегнит)(1).pdf: 474, 927</x:v>
      </x:c>
    </x:row>
    <x:row r="68" ht="64" customHeight="1">
      <x:c r="A68" s="28" t="str">
        <x:v>NCT-0067</x:v>
      </x:c>
      <x:c r="B68" s="28" t="str">
        <x:v>белый шоколад</x:v>
      </x:c>
      <x:c r="C68" s="28" t="str">
        <x:v>шоколад темный</x:v>
      </x:c>
      <x:c r="D68" s="28" t="str">
        <x:v>Какао и шоколад</x:v>
      </x:c>
      <x:c r="E68" s="28" t="str">
        <x:v>пересечение ароматических семейств, жареная химия и реакции Майяра</x:v>
      </x:c>
      <x:c r="F68" s="28" t="str">
        <x:v>Белый шоколад имеет профиль «сливочный, ванильный, карамельный и маслянистый без выраженного какаового жареного профиля». Партнёр «шоколад темный» относится к группе «Какао и шоколад» и даёт какаовый, жареный и горько-сладкий. Профили пересекаются в семействах: карамельный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карамельный; механизм не следует сводить к одной общей молекуле.</x:v>
      </x:c>
      <x:c r="G68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68" s="28" t="str">
        <x:v>легко становится приторным и восковым; требует точной температуры темперирования</x:v>
      </x:c>
      <x:c r="I68" s="28" t="str">
        <x:v>ганаш, плитка, крем, мусс, напиток, глазурь или соус с шоколад темный</x:v>
      </x:c>
      <x:c r="J68" s="28" t="str">
        <x:v>Средняя</x:v>
      </x:c>
      <x:c r="K68" s="28" t="str">
        <x:v>Тезариус вкусов (Ники Сегнит)(1).pdf</x:v>
      </x:c>
      <x:c r="L68" s="28" t="str">
        <x:v>Тезариус вкусов (Ники Сегнит)(1).pdf: 27</x:v>
      </x:c>
    </x:row>
    <x:row r="69" ht="64" customHeight="1">
      <x:c r="A69" s="28" t="str">
        <x:v>NCT-0068</x:v>
      </x:c>
      <x:c r="B69" s="28" t="str">
        <x:v>бразильский орех</x:v>
      </x:c>
      <x:c r="C69" s="28" t="str">
        <x:v>картофель фри</x:v>
      </x:c>
      <x:c r="D69" s="28" t="str">
        <x:v>Овощи, бобовые и грибы</x:v>
      </x:c>
      <x:c r="E69" s="28" t="str">
        <x:v>общие ароматические соединения, пересечение ароматических семейств</x:v>
      </x:c>
      <x:c r="F69" s="28" t="str">
        <x:v>Бразильский орех имеет профиль «маслянистый, древесный, землистый и мягко-ореховый». Партнёр «картофель фри»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землистый; альдегиды.</x:v>
      </x:c>
      <x:c r="G69" s="28" t="str">
        <x:v>обжарка усиливает жареные и сернистые оттенки. Целый орех обжаривать умеренно, охлаждать перед измельчением и хранить герметично.</x:v>
      </x:c>
      <x:c r="H69" s="28" t="str">
        <x:v>аллерген; очень богат селеном, поэтому не подходит для бесконтрольной высокой дозировки</x:v>
      </x:c>
      <x:c r="I69" s="28" t="str">
        <x:v>пралине, паста, выпечка, гарнир, соус, молочный или коктейльный компонент с картофель фри</x:v>
      </x:c>
      <x:c r="J69" s="28" t="str">
        <x:v>Средняя</x:v>
      </x:c>
      <x:c r="K69" s="28" t="str">
        <x:v>The Art &amp; Science of Foodpairing.pdf</x:v>
      </x:c>
      <x:c r="L69" s="28" t="str">
        <x:v>The Art &amp; Science of Foodpairing.pdf: 196</x:v>
      </x:c>
    </x:row>
    <x:row r="70" ht="64" customHeight="1">
      <x:c r="A70" s="28" t="str">
        <x:v>NCT-0069</x:v>
      </x:c>
      <x:c r="B70" s="28" t="str">
        <x:v>грецкий орех</x:v>
      </x:c>
      <x:c r="C70" s="28" t="str">
        <x:v>peppercorns</x:v>
      </x:c>
      <x:c r="D70" s="28" t="str">
        <x:v>Специи</x:v>
      </x:c>
      <x:c r="E70" s="28" t="str">
        <x:v>пересечение ароматических семейств</x:v>
      </x:c>
      <x:c r="F70" s="28" t="str">
        <x:v>Грецкий орех имеет профиль «ореховый, древесный, землистый, слегка горький и маслянистый». Партнёр «peppercorns» относится к группе «Специи» и даёт пряный и древесный. Профили пересекаются в семействах: древесный Ореховый жир служит носителем ароматов и создаёт текстурный контраст, но окисление быстро превращает профиль в прогорклый. Итог: древесный; механизм не следует сводить к одной общей молекуле.</x:v>
      </x:c>
      <x:c r="G70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0" s="28" t="str">
        <x:v>аллерген; быстро окисляется; горькая кожица способна доминировать</x:v>
      </x:c>
      <x:c r="I70" s="28" t="str">
        <x:v>пралине, паста, выпечка, гарнир, соус, молочный или коктейльный компонент с peppercorns</x:v>
      </x:c>
      <x:c r="J70" s="28" t="str">
        <x:v>Средняя</x:v>
      </x:c>
      <x:c r="K70" s="28" t="str">
        <x:v>The Art &amp; Science of Foodpairing.pdf</x:v>
      </x:c>
      <x:c r="L70" s="28" t="str">
        <x:v>The Art &amp; Science of Foodpairing.pdf: 273, 274</x:v>
      </x:c>
    </x:row>
    <x:row r="71" ht="64" customHeight="1">
      <x:c r="A71" s="28" t="str">
        <x:v>NCT-0070</x:v>
      </x:c>
      <x:c r="B71" s="28" t="str">
        <x:v>грецкий орех</x:v>
      </x:c>
      <x:c r="C71" s="28" t="str">
        <x:v>sweet potato</x:v>
      </x:c>
      <x:c r="D71" s="28" t="str">
        <x:v>Овощи, бобовые и грибы</x:v>
      </x:c>
      <x:c r="E71" s="28" t="str">
        <x:v>пересечение ароматических семейств</x:v>
      </x:c>
      <x:c r="F71" s="28" t="str">
        <x:v>Грецкий орех имеет профиль «ореховый, древесный, землистый, слегка горький и маслянистый». Партнёр «sweet potato»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71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1" s="28" t="str">
        <x:v>аллерген; быстро окисляется; горькая кожица способна доминировать</x:v>
      </x:c>
      <x:c r="I71" s="28" t="str">
        <x:v>пралине, паста, выпечка, гарнир, соус, молочный или коктейльный компонент с sweet potato</x:v>
      </x:c>
      <x:c r="J71" s="28" t="str">
        <x:v>Средняя</x:v>
      </x:c>
      <x:c r="K71" s="28" t="str">
        <x:v>The Art &amp; Science of Foodpairing.pdf</x:v>
      </x:c>
      <x:c r="L71" s="28" t="str">
        <x:v>The Art &amp; Science of Foodpairing.pdf: 119</x:v>
      </x:c>
    </x:row>
    <x:row r="72" ht="64" customHeight="1">
      <x:c r="A72" s="28" t="str">
        <x:v>NCT-0071</x:v>
      </x:c>
      <x:c r="B72" s="28" t="str">
        <x:v>грецкий орех</x:v>
      </x:c>
      <x:c r="C72" s="28" t="str">
        <x:v>абрикос</x:v>
      </x:c>
      <x:c r="D72" s="28" t="str">
        <x:v>Фрукты и ягоды</x:v>
      </x:c>
      <x:c r="E72" s="28" t="str">
        <x:v>общие ароматические соединения, контраст кислоты и жирной/горькой матрицы</x:v>
      </x:c>
      <x:c r="F72" s="28" t="str">
        <x:v>Грецкий орех имеет профиль «ореховый, древесный, землистый, слегка горький и маслянистый». Партнёр «абрикос» относится к группе «Фрукты и ягоды» и даёт лактонный, миндальный, фруктовый. Молекулярный мост создают лактоны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лактоны.</x:v>
      </x:c>
      <x:c r="G72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2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72" s="28" t="str">
        <x:v>пралине, паста, выпечка, гарнир, соус, молочный или коктейльный компонент с абрикос</x:v>
      </x:c>
      <x:c r="J72" s="28" t="str">
        <x:v>Гипотеза / практическая</x:v>
      </x:c>
      <x:c r="K72" s="28" t="str">
        <x:v>Таблица сочетания(1).pdf</x:v>
      </x:c>
      <x:c r="L72" s="28" t="str">
        <x:v>Таблица сочетания(1).pdf: 21</x:v>
      </x:c>
    </x:row>
    <x:row r="73" ht="64" customHeight="1">
      <x:c r="A73" s="28" t="str">
        <x:v>NCT-0072</x:v>
      </x:c>
      <x:c r="B73" s="28" t="str">
        <x:v>грецкий орех</x:v>
      </x:c>
      <x:c r="C73" s="28" t="str">
        <x:v>айва</x:v>
      </x:c>
      <x:c r="D73" s="28" t="str">
        <x:v>Прочее</x:v>
      </x:c>
      <x:c r="E73" s="28" t="str">
        <x:v>сенсорная комплементарность</x:v>
      </x:c>
      <x:c r="F73" s="28" t="str">
        <x:v>Грецкий орех имеет профиль «ореховый, древесный, землистый, слегка горький и маслянистый». Партнёр «айва»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3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3" s="28" t="str">
        <x:v>аллерген; быстро окисляется; горькая кожица способна доминировать</x:v>
      </x:c>
      <x:c r="I73" s="28" t="str">
        <x:v>пралине, паста, выпечка, гарнир, соус, молочный или коктейльный компонент с айва</x:v>
      </x:c>
      <x:c r="J73" s="28" t="str">
        <x:v>Гипотеза / практическая</x:v>
      </x:c>
      <x:c r="K73" s="28" t="str">
        <x:v>Таблица сочетания(1).pdf</x:v>
      </x:c>
      <x:c r="L73" s="28" t="str">
        <x:v>Таблица сочетания(1).pdf: 18</x:v>
      </x:c>
    </x:row>
    <x:row r="74" ht="64" customHeight="1">
      <x:c r="A74" s="28" t="str">
        <x:v>NCT-0073</x:v>
      </x:c>
      <x:c r="B74" s="28" t="str">
        <x:v>грецкий орех</x:v>
      </x:c>
      <x:c r="C74" s="28" t="str">
        <x:v>анис</x:v>
      </x:c>
      <x:c r="D74" s="28" t="str">
        <x:v>Прочее</x:v>
      </x:c>
      <x:c r="E74" s="28" t="str">
        <x:v>сенсорная комплементарность</x:v>
      </x:c>
      <x:c r="F74" s="28" t="str">
        <x:v>Грецкий орех имеет профиль «ореховый, древесный, землистый, слегка горький и маслянистый». Партнёр «анис»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4" s="28" t="str">
        <x:v>аллерген; быстро окисляется; горькая кожица способна доминировать</x:v>
      </x:c>
      <x:c r="I74" s="28" t="str">
        <x:v>пралине, паста, выпечка, гарнир, соус, молочный или коктейльный компонент с анис</x:v>
      </x:c>
      <x:c r="J74" s="28" t="str">
        <x:v>Высокая</x:v>
      </x:c>
      <x:c r="K74" s="28" t="str">
        <x:v>Таблица сочетания(1).pdf | Тезариус вкусов (Ники Сегнит)(1).pdf</x:v>
      </x:c>
      <x:c r="L74" s="28" t="str">
        <x:v>Таблица сочетания(1).pdf: 21; Тезариус вкусов (Ники Сегнит)(1).pdf: 483, 622</x:v>
      </x:c>
    </x:row>
    <x:row r="75" ht="64" customHeight="1">
      <x:c r="A75" s="28" t="str">
        <x:v>NCT-0074</x:v>
      </x:c>
      <x:c r="B75" s="28" t="str">
        <x:v>грецкий орех</x:v>
      </x:c>
      <x:c r="C75" s="28" t="str">
        <x:v>апельсин</x:v>
      </x:c>
      <x:c r="D75" s="28" t="str">
        <x:v>Фрукты и ягоды</x:v>
      </x:c>
      <x:c r="E75" s="28" t="str">
        <x:v>контраст кислоты и жирной/горькой матрицы</x:v>
      </x:c>
      <x:c r="F75" s="28" t="str">
        <x:v>Грецкий орех имеет профиль «ореховый, древесный, землистый, слегка горький и маслянистый». Партнёр «апельсин»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5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5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75" s="28" t="str">
        <x:v>пралине, паста, выпечка, гарнир, соус, молочный или коктейльный компонент с апельсин</x:v>
      </x:c>
      <x:c r="J75" s="28" t="str">
        <x:v>Средняя</x:v>
      </x:c>
      <x:c r="K75" s="28" t="str">
        <x:v>Тезариус вкусов (Ники Сегнит)(1).pdf</x:v>
      </x:c>
      <x:c r="L75" s="28" t="str">
        <x:v>Тезариус вкусов (Ники Сегнит)(1).pdf: 623, 775</x:v>
      </x:c>
    </x:row>
    <x:row r="76" ht="64" customHeight="1">
      <x:c r="A76" s="28" t="str">
        <x:v>NCT-0075</x:v>
      </x:c>
      <x:c r="B76" s="28" t="str">
        <x:v>грецкий орех</x:v>
      </x:c>
      <x:c r="C76" s="28" t="str">
        <x:v>бадьян</x:v>
      </x:c>
      <x:c r="D76" s="28" t="str">
        <x:v>Прочее</x:v>
      </x:c>
      <x:c r="E76" s="28" t="str">
        <x:v>сенсорная комплементарность</x:v>
      </x:c>
      <x:c r="F76" s="28" t="str">
        <x:v>Грецкий орех имеет профиль «ореховый, древесный, землистый, слегка горький и маслянистый». Партнёр «бадьян»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6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6" s="28" t="str">
        <x:v>аллерген; быстро окисляется; горькая кожица способна доминировать</x:v>
      </x:c>
      <x:c r="I76" s="28" t="str">
        <x:v>пралине, паста, выпечка, гарнир, соус, молочный или коктейльный компонент с бадьян</x:v>
      </x:c>
      <x:c r="J76" s="28" t="str">
        <x:v>Гипотеза / практическая</x:v>
      </x:c>
      <x:c r="K76" s="28" t="str">
        <x:v>Таблица сочетания(1).pdf</x:v>
      </x:c>
      <x:c r="L76" s="28" t="str">
        <x:v>Таблица сочетания(1).pdf: 20</x:v>
      </x:c>
    </x:row>
    <x:row r="77" ht="64" customHeight="1">
      <x:c r="A77" s="28" t="str">
        <x:v>NCT-0076</x:v>
      </x:c>
      <x:c r="B77" s="28" t="str">
        <x:v>грецкий орех</x:v>
      </x:c>
      <x:c r="C77" s="28" t="str">
        <x:v>базилик</x:v>
      </x:c>
      <x:c r="D77" s="28" t="str">
        <x:v>Травы, цветы и листья</x:v>
      </x:c>
      <x:c r="E77" s="28" t="str">
        <x:v>сенсорная комплементарность</x:v>
      </x:c>
      <x:c r="F77" s="28" t="str">
        <x:v>Грецкий орех имеет профиль «ореховый, древесный, землистый, слегка горький и маслянистый». Партнёр «базилик»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7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7" s="28" t="str">
        <x:v>аллерген; быстро окисляется; горькая кожица способна доминировать</x:v>
      </x:c>
      <x:c r="I77" s="28" t="str">
        <x:v>пралине, паста, выпечка, гарнир, соус, молочный или коктейльный компонент с базилик</x:v>
      </x:c>
      <x:c r="J77" s="28" t="str">
        <x:v>Средняя</x:v>
      </x:c>
      <x:c r="K77" s="28" t="str">
        <x:v>Тезариус вкусов (Ники Сегнит)(1).pdf</x:v>
      </x:c>
      <x:c r="L77" s="28" t="str">
        <x:v>Тезариус вкусов (Ники Сегнит)(1).pdf: 566, 623</x:v>
      </x:c>
    </x:row>
    <x:row r="78" ht="64" customHeight="1">
      <x:c r="A78" s="28" t="str">
        <x:v>NCT-0077</x:v>
      </x:c>
      <x:c r="B78" s="28" t="str">
        <x:v>грецкий орех</x:v>
      </x:c>
      <x:c r="C78" s="28" t="str">
        <x:v>баклажан</x:v>
      </x:c>
      <x:c r="D78" s="28" t="str">
        <x:v>Овощи, бобовые и грибы</x:v>
      </x:c>
      <x:c r="E78" s="28" t="str">
        <x:v>пересечение ароматических семейств</x:v>
      </x:c>
      <x:c r="F78" s="28" t="str">
        <x:v>Грецкий орех имеет профиль «ореховый, древесный, землистый, слегка горький и маслянистый». Партнёр «баклажан»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78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8" s="28" t="str">
        <x:v>аллерген; быстро окисляется; горькая кожица способна доминировать</x:v>
      </x:c>
      <x:c r="I78" s="28" t="str">
        <x:v>пралине, паста, выпечка, гарнир, соус, молочный или коктейльный компонент с баклажан</x:v>
      </x:c>
      <x:c r="J78" s="28" t="str">
        <x:v>Средняя</x:v>
      </x:c>
      <x:c r="K78" s="28" t="str">
        <x:v>Тезариус вкусов (Ники Сегнит)(1).pdf</x:v>
      </x:c>
      <x:c r="L78" s="28" t="str">
        <x:v>Тезариус вкусов (Ники Сегнит)(1).pdf: 210, 623</x:v>
      </x:c>
    </x:row>
    <x:row r="79" ht="64" customHeight="1">
      <x:c r="A79" s="28" t="str">
        <x:v>NCT-0078</x:v>
      </x:c>
      <x:c r="B79" s="28" t="str">
        <x:v>грецкий орех</x:v>
      </x:c>
      <x:c r="C79" s="28" t="str">
        <x:v>банан</x:v>
      </x:c>
      <x:c r="D79" s="28" t="str">
        <x:v>Фрукты и ягоды</x:v>
      </x:c>
      <x:c r="E79" s="28" t="str">
        <x:v>контраст кислоты и жирной/горькой матрицы</x:v>
      </x:c>
      <x:c r="F79" s="28" t="str">
        <x:v>Грецкий орех имеет профиль «ореховый, древесный, землистый, слегка горький и маслянистый».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9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79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79" s="28" t="str">
        <x:v>пралине, паста, выпечка, гарнир, соус, молочный или коктейльный компонент с банан</x:v>
      </x:c>
      <x:c r="J79" s="28" t="str">
        <x:v>Высокая</x:v>
      </x:c>
      <x:c r="K79" s="28" t="str">
        <x:v>Таблица сочетания(1).pdf | Тезариус вкусов (Ники Сегнит)(1).pdf</x:v>
      </x:c>
      <x:c r="L79" s="28" t="str">
        <x:v>Таблица сочетания(1).pdf: 2, 21; Тезариус вкусов (Ники Сегнит)(1).pdf: 623, 732</x:v>
      </x:c>
    </x:row>
    <x:row r="80" ht="64" customHeight="1">
      <x:c r="A80" s="28" t="str">
        <x:v>NCT-0079</x:v>
      </x:c>
      <x:c r="B80" s="28" t="str">
        <x:v>грецкий орех</x:v>
      </x:c>
      <x:c r="C80" s="28" t="str">
        <x:v>брокколи</x:v>
      </x:c>
      <x:c r="D80" s="28" t="str">
        <x:v>Прочее</x:v>
      </x:c>
      <x:c r="E80" s="28" t="str">
        <x:v>сенсорная комплементарность</x:v>
      </x:c>
      <x:c r="F80" s="28" t="str">
        <x:v>Грецкий орех имеет профиль «ореховый, древесный, землистый, слегка горький и маслянистый». Партнёр «брокколи»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0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0" s="28" t="str">
        <x:v>аллерген; быстро окисляется; горькая кожица способна доминировать</x:v>
      </x:c>
      <x:c r="I80" s="28" t="str">
        <x:v>пралине, паста, выпечка, гарнир, соус, молочный или коктейльный компонент с брокколи</x:v>
      </x:c>
      <x:c r="J80" s="28" t="str">
        <x:v>Средняя</x:v>
      </x:c>
      <x:c r="K80" s="28" t="str">
        <x:v>Тезариус вкусов (Ники Сегнит)(1).pdf</x:v>
      </x:c>
      <x:c r="L80" s="28" t="str">
        <x:v>Тезариус вкусов (Ники Сегнит)(1).pdf: 331, 624</x:v>
      </x:c>
    </x:row>
    <x:row r="81" ht="64" customHeight="1">
      <x:c r="A81" s="28" t="str">
        <x:v>NCT-0080</x:v>
      </x:c>
      <x:c r="B81" s="28" t="str">
        <x:v>грецкий орех</x:v>
      </x:c>
      <x:c r="C81" s="28" t="str">
        <x:v>ваниль</x:v>
      </x:c>
      <x:c r="D81" s="28" t="str">
        <x:v>Специи</x:v>
      </x:c>
      <x:c r="E81" s="28" t="str">
        <x:v>сенсорная комплементарность</x:v>
      </x:c>
      <x:c r="F81" s="28" t="str">
        <x:v>Грецкий орех имеет профиль «ореховый, древесный, землистый, слегка горький и маслянистый».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1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1" s="28" t="str">
        <x:v>аллерген; быстро окисляется; горькая кожица способна доминировать</x:v>
      </x:c>
      <x:c r="I81" s="28" t="str">
        <x:v>пралине, паста, выпечка, гарнир, соус, молочный или коктейльный компонент с ваниль</x:v>
      </x:c>
      <x:c r="J81" s="28" t="str">
        <x:v>Высокая</x:v>
      </x:c>
      <x:c r="K81" s="28" t="str">
        <x:v>Таблица сочетания(1).pdf | Тезариус вкусов (Ники Сегнит)(1).pdf</x:v>
      </x:c>
      <x:c r="L81" s="28" t="str">
        <x:v>Таблица сочетания(1).pdf: 21; Тезариус вкусов (Ники Сегнит)(1).pdf: 624, 916</x:v>
      </x:c>
    </x:row>
    <x:row r="82" ht="64" customHeight="1">
      <x:c r="A82" s="28" t="str">
        <x:v>NCT-0081</x:v>
      </x:c>
      <x:c r="B82" s="28" t="str">
        <x:v>грецкий орех</x:v>
      </x:c>
      <x:c r="C82" s="28" t="str">
        <x:v>виноград</x:v>
      </x:c>
      <x:c r="D82" s="28" t="str">
        <x:v>Алкогольные напитки</x:v>
      </x:c>
      <x:c r="E82" s="28" t="str">
        <x:v>пересечение ароматических семейств</x:v>
      </x:c>
      <x:c r="F82" s="28" t="str">
        <x:v>Грецкий орех имеет профиль «ореховый, древесный, землистый, слегка горький и маслянистый». Партнёр «виноград» относится к группе «Алкогольные напитки» и даёт спиртовой, фруктовый или древесный. Профили пересекаются в семействах: древесный Ореховый жир служит носителем ароматов и создаёт текстурный контраст, но окисление быстро превращает профиль в прогорклый. Итог: древесный; механизм не следует сводить к одной общей молекуле.</x:v>
      </x:c>
      <x:c r="G82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2" s="28" t="str">
        <x:v>аллерген; быстро окисляется; горькая кожица способна доминировать</x:v>
      </x:c>
      <x:c r="I82" s="28" t="str">
        <x:v>пралине, паста, выпечка, гарнир, соус, молочный или коктейльный компонент с виноград</x:v>
      </x:c>
      <x:c r="J82" s="28" t="str">
        <x:v>Средняя</x:v>
      </x:c>
      <x:c r="K82" s="28" t="str">
        <x:v>Тезариус вкусов (Ники Сегнит)(1).pdf</x:v>
      </x:c>
      <x:c r="L82" s="28" t="str">
        <x:v>Тезариус вкусов (Ники Сегнит)(1).pdf: 625, 666</x:v>
      </x:c>
    </x:row>
    <x:row r="83" ht="64" customHeight="1">
      <x:c r="A83" s="28" t="str">
        <x:v>NCT-0082</x:v>
      </x:c>
      <x:c r="B83" s="28" t="str">
        <x:v>грецкий орех</x:v>
      </x:c>
      <x:c r="C83" s="28" t="str">
        <x:v>вишня</x:v>
      </x:c>
      <x:c r="D83" s="28" t="str">
        <x:v>Фрукты и ягоды</x:v>
      </x:c>
      <x:c r="E83" s="28" t="str">
        <x:v>контраст кислоты и жирной/горькой матрицы</x:v>
      </x:c>
      <x:c r="F83" s="28" t="str">
        <x:v>Грецкий орех имеет профиль «ореховый, древесный, землистый, слегка горький и маслянистый». Партнёр «вишня» относится к группе «Фрукты и ягоды» и даёт миндальный,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3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3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83" s="28" t="str">
        <x:v>пралине, паста, выпечка, гарнир, соус, молочный или коктейльный компонент с вишня</x:v>
      </x:c>
      <x:c r="J83" s="28" t="str">
        <x:v>Высокая</x:v>
      </x:c>
      <x:c r="K83" s="28" t="str">
        <x:v>Таблица сочетания(1).pdf | Тезариус вкусов (Ники Сегнит)(1).pdf</x:v>
      </x:c>
      <x:c r="L83" s="28" t="str">
        <x:v>Таблица сочетания(1).pdf: 22; Тезариус вкусов (Ники Сегнит)(1).pdf: 625, 654</x:v>
      </x:c>
    </x:row>
    <x:row r="84" ht="64" customHeight="1">
      <x:c r="A84" s="28" t="str">
        <x:v>NCT-0083</x:v>
      </x:c>
      <x:c r="B84" s="28" t="str">
        <x:v>грецкий орех</x:v>
      </x:c>
      <x:c r="C84" s="28" t="str">
        <x:v>водоросли</x:v>
      </x:c>
      <x:c r="D84" s="28" t="str">
        <x:v>Прочее</x:v>
      </x:c>
      <x:c r="E84" s="28" t="str">
        <x:v>сенсорная комплементарность</x:v>
      </x:c>
      <x:c r="F84" s="28" t="str">
        <x:v>Грецкий орех имеет профиль «ореховый, древесный, землистый, слегка горький и маслянистый». Партнёр «водоросли»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4" s="28" t="str">
        <x:v>аллерген; быстро окисляется; горькая кожица способна доминировать</x:v>
      </x:c>
      <x:c r="I84" s="28" t="str">
        <x:v>пралине, паста, выпечка, гарнир, соус, молочный или коктейльный компонент с водоросли</x:v>
      </x:c>
      <x:c r="J84" s="28" t="str">
        <x:v>Средняя</x:v>
      </x:c>
      <x:c r="K84" s="28" t="str">
        <x:v>The Art &amp; Science of Foodpairing.pdf</x:v>
      </x:c>
      <x:c r="L84" s="28" t="str">
        <x:v>The Art &amp; Science of Foodpairing.pdf: 267</x:v>
      </x:c>
    </x:row>
    <x:row r="85" ht="64" customHeight="1">
      <x:c r="A85" s="28" t="str">
        <x:v>NCT-0084</x:v>
      </x:c>
      <x:c r="B85" s="28" t="str">
        <x:v>грецкий орех</x:v>
      </x:c>
      <x:c r="C85" s="28" t="str">
        <x:v>водяной кресс</x:v>
      </x:c>
      <x:c r="D85" s="28" t="str">
        <x:v>Прочее</x:v>
      </x:c>
      <x:c r="E85" s="28" t="str">
        <x:v>сенсорная комплементарность</x:v>
      </x:c>
      <x:c r="F85" s="28" t="str">
        <x:v>Грецкий орех имеет профиль «ореховый, древесный, землистый, слегка горький и маслянистый». Партнёр «водяной кресс»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5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5" s="28" t="str">
        <x:v>аллерген; быстро окисляется; горькая кожица способна доминировать</x:v>
      </x:c>
      <x:c r="I85" s="28" t="str">
        <x:v>пралине, паста, выпечка, гарнир, соус, молочный или коктейльный компонент с водяной кресс</x:v>
      </x:c>
      <x:c r="J85" s="28" t="str">
        <x:v>Средняя</x:v>
      </x:c>
      <x:c r="K85" s="28" t="str">
        <x:v>Тезариус вкусов (Ники Сегнит)(1).pdf</x:v>
      </x:c>
      <x:c r="L85" s="28" t="str">
        <x:v>Тезариус вкусов (Ники Сегнит)(1).pdf: 259, 625</x:v>
      </x:c>
    </x:row>
    <x:row r="86" ht="64" customHeight="1">
      <x:c r="A86" s="28" t="str">
        <x:v>NCT-0085</x:v>
      </x:c>
      <x:c r="B86" s="28" t="str">
        <x:v>грецкий орех</x:v>
      </x:c>
      <x:c r="C86" s="28" t="str">
        <x:v>гвоздика</x:v>
      </x:c>
      <x:c r="D86" s="28" t="str">
        <x:v>Специи</x:v>
      </x:c>
      <x:c r="E86" s="28" t="str">
        <x:v>пересечение ароматических семейств</x:v>
      </x:c>
      <x:c r="F86" s="28" t="str">
        <x:v>Грецкий орех имеет профиль «ореховый, древесный, землистый, слегка горький и маслянистый». Партнёр «гвоздика» относится к группе «Специи» и даёт древесный, пряный, фенольный. Профили пересекаются в семействах: древесный Ореховый жир служит носителем ароматов и создаёт текстурный контраст, но окисление быстро превращает профиль в прогорклый. Итог: древесный; механизм не следует сводить к одной общей молекуле.</x:v>
      </x:c>
      <x:c r="G86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6" s="28" t="str">
        <x:v>аллерген; быстро окисляется; горькая кожица способна доминировать</x:v>
      </x:c>
      <x:c r="I86" s="28" t="str">
        <x:v>пралине, паста, выпечка, гарнир, соус, молочный или коктейльный компонент с гвоздика</x:v>
      </x:c>
      <x:c r="J86" s="28" t="str">
        <x:v>Гипотеза / практическая</x:v>
      </x:c>
      <x:c r="K86" s="28" t="str">
        <x:v>Таблица сочетания(1).pdf</x:v>
      </x:c>
      <x:c r="L86" s="28" t="str">
        <x:v>Таблица сочетания(1).pdf: 5</x:v>
      </x:c>
    </x:row>
    <x:row r="87" ht="64" customHeight="1">
      <x:c r="A87" s="28" t="str">
        <x:v>NCT-0086</x:v>
      </x:c>
      <x:c r="B87" s="28" t="str">
        <x:v>грецкий орех</x:v>
      </x:c>
      <x:c r="C87" s="28" t="str">
        <x:v>говядина</x:v>
      </x:c>
      <x:c r="D87" s="28" t="str">
        <x:v>Мясо и птица</x:v>
      </x:c>
      <x:c r="E87" s="28" t="str">
        <x:v>общие ароматические соединения, жареная химия и реакции Майяра, солёно-умами контраст</x:v>
      </x:c>
      <x:c r="F87" s="28" t="str">
        <x:v>Грецкий орех имеет профиль «ореховый, древесный, землистый, слегка горький и маслянистый». Партнёр «говядина»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87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7" s="28" t="str">
        <x:v>аллерген; быстро окисляется; горькая кожица способна доминировать</x:v>
      </x:c>
      <x:c r="I87" s="28" t="str">
        <x:v>пралине, паста, выпечка, гарнир, соус, молочный или коктейльный компонент с говядина</x:v>
      </x:c>
      <x:c r="J87" s="28" t="str">
        <x:v>Средняя</x:v>
      </x:c>
      <x:c r="K87" s="28" t="str">
        <x:v>Тезариус вкусов (Ники Сегнит)(1).pdf</x:v>
      </x:c>
      <x:c r="L87" s="28" t="str">
        <x:v>Тезариус вкусов (Ники Сегнит)(1).pdf: 108, 625</x:v>
      </x:c>
    </x:row>
    <x:row r="88" ht="64" customHeight="1">
      <x:c r="A88" s="28" t="str">
        <x:v>NCT-0087</x:v>
      </x:c>
      <x:c r="B88" s="28" t="str">
        <x:v>грецкий орех</x:v>
      </x:c>
      <x:c r="C88" s="28" t="str">
        <x:v>голубой сыр</x:v>
      </x:c>
      <x:c r="D88" s="28" t="str">
        <x:v>Молочные продукты и сыры</x:v>
      </x:c>
      <x:c r="E88" s="28" t="str">
        <x:v>жировая экстракция и связывание полифенолов белком</x:v>
      </x:c>
      <x:c r="F88" s="28" t="str">
        <x:v>Грецкий орех имеет профиль «ореховый, древесный, землистый, слегка горький и маслянистый». Партнёр «голубой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8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8" s="28" t="str">
        <x:v>аллерген; быстро окисляется; горькая кожица способна доминировать; жир способен приглушить тонкую ароматику; белок связывает полифенолы</x:v>
      </x:c>
      <x:c r="I88" s="28" t="str">
        <x:v>пралине, паста, выпечка, гарнир, соус, молочный или коктейльный компонент с голубой сыр</x:v>
      </x:c>
      <x:c r="J88" s="28" t="str">
        <x:v>Средняя</x:v>
      </x:c>
      <x:c r="K88" s="28" t="str">
        <x:v>Тезариус вкусов (Ники Сегнит)(1).pdf</x:v>
      </x:c>
      <x:c r="L88" s="28" t="str">
        <x:v>Тезариус вкусов (Ники Сегнит)(1).pdf: 156, 625</x:v>
      </x:c>
    </x:row>
    <x:row r="89" ht="64" customHeight="1">
      <x:c r="A89" s="28" t="str">
        <x:v>NCT-0088</x:v>
      </x:c>
      <x:c r="B89" s="28" t="str">
        <x:v>грецкий орех</x:v>
      </x:c>
      <x:c r="C89" s="28" t="str">
        <x:v>грибы</x:v>
      </x:c>
      <x:c r="D89" s="28" t="str">
        <x:v>Овощи, бобовые и грибы</x:v>
      </x:c>
      <x:c r="E89" s="28" t="str">
        <x:v>пересечение ароматических семейств</x:v>
      </x:c>
      <x:c r="F89" s="28" t="str">
        <x:v>Грецкий орех имеет профиль «ореховый, древесный, землистый, слегка горький и маслянистый». Партнёр «грибы»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89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89" s="28" t="str">
        <x:v>аллерген; быстро окисляется; горькая кожица способна доминировать</x:v>
      </x:c>
      <x:c r="I89" s="28" t="str">
        <x:v>пралине, паста, выпечка, гарнир, соус, молочный или коктейльный компонент с грибы</x:v>
      </x:c>
      <x:c r="J89" s="28" t="str">
        <x:v>Средняя</x:v>
      </x:c>
      <x:c r="K89" s="28" t="str">
        <x:v>Тезариус вкусов (Ники Сегнит)(1).pdf</x:v>
      </x:c>
      <x:c r="L89" s="28" t="str">
        <x:v>Тезариус вкусов (Ники Сегнит)(1).pdf: 195, 625</x:v>
      </x:c>
    </x:row>
    <x:row r="90" ht="64" customHeight="1">
      <x:c r="A90" s="28" t="str">
        <x:v>NCT-0089</x:v>
      </x:c>
      <x:c r="B90" s="28" t="str">
        <x:v>грецкий орех</x:v>
      </x:c>
      <x:c r="C90" s="28" t="str">
        <x:v>груша</x:v>
      </x:c>
      <x:c r="D90" s="28" t="str">
        <x:v>Фрукты и ягоды</x:v>
      </x:c>
      <x:c r="E90" s="28" t="str">
        <x:v>контраст кислоты и жирной/горькой матрицы</x:v>
      </x:c>
      <x:c r="F90" s="28" t="str">
        <x:v>Грецкий орех имеет профиль «ореховый, древесный, землистый, слегка горький и маслянистый». Партнёр «груша»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90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90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90" s="28" t="str">
        <x:v>пралине, паста, выпечка, гарнир, соус, молочный или коктейльный компонент с груша</x:v>
      </x:c>
      <x:c r="J90" s="28" t="str">
        <x:v>Высокая</x:v>
      </x:c>
      <x:c r="K90" s="28" t="str">
        <x:v>Таблица сочетания(1).pdf | Тезариус вкусов (Ники Сегнит)(1).pdf</x:v>
      </x:c>
      <x:c r="L90" s="28" t="str">
        <x:v>Таблица сочетания(1).pdf: 16; Тезариус вкусов (Ники Сегнит)(1).pdf: 625, 722</x:v>
      </x:c>
    </x:row>
    <x:row r="91" ht="64" customHeight="1">
      <x:c r="A91" s="28" t="str">
        <x:v>NCT-0090</x:v>
      </x:c>
      <x:c r="B91" s="28" t="str">
        <x:v>грецкий орех</x:v>
      </x:c>
      <x:c r="C91" s="28" t="str">
        <x:v>инжир</x:v>
      </x:c>
      <x:c r="D91" s="28" t="str">
        <x:v>Фрукты и ягоды</x:v>
      </x:c>
      <x:c r="E91" s="28" t="str">
        <x:v>контраст кислоты и жирной/горькой матрицы</x:v>
      </x:c>
      <x:c r="F91" s="28" t="str">
        <x:v>Грецкий орех имеет профиль «ореховый, древесный, землистый, слегка горький и маслянистый». Партнёр «инжир»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91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91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91" s="28" t="str">
        <x:v>пралине, паста, выпечка, гарнир, соус, молочный или коктейльный компонент с инжир</x:v>
      </x:c>
      <x:c r="J91" s="28" t="str">
        <x:v>Высокая</x:v>
      </x:c>
      <x:c r="K91" s="28" t="str">
        <x:v>Таблица сочетания(1).pdf | Тезариус вкусов (Ники Сегнит)(1).pdf</x:v>
      </x:c>
      <x:c r="L91" s="28" t="str">
        <x:v>Таблица сочетания(1).pdf: 8; Тезариус вкусов (Ники Сегнит)(1).pdf: 626, 893</x:v>
      </x:c>
    </x:row>
    <x:row r="92" ht="64" customHeight="1">
      <x:c r="A92" s="28" t="str">
        <x:v>NCT-0091</x:v>
      </x:c>
      <x:c r="B92" s="28" t="str">
        <x:v>грецкий орех</x:v>
      </x:c>
      <x:c r="C92" s="28" t="str">
        <x:v>карамель</x:v>
      </x:c>
      <x:c r="D92" s="28" t="str">
        <x:v>Выпечка, сахара и десерты</x:v>
      </x:c>
      <x:c r="E92" s="28" t="str">
        <x:v>жареная химия и реакции Майяра</x:v>
      </x:c>
      <x:c r="F92" s="28" t="str">
        <x:v>Грецкий орех имеет профиль «ореховый, древесный, землистый, слегка горький и маслянистый». Партнёр «карамель» относится к группе «Выпечка, сахара и десерты» и даёт жареный, карамельный.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92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92" s="28" t="str">
        <x:v>аллерген; быстро окисляется; горькая кожица способна доминировать</x:v>
      </x:c>
      <x:c r="I92" s="28" t="str">
        <x:v>пралине, паста, выпечка, гарнир, соус, молочный или коктейльный компонент с карамель</x:v>
      </x:c>
      <x:c r="J92" s="28" t="str">
        <x:v>Гипотеза / практическая</x:v>
      </x:c>
      <x:c r="K92" s="28" t="str">
        <x:v>Таблица сочетания(1).pdf</x:v>
      </x:c>
      <x:c r="L92" s="28" t="str">
        <x:v>Таблица сочетания(1).pdf: 3, 22</x:v>
      </x:c>
    </x:row>
    <x:row r="93" ht="64" customHeight="1">
      <x:c r="A93" s="28" t="str">
        <x:v>NCT-0092</x:v>
      </x:c>
      <x:c r="B93" s="28" t="str">
        <x:v>грецкий орех</x:v>
      </x:c>
      <x:c r="C93" s="28" t="str">
        <x:v>кленовый сироп</x:v>
      </x:c>
      <x:c r="D93" s="28" t="str">
        <x:v>Выпечка, сахара и десерты</x:v>
      </x:c>
      <x:c r="E93" s="28" t="str">
        <x:v>общие ароматические соединения, жареная химия и реакции Майяра</x:v>
      </x:c>
      <x:c r="F93" s="28" t="str">
        <x:v>Грецкий орех имеет профиль «ореховый, древесный, землистый, слегка горький и маслянистый». Партнёр «кленовый сироп» относится к группе «Выпечка, сахара и десерты» и даёт сладкий, карамельный и жареный.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93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93" s="28" t="str">
        <x:v>аллерген; быстро окисляется; горькая кожица способна доминировать</x:v>
      </x:c>
      <x:c r="I93" s="28" t="str">
        <x:v>пралине, паста, выпечка, гарнир, соус, молочный или коктейльный компонент с кленовый сироп</x:v>
      </x:c>
      <x:c r="J93" s="28" t="str">
        <x:v>Гипотеза / практическая</x:v>
      </x:c>
      <x:c r="K93" s="28" t="str">
        <x:v>Таблица сочетания(1).pdf</x:v>
      </x:c>
      <x:c r="L93" s="28" t="str">
        <x:v>Таблица сочетания(1).pdf: 13</x:v>
      </x:c>
    </x:row>
    <x:row r="94" ht="64" customHeight="1">
      <x:c r="A94" s="28" t="str">
        <x:v>NCT-0093</x:v>
      </x:c>
      <x:c r="B94" s="28" t="str">
        <x:v>грецкий орех</x:v>
      </x:c>
      <x:c r="C94" s="28" t="str">
        <x:v>клюква</x:v>
      </x:c>
      <x:c r="D94" s="28" t="str">
        <x:v>Прочее</x:v>
      </x:c>
      <x:c r="E94" s="28" t="str">
        <x:v>сенсорная комплементарность</x:v>
      </x:c>
      <x:c r="F94" s="28" t="str">
        <x:v>Грецкий орех имеет профиль «ореховый, древесный, землистый, слегка горький и маслянистый». Партнёр «клюква»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9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94" s="28" t="str">
        <x:v>аллерген; быстро окисляется; горькая кожица способна доминировать</x:v>
      </x:c>
      <x:c r="I94" s="28" t="str">
        <x:v>пралине, паста, выпечка, гарнир, соус, молочный или коктейльный компонент с клюква</x:v>
      </x:c>
      <x:c r="J94" s="28" t="str">
        <x:v>Гипотеза / практическая</x:v>
      </x:c>
      <x:c r="K94" s="28" t="str">
        <x:v>Таблица сочетания(1).pdf</x:v>
      </x:c>
      <x:c r="L94" s="28" t="str">
        <x:v>Таблица сочетания(1).pdf: 6, 22</x:v>
      </x:c>
    </x:row>
    <x:row r="95" ht="64" customHeight="1">
      <x:c r="A95" s="28" t="str">
        <x:v>NCT-0094</x:v>
      </x:c>
      <x:c r="B95" s="28" t="str">
        <x:v>грецкий орех</x:v>
      </x:c>
      <x:c r="C95" s="28" t="str">
        <x:v>козий сыр</x:v>
      </x:c>
      <x:c r="D95" s="28" t="str">
        <x:v>Молочные продукты и сыры</x:v>
      </x:c>
      <x:c r="E95" s="28" t="str">
        <x:v>жировая экстракция и связывание полифенолов белком</x:v>
      </x:c>
      <x:c r="F95" s="28" t="str">
        <x:v>Грецкий орех имеет профиль «ореховый, древесный, землистый, слегка горький и маслянистый». Партнёр «козий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95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95" s="28" t="str">
        <x:v>аллерген; быстро окисляется; горькая кожица способна доминировать; жир способен приглушить тонкую ароматику; белок связывает полифенолы</x:v>
      </x:c>
      <x:c r="I95" s="28" t="str">
        <x:v>пралине, паста, выпечка, гарнир, соус, молочный или коктейльный компонент с козий сыр</x:v>
      </x:c>
      <x:c r="J95" s="28" t="str">
        <x:v>Средняя</x:v>
      </x:c>
      <x:c r="K95" s="28" t="str">
        <x:v>Тезариус вкусов (Ники Сегнит)(1).pdf</x:v>
      </x:c>
      <x:c r="L95" s="28" t="str">
        <x:v>Тезариус вкусов (Ники Сегнит)(1).pdf: 137, 626</x:v>
      </x:c>
    </x:row>
    <x:row r="96" ht="64" customHeight="1">
      <x:c r="A96" s="28" t="str">
        <x:v>NCT-0095</x:v>
      </x:c>
      <x:c r="B96" s="28" t="str">
        <x:v>грецкий орех</x:v>
      </x:c>
      <x:c r="C96" s="28" t="str">
        <x:v>корица</x:v>
      </x:c>
      <x:c r="D96" s="28" t="str">
        <x:v>Специи</x:v>
      </x:c>
      <x:c r="E96" s="28" t="str">
        <x:v>пересечение ароматических семейств</x:v>
      </x:c>
      <x:c r="F96" s="28" t="str">
        <x:v>Грецкий орех имеет профиль «ореховый, древесный, землистый, слегка горький и маслянистый». Партнёр «корица» относится к группе «Специи» и даёт древесный, пряный. Профили пересекаются в семействах: древесный Ореховый жир служит носителем ароматов и создаёт текстурный контраст, но окисление быстро превращает профиль в прогорклый. Итог: древесный; механизм не следует сводить к одной общей молекуле.</x:v>
      </x:c>
      <x:c r="G96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96" s="28" t="str">
        <x:v>аллерген; быстро окисляется; горькая кожица способна доминировать</x:v>
      </x:c>
      <x:c r="I96" s="28" t="str">
        <x:v>пралине, паста, выпечка, гарнир, соус, молочный или коктейльный компонент с корица</x:v>
      </x:c>
      <x:c r="J96" s="28" t="str">
        <x:v>Средняя</x:v>
      </x:c>
      <x:c r="K96" s="28" t="str">
        <x:v>Тезариус вкусов (Ники Сегнит)(1).pdf</x:v>
      </x:c>
      <x:c r="L96" s="28" t="str">
        <x:v>Тезариус вкусов (Ники Сегнит)(1).pdf: 576, 626</x:v>
      </x:c>
    </x:row>
    <x:row r="97" ht="64" customHeight="1">
      <x:c r="A97" s="28" t="str">
        <x:v>NCT-0096</x:v>
      </x:c>
      <x:c r="B97" s="28" t="str">
        <x:v>грецкий орех</x:v>
      </x:c>
      <x:c r="C97" s="28" t="str">
        <x:v>корица и кассия</x:v>
      </x:c>
      <x:c r="D97" s="28" t="str">
        <x:v>Специи</x:v>
      </x:c>
      <x:c r="E97" s="28" t="str">
        <x:v>пересечение ароматических семейств</x:v>
      </x:c>
      <x:c r="F97" s="28" t="str">
        <x:v>Грецкий орех имеет профиль «ореховый, древесный, землистый, слегка горький и маслянистый». Партнёр «корица и кассия» относится к группе «Специи» и даёт древесный, пряный. Профили пересекаются в семействах: древесный Ореховый жир служит носителем ароматов и создаёт текстурный контраст, но окисление быстро превращает профиль в прогорклый. Итог: древесный; механизм не следует сводить к одной общей молекуле.</x:v>
      </x:c>
      <x:c r="G97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97" s="28" t="str">
        <x:v>аллерген; быстро окисляется; горькая кожица способна доминировать</x:v>
      </x:c>
      <x:c r="I97" s="28" t="str">
        <x:v>пралине, паста, выпечка, гарнир, соус, молочный или коктейльный компонент с корица и кассия</x:v>
      </x:c>
      <x:c r="J97" s="28" t="str">
        <x:v>Средняя</x:v>
      </x:c>
      <x:c r="K97" s="28" t="str">
        <x:v>The Art &amp; Science of Foodpairing.pdf</x:v>
      </x:c>
      <x:c r="L97" s="28" t="str">
        <x:v>The Art &amp; Science of Foodpairing.pdf: 130</x:v>
      </x:c>
    </x:row>
    <x:row r="98" ht="64" customHeight="1">
      <x:c r="A98" s="28" t="str">
        <x:v>NCT-0097</x:v>
      </x:c>
      <x:c r="B98" s="28" t="str">
        <x:v>грецкий орех</x:v>
      </x:c>
      <x:c r="C98" s="28" t="str">
        <x:v>кофе</x:v>
      </x:c>
      <x:c r="D98" s="28" t="str">
        <x:v>Кофе</x:v>
      </x:c>
      <x:c r="E98" s="28" t="str">
        <x:v>общие ароматические соединения, пересечение ароматических семейств, жареная химия и реакции Майяра</x:v>
      </x:c>
      <x:c r="F98" s="28" t="str">
        <x:v>Грецкий орех имеет профиль «ореховый, древесный, землистый, слегка горький и маслянистый».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пиразины.</x:v>
      </x:c>
      <x:c r="G98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98" s="28" t="str">
        <x:v>аллерген; быстро окисляется; горькая кожица способна доминировать</x:v>
      </x:c>
      <x:c r="I98" s="28" t="str">
        <x:v>пралине, паста, выпечка, гарнир, соус, молочный или коктейльный компонент с кофе</x:v>
      </x:c>
      <x:c r="J98" s="28" t="str">
        <x:v>Высокая</x:v>
      </x:c>
      <x:c r="K98" s="28" t="str">
        <x:v>Таблица сочетания(1).pdf | Тезариус вкусов (Ники Сегнит)(1).pdf</x:v>
      </x:c>
      <x:c r="L98" s="28" t="str">
        <x:v>Таблица сочетания(1).pdf: 6, 21; Тезариус вкусов (Ники Сегнит)(1).pdf: 44, 626</x:v>
      </x:c>
    </x:row>
    <x:row r="99" ht="64" customHeight="1">
      <x:c r="A99" s="28" t="str">
        <x:v>NCT-0098</x:v>
      </x:c>
      <x:c r="B99" s="28" t="str">
        <x:v>грецкий орех</x:v>
      </x:c>
      <x:c r="C99" s="28" t="str">
        <x:v>кумкват</x:v>
      </x:c>
      <x:c r="D99" s="28" t="str">
        <x:v>Прочее</x:v>
      </x:c>
      <x:c r="E99" s="28" t="str">
        <x:v>сенсорная комплементарность</x:v>
      </x:c>
      <x:c r="F99" s="28" t="str">
        <x:v>Грецкий орех имеет профиль «ореховый, древесный, землистый, слегка горький и маслянистый». Партнёр «кумкват»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99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99" s="28" t="str">
        <x:v>аллерген; быстро окисляется; горькая кожица способна доминировать</x:v>
      </x:c>
      <x:c r="I99" s="28" t="str">
        <x:v>пралине, паста, выпечка, гарнир, соус, молочный или коктейльный компонент с кумкват</x:v>
      </x:c>
      <x:c r="J99" s="28" t="str">
        <x:v>Гипотеза / практическая</x:v>
      </x:c>
      <x:c r="K99" s="28" t="str">
        <x:v>Таблица сочетания(1).pdf</x:v>
      </x:c>
      <x:c r="L99" s="28" t="str">
        <x:v>Таблица сочетания(1).pdf: 10</x:v>
      </x:c>
    </x:row>
    <x:row r="100" ht="64" customHeight="1">
      <x:c r="A100" s="28" t="str">
        <x:v>NCT-0099</x:v>
      </x:c>
      <x:c r="B100" s="28" t="str">
        <x:v>грецкий орех</x:v>
      </x:c>
      <x:c r="C100" s="28" t="str">
        <x:v>моллюски</x:v>
      </x:c>
      <x:c r="D100" s="28" t="str">
        <x:v>Прочее</x:v>
      </x:c>
      <x:c r="E100" s="28" t="str">
        <x:v>сенсорная комплементарность</x:v>
      </x:c>
      <x:c r="F100" s="28" t="str">
        <x:v>Грецкий орех имеет профиль «ореховый, древесный, землистый, слегка горький и маслянистый». Партнёр «моллюски»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00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00" s="28" t="str">
        <x:v>аллерген; быстро окисляется; горькая кожица способна доминировать</x:v>
      </x:c>
      <x:c r="I100" s="28" t="str">
        <x:v>пралине, паста, выпечка, гарнир, соус, молочный или коктейльный компонент с моллюски</x:v>
      </x:c>
      <x:c r="J100" s="28" t="str">
        <x:v>Средняя</x:v>
      </x:c>
      <x:c r="K100" s="28" t="str">
        <x:v>Тезариус вкусов (Ники Сегнит)(1).pdf</x:v>
      </x:c>
      <x:c r="L100" s="28" t="str">
        <x:v>Тезариус вкусов (Ники Сегнит)(1).pdf: 369, 626</x:v>
      </x:c>
    </x:row>
    <x:row r="101" ht="64" customHeight="1">
      <x:c r="A101" s="28" t="str">
        <x:v>NCT-0100</x:v>
      </x:c>
      <x:c r="B101" s="28" t="str">
        <x:v>грецкий орех</x:v>
      </x:c>
      <x:c r="C101" s="28" t="str">
        <x:v>морковь</x:v>
      </x:c>
      <x:c r="D101" s="28" t="str">
        <x:v>Овощи, бобовые и грибы</x:v>
      </x:c>
      <x:c r="E101" s="28" t="str">
        <x:v>пересечение ароматических семейств</x:v>
      </x:c>
      <x:c r="F101" s="28" t="str">
        <x:v>Грецкий орех имеет профиль «ореховый, древесный, землистый, слегка горький и маслянистый». Партнёр «морковь»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101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01" s="28" t="str">
        <x:v>аллерген; быстро окисляется; горькая кожица способна доминировать</x:v>
      </x:c>
      <x:c r="I101" s="28" t="str">
        <x:v>пралине, паста, выпечка, гарнир, соус, молочный или коктейльный компонент с морковь</x:v>
      </x:c>
      <x:c r="J101" s="28" t="str">
        <x:v>Средняя</x:v>
      </x:c>
      <x:c r="K101" s="28" t="str">
        <x:v>Тезариус вкусов (Ники Сегнит)(1).pdf</x:v>
      </x:c>
      <x:c r="L101" s="28" t="str">
        <x:v>Тезариус вкусов (Ники Сегнит)(1).pdf: 602, 627</x:v>
      </x:c>
    </x:row>
    <x:row r="102" ht="64" customHeight="1">
      <x:c r="A102" s="28" t="str">
        <x:v>NCT-0101</x:v>
      </x:c>
      <x:c r="B102" s="28" t="str">
        <x:v>грецкий орех</x:v>
      </x:c>
      <x:c r="C102" s="28" t="str">
        <x:v>мускатный орех</x:v>
      </x:c>
      <x:c r="D102" s="28" t="str">
        <x:v>Орехи и семена</x:v>
      </x:c>
      <x:c r="E102" s="28" t="str">
        <x:v>пересечение ароматических семейств, жареная химия и реакции Майяра</x:v>
      </x:c>
      <x:c r="F102" s="28" t="str">
        <x:v>Грецкий орех имеет профиль «ореховый, древесный, землистый, слегка горький и маслянистый».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механизм не следует сводить к одной общей молекуле.</x:v>
      </x:c>
      <x:c r="G102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02" s="28" t="str">
        <x:v>аллерген; быстро окисляется; горькая кожица способна доминировать</x:v>
      </x:c>
      <x:c r="I102" s="28" t="str">
        <x:v>пралине, паста, выпечка, гарнир, соус, молочный или коктейльный компонент с мускатный орех</x:v>
      </x:c>
      <x:c r="J102" s="28" t="str">
        <x:v>Высокая</x:v>
      </x:c>
      <x:c r="K102" s="28" t="str">
        <x:v>Таблица сочетания(1).pdf | Тезариус вкусов (Ники Сегнит)(1).pdf</x:v>
      </x:c>
      <x:c r="L102" s="28" t="str">
        <x:v>Таблица сочетания(1).pdf: 21; Тезариус вкусов (Ники Сегнит)(1).pdf: 588, 627</x:v>
      </x:c>
    </x:row>
    <x:row r="103" ht="64" customHeight="1">
      <x:c r="A103" s="28" t="str">
        <x:v>NCT-0102</x:v>
      </x:c>
      <x:c r="B103" s="28" t="str">
        <x:v>грецкий орех</x:v>
      </x:c>
      <x:c r="C103" s="28" t="str">
        <x:v>мягкий сыр</x:v>
      </x:c>
      <x:c r="D103" s="28" t="str">
        <x:v>Молочные продукты и сыры</x:v>
      </x:c>
      <x:c r="E103" s="28" t="str">
        <x:v>жировая экстракция и связывание полифенолов белком</x:v>
      </x:c>
      <x:c r="F103" s="28" t="str">
        <x:v>Грецкий орех имеет профиль «ореховый, древесный, землистый, слегка горький и маслянистый». Партнёр «мягкий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03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03" s="28" t="str">
        <x:v>аллерген; быстро окисляется; горькая кожица способна доминировать; жир способен приглушить тонкую ароматику; белок связывает полифенолы</x:v>
      </x:c>
      <x:c r="I103" s="28" t="str">
        <x:v>пралине, паста, выпечка, гарнир, соус, молочный или коктейльный компонент с мягкий сыр</x:v>
      </x:c>
      <x:c r="J103" s="28" t="str">
        <x:v>Средняя</x:v>
      </x:c>
      <x:c r="K103" s="28" t="str">
        <x:v>Тезариус вкусов (Ники Сегнит)(1).pdf</x:v>
      </x:c>
      <x:c r="L103" s="28" t="str">
        <x:v>Тезариус вкусов (Ники Сегнит)(1).pdf: 183, 627</x:v>
      </x:c>
    </x:row>
    <x:row r="104" ht="64" customHeight="1">
      <x:c r="A104" s="28" t="str">
        <x:v>NCT-0103</x:v>
      </x:c>
      <x:c r="B104" s="28" t="str">
        <x:v>грецкий орех</x:v>
      </x:c>
      <x:c r="C104" s="28" t="str">
        <x:v>мёд</x:v>
      </x:c>
      <x:c r="D104" s="28" t="str">
        <x:v>Выпечка, сахара и десерты</x:v>
      </x:c>
      <x:c r="E104" s="28" t="str">
        <x:v>жареная химия и реакции Майяра</x:v>
      </x:c>
      <x:c r="F104" s="28" t="str">
        <x:v>Грецкий орех имеет профиль «ореховый, древесный, землистый, слегка горький и маслянистый». Партнёр «мёд» относится к группе «Выпечка, сахара и десерты» и даёт медовый, цветочный.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0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04" s="28" t="str">
        <x:v>аллерген; быстро окисляется; горькая кожица способна доминировать</x:v>
      </x:c>
      <x:c r="I104" s="28" t="str">
        <x:v>пралине, паста, выпечка, гарнир, соус, молочный или коктейльный компонент с мёд</x:v>
      </x:c>
      <x:c r="J104" s="28" t="str">
        <x:v>Гипотеза / практическая</x:v>
      </x:c>
      <x:c r="K104" s="28" t="str">
        <x:v>Таблица сочетания(1).pdf</x:v>
      </x:c>
      <x:c r="L104" s="28" t="str">
        <x:v>Таблица сочетания(1).pdf: 22</x:v>
      </x:c>
    </x:row>
    <x:row r="105" ht="64" customHeight="1">
      <x:c r="A105" s="28" t="str">
        <x:v>NCT-0104</x:v>
      </x:c>
      <x:c r="B105" s="28" t="str">
        <x:v>грецкий орех</x:v>
      </x:c>
      <x:c r="C105" s="28" t="str">
        <x:v>пармезан</x:v>
      </x:c>
      <x:c r="D105" s="28" t="str">
        <x:v>Прочее</x:v>
      </x:c>
      <x:c r="E105" s="28" t="str">
        <x:v>сенсорная комплементарность</x:v>
      </x:c>
      <x:c r="F105" s="28" t="str">
        <x:v>Грецкий орех имеет профиль «ореховый, древесный, землистый, слегка горький и маслянистый». Партнёр «пармезан»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05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05" s="28" t="str">
        <x:v>аллерген; быстро окисляется; горькая кожица способна доминировать</x:v>
      </x:c>
      <x:c r="I105" s="28" t="str">
        <x:v>пралине, паста, выпечка, гарнир, соус, молочный или коктейльный компонент с пармезан</x:v>
      </x:c>
      <x:c r="J105" s="28" t="str">
        <x:v>Средняя</x:v>
      </x:c>
      <x:c r="K105" s="28" t="str">
        <x:v>The Art &amp; Science of Foodpairing.pdf</x:v>
      </x:c>
      <x:c r="L105" s="28" t="str">
        <x:v>The Art &amp; Science of Foodpairing.pdf: 282</x:v>
      </x:c>
    </x:row>
    <x:row r="106" ht="64" customHeight="1">
      <x:c r="A106" s="28" t="str">
        <x:v>NCT-0105</x:v>
      </x:c>
      <x:c r="B106" s="28" t="str">
        <x:v>грецкий орех</x:v>
      </x:c>
      <x:c r="C106" s="28" t="str">
        <x:v>пастернак</x:v>
      </x:c>
      <x:c r="D106" s="28" t="str">
        <x:v>Прочее</x:v>
      </x:c>
      <x:c r="E106" s="28" t="str">
        <x:v>сенсорная комплементарность</x:v>
      </x:c>
      <x:c r="F106" s="28" t="str">
        <x:v>Грецкий орех имеет профиль «ореховый, древесный, землистый, слегка горький и маслянистый». Партнёр «пастернак»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06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06" s="28" t="str">
        <x:v>аллерген; быстро окисляется; горькая кожица способна доминировать</x:v>
      </x:c>
      <x:c r="I106" s="28" t="str">
        <x:v>пралине, паста, выпечка, гарнир, соус, молочный или коктейльный компонент с пастернак</x:v>
      </x:c>
      <x:c r="J106" s="28" t="str">
        <x:v>Средняя</x:v>
      </x:c>
      <x:c r="K106" s="28" t="str">
        <x:v>Тезариус вкусов (Ники Сегнит)(1).pdf</x:v>
      </x:c>
      <x:c r="L106" s="28" t="str">
        <x:v>Тезариус вкусов (Ники Сегнит)(1).pdf: 597, 627</x:v>
      </x:c>
    </x:row>
    <x:row r="107" ht="64" customHeight="1">
      <x:c r="A107" s="28" t="str">
        <x:v>NCT-0106</x:v>
      </x:c>
      <x:c r="B107" s="28" t="str">
        <x:v>грецкий орех</x:v>
      </x:c>
      <x:c r="C107" s="28" t="str">
        <x:v>персик</x:v>
      </x:c>
      <x:c r="D107" s="28" t="str">
        <x:v>Фрукты и ягоды</x:v>
      </x:c>
      <x:c r="E107" s="28" t="str">
        <x:v>общие ароматические соединения, контраст кислоты и жирной/горькой матрицы</x:v>
      </x:c>
      <x:c r="F107" s="28" t="str">
        <x:v>Грецкий орех имеет профиль «ореховый, древесный, землистый, слегка горький и маслянистый». Партнёр «персик» относится к группе «Фрукты и ягоды» и даёт лактонный, фруктовый, цветочный. Молекулярный мост создают лактоны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лактоны.</x:v>
      </x:c>
      <x:c r="G107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07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107" s="28" t="str">
        <x:v>пралине, паста, выпечка, гарнир, соус, молочный или коктейльный компонент с персик</x:v>
      </x:c>
      <x:c r="J107" s="28" t="str">
        <x:v>Гипотеза / практическая</x:v>
      </x:c>
      <x:c r="K107" s="28" t="str">
        <x:v>Таблица сочетания(1).pdf</x:v>
      </x:c>
      <x:c r="L107" s="28" t="str">
        <x:v>Таблица сочетания(1).pdf: 15</x:v>
      </x:c>
    </x:row>
    <x:row r="108" ht="64" customHeight="1">
      <x:c r="A108" s="28" t="str">
        <x:v>NCT-0107</x:v>
      </x:c>
      <x:c r="B108" s="28" t="str">
        <x:v>грецкий орех</x:v>
      </x:c>
      <x:c r="C108" s="28" t="str">
        <x:v>петрушка</x:v>
      </x:c>
      <x:c r="D108" s="28" t="str">
        <x:v>Травы, цветы и листья</x:v>
      </x:c>
      <x:c r="E108" s="28" t="str">
        <x:v>сенсорная комплементарность</x:v>
      </x:c>
      <x:c r="F108" s="28" t="str">
        <x:v>Грецкий орех имеет профиль «ореховый, древесный, землистый, слегка горький и маслянистый». Партнёр «петрушка»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08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08" s="28" t="str">
        <x:v>аллерген; быстро окисляется; горькая кожица способна доминировать</x:v>
      </x:c>
      <x:c r="I108" s="28" t="str">
        <x:v>пралине, паста, выпечка, гарнир, соус, молочный или коктейльный компонент с петрушка</x:v>
      </x:c>
      <x:c r="J108" s="28" t="str">
        <x:v>Средняя</x:v>
      </x:c>
      <x:c r="K108" s="28" t="str">
        <x:v>Тезариус вкусов (Ники Сегнит)(1).pdf</x:v>
      </x:c>
      <x:c r="L108" s="28" t="str">
        <x:v>Тезариус вкусов (Ники Сегнит)(1).pdf: 508, 627</x:v>
      </x:c>
    </x:row>
    <x:row r="109" ht="64" customHeight="1">
      <x:c r="A109" s="28" t="str">
        <x:v>NCT-0108</x:v>
      </x:c>
      <x:c r="B109" s="28" t="str">
        <x:v>грецкий орех</x:v>
      </x:c>
      <x:c r="C109" s="28" t="str">
        <x:v>рассольный сыр</x:v>
      </x:c>
      <x:c r="D109" s="28" t="str">
        <x:v>Молочные продукты и сыры</x:v>
      </x:c>
      <x:c r="E109" s="28" t="str">
        <x:v>жировая экстракция и связывание полифенолов белком</x:v>
      </x:c>
      <x:c r="F109" s="28" t="str">
        <x:v>Грецкий орех имеет профиль «ореховый, древесный, землистый, слегка горький и маслянистый». Партнёр «рассольный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09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09" s="28" t="str">
        <x:v>аллерген; быстро окисляется; горькая кожица способна доминировать; жир способен приглушить тонкую ароматику; белок связывает полифенолы</x:v>
      </x:c>
      <x:c r="I109" s="28" t="str">
        <x:v>пралине, паста, выпечка, гарнир, соус, молочный или коктейльный компонент с рассольный сыр</x:v>
      </x:c>
      <x:c r="J109" s="28" t="str">
        <x:v>Средняя</x:v>
      </x:c>
      <x:c r="K109" s="28" t="str">
        <x:v>Тезариус вкусов (Ники Сегнит)(1).pdf</x:v>
      </x:c>
      <x:c r="L109" s="28" t="str">
        <x:v>Тезариус вкусов (Ники Сегнит)(1).pdf: 149, 628</x:v>
      </x:c>
    </x:row>
    <x:row r="110" ht="64" customHeight="1">
      <x:c r="A110" s="28" t="str">
        <x:v>NCT-0109</x:v>
      </x:c>
      <x:c r="B110" s="28" t="str">
        <x:v>грецкий орех</x:v>
      </x:c>
      <x:c r="C110" s="28" t="str">
        <x:v>розмарин</x:v>
      </x:c>
      <x:c r="D110" s="28" t="str">
        <x:v>Травы, цветы и листья</x:v>
      </x:c>
      <x:c r="E110" s="28" t="str">
        <x:v>сенсорная комплементарность</x:v>
      </x:c>
      <x:c r="F110" s="28" t="str">
        <x:v>Грецкий орех имеет профиль «ореховый, древесный, землистый, слегка горький и маслянистый». Партнёр «розмарин»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10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10" s="28" t="str">
        <x:v>аллерген; быстро окисляется; горькая кожица способна доминировать</x:v>
      </x:c>
      <x:c r="I110" s="28" t="str">
        <x:v>пралине, паста, выпечка, гарнир, соус, молочный или коктейльный компонент с розмарин</x:v>
      </x:c>
      <x:c r="J110" s="28" t="str">
        <x:v>Гипотеза / практическая</x:v>
      </x:c>
      <x:c r="K110" s="28" t="str">
        <x:v>Таблица сочетания(1).pdf</x:v>
      </x:c>
      <x:c r="L110" s="28" t="str">
        <x:v>Таблица сочетания(1).pdf: 21</x:v>
      </x:c>
    </x:row>
    <x:row r="111" ht="64" customHeight="1">
      <x:c r="A111" s="28" t="str">
        <x:v>NCT-0110</x:v>
      </x:c>
      <x:c r="B111" s="28" t="str">
        <x:v>грецкий орех</x:v>
      </x:c>
      <x:c r="C111" s="28" t="str">
        <x:v>свекла</x:v>
      </x:c>
      <x:c r="D111" s="28" t="str">
        <x:v>Овощи, бобовые и грибы</x:v>
      </x:c>
      <x:c r="E111" s="28" t="str">
        <x:v>пересечение ароматических семейств</x:v>
      </x:c>
      <x:c r="F111" s="28" t="str">
        <x:v>Грецкий орех имеет профиль «ореховый, древесный, землистый, слегка горький и маслянистый». Партнёр «свекла» относится к группе «Овощи, бобовые и грибы» и даёт землистый, сладкий.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111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11" s="28" t="str">
        <x:v>аллерген; быстро окисляется; горькая кожица способна доминировать</x:v>
      </x:c>
      <x:c r="I111" s="28" t="str">
        <x:v>пралине, паста, выпечка, гарнир, соус, молочный или коктейльный компонент с свекла</x:v>
      </x:c>
      <x:c r="J111" s="28" t="str">
        <x:v>Средняя</x:v>
      </x:c>
      <x:c r="K111" s="28" t="str">
        <x:v>Тезариус вкусов (Ники Сегнит)(1).pdf</x:v>
      </x:c>
      <x:c r="L111" s="28" t="str">
        <x:v>Тезариус вкусов (Ники Сегнит)(1).pdf: 223, 225, 628</x:v>
      </x:c>
    </x:row>
    <x:row r="112" ht="64" customHeight="1">
      <x:c r="A112" s="28" t="str">
        <x:v>NCT-0111</x:v>
      </x:c>
      <x:c r="B112" s="28" t="str">
        <x:v>грецкий орех</x:v>
      </x:c>
      <x:c r="C112" s="28" t="str">
        <x:v>сельдерей</x:v>
      </x:c>
      <x:c r="D112" s="28" t="str">
        <x:v>Прочее</x:v>
      </x:c>
      <x:c r="E112" s="28" t="str">
        <x:v>сенсорная комплементарность</x:v>
      </x:c>
      <x:c r="F112" s="28" t="str">
        <x:v>Грецкий орех имеет профиль «ореховый, древесный, землистый, слегка горький и маслянистый». Партнёр «сельдерей»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12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12" s="28" t="str">
        <x:v>аллерген; быстро окисляется; горькая кожица способна доминировать</x:v>
      </x:c>
      <x:c r="I112" s="28" t="str">
        <x:v>пралине, паста, выпечка, гарнир, соус, молочный или коктейльный компонент с сельдерей</x:v>
      </x:c>
      <x:c r="J112" s="28" t="str">
        <x:v>Средняя</x:v>
      </x:c>
      <x:c r="K112" s="28" t="str">
        <x:v>Тезариус вкусов (Ники Сегнит)(1).pdf</x:v>
      </x:c>
      <x:c r="L112" s="28" t="str">
        <x:v>Тезариус вкусов (Ники Сегнит)(1).pdf: 251, 628</x:v>
      </x:c>
    </x:row>
    <x:row r="113" ht="64" customHeight="1">
      <x:c r="A113" s="28" t="str">
        <x:v>NCT-0112</x:v>
      </x:c>
      <x:c r="B113" s="28" t="str">
        <x:v>грецкий орех</x:v>
      </x:c>
      <x:c r="C113" s="28" t="str">
        <x:v>слива</x:v>
      </x:c>
      <x:c r="D113" s="28" t="str">
        <x:v>Фрукты и ягоды</x:v>
      </x:c>
      <x:c r="E113" s="28" t="str">
        <x:v>контраст кислоты и жирной/горькой матрицы</x:v>
      </x:c>
      <x:c r="F113" s="28" t="str">
        <x:v>Грецкий орех имеет профиль «ореховый, древесный, землистый, слегка горький и маслянистый». Партнёр «слива»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13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13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113" s="28" t="str">
        <x:v>пралине, паста, выпечка, гарнир, соус, молочный или коктейльный компонент с слива</x:v>
      </x:c>
      <x:c r="J113" s="28" t="str">
        <x:v>Гипотеза / практическая</x:v>
      </x:c>
      <x:c r="K113" s="28" t="str">
        <x:v>Таблица сочетания(1).pdf</x:v>
      </x:c>
      <x:c r="L113" s="28" t="str">
        <x:v>Таблица сочетания(1).pdf: 17</x:v>
      </x:c>
    </x:row>
    <x:row r="114" ht="64" customHeight="1">
      <x:c r="A114" s="28" t="str">
        <x:v>NCT-0113</x:v>
      </x:c>
      <x:c r="B114" s="28" t="str">
        <x:v>грецкий орех</x:v>
      </x:c>
      <x:c r="C114" s="28" t="str">
        <x:v>твердый сыр</x:v>
      </x:c>
      <x:c r="D114" s="28" t="str">
        <x:v>Молочные продукты и сыры</x:v>
      </x:c>
      <x:c r="E114" s="28" t="str">
        <x:v>жировая экстракция и связывание полифенолов белком</x:v>
      </x:c>
      <x:c r="F114" s="28" t="str">
        <x:v>Грецкий орех имеет профиль «ореховый, древесный, землистый, слегка горький и маслянистый». Партнёр «твердый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1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14" s="28" t="str">
        <x:v>аллерген; быстро окисляется; горькая кожица способна доминировать; жир способен приглушить тонкую ароматику; белок связывает полифенолы</x:v>
      </x:c>
      <x:c r="I114" s="28" t="str">
        <x:v>пралине, паста, выпечка, гарнир, соус, молочный или коктейльный компонент с твердый сыр</x:v>
      </x:c>
      <x:c r="J114" s="28" t="str">
        <x:v>Средняя</x:v>
      </x:c>
      <x:c r="K114" s="28" t="str">
        <x:v>Тезариус вкусов (Ники Сегнит)(1).pdf</x:v>
      </x:c>
      <x:c r="L114" s="28" t="str">
        <x:v>Тезариус вкусов (Ники Сегнит)(1).pdf: 170, 629</x:v>
      </x:c>
    </x:row>
    <x:row r="115" ht="64" customHeight="1">
      <x:c r="A115" s="28" t="str">
        <x:v>NCT-0114</x:v>
      </x:c>
      <x:c r="B115" s="28" t="str">
        <x:v>грецкий орех</x:v>
      </x:c>
      <x:c r="C115" s="28" t="str">
        <x:v>финик</x:v>
      </x:c>
      <x:c r="D115" s="28" t="str">
        <x:v>Прочее</x:v>
      </x:c>
      <x:c r="E115" s="28" t="str">
        <x:v>сенсорная комплементарность</x:v>
      </x:c>
      <x:c r="F115" s="28" t="str">
        <x:v>Грецкий орех имеет профиль «ореховый, древесный, землистый, слегка горький и маслянистый». Партнёр «финик»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15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15" s="28" t="str">
        <x:v>аллерген; быстро окисляется; горькая кожица способна доминировать</x:v>
      </x:c>
      <x:c r="I115" s="28" t="str">
        <x:v>пралине, паста, выпечка, гарнир, соус, молочный или коктейльный компонент с финик</x:v>
      </x:c>
      <x:c r="J115" s="28" t="str">
        <x:v>Гипотеза / практическая</x:v>
      </x:c>
      <x:c r="K115" s="28" t="str">
        <x:v>Таблица сочетания(1).pdf</x:v>
      </x:c>
      <x:c r="L115" s="28" t="str">
        <x:v>Таблица сочетания(1).pdf: 7</x:v>
      </x:c>
    </x:row>
    <x:row r="116" ht="64" customHeight="1">
      <x:c r="A116" s="28" t="str">
        <x:v>NCT-0115</x:v>
      </x:c>
      <x:c r="B116" s="28" t="str">
        <x:v>грецкий орех</x:v>
      </x:c>
      <x:c r="C116" s="28" t="str">
        <x:v>цветная капуста</x:v>
      </x:c>
      <x:c r="D116" s="28" t="str">
        <x:v>Овощи, бобовые и грибы</x:v>
      </x:c>
      <x:c r="E116" s="28" t="str">
        <x:v>пересечение ароматических семейств</x:v>
      </x:c>
      <x:c r="F116" s="28" t="str">
        <x:v>Грецкий орех имеет профиль «ореховый, древесный, землистый, слегка горький и маслянистый». Партнёр «цветная капуста»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116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16" s="28" t="str">
        <x:v>аллерген; быстро окисляется; горькая кожица способна доминировать</x:v>
      </x:c>
      <x:c r="I116" s="28" t="str">
        <x:v>пралине, паста, выпечка, гарнир, соус, молочный или коктейльный компонент с цветная капуста</x:v>
      </x:c>
      <x:c r="J116" s="28" t="str">
        <x:v>Средняя</x:v>
      </x:c>
      <x:c r="K116" s="28" t="str">
        <x:v>Тезариус вкусов (Ники Сегнит)(1).pdf</x:v>
      </x:c>
      <x:c r="L116" s="28" t="str">
        <x:v>Тезариус вкусов (Ники Сегнит)(1).pdf: 321, 629</x:v>
      </x:c>
    </x:row>
    <x:row r="117" ht="64" customHeight="1">
      <x:c r="A117" s="28" t="str">
        <x:v>NCT-0116</x:v>
      </x:c>
      <x:c r="B117" s="28" t="str">
        <x:v>грецкий орех</x:v>
      </x:c>
      <x:c r="C117" s="28" t="str">
        <x:v>цыпленок</x:v>
      </x:c>
      <x:c r="D117" s="28" t="str">
        <x:v>Прочее</x:v>
      </x:c>
      <x:c r="E117" s="28" t="str">
        <x:v>сенсорная комплементарность</x:v>
      </x:c>
      <x:c r="F117" s="28" t="str">
        <x:v>Грецкий орех имеет профиль «ореховый, древесный, землистый, слегка горький и маслянистый». Партнёр «цыпленок»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17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17" s="28" t="str">
        <x:v>аллерген; быстро окисляется; горькая кожица способна доминировать</x:v>
      </x:c>
      <x:c r="I117" s="28" t="str">
        <x:v>пралине, паста, выпечка, гарнир, соус, молочный или коктейльный компонент с цыпленок</x:v>
      </x:c>
      <x:c r="J117" s="28" t="str">
        <x:v>Средняя</x:v>
      </x:c>
      <x:c r="K117" s="28" t="str">
        <x:v>Тезариус вкусов (Ники Сегнит)(1).pdf</x:v>
      </x:c>
      <x:c r="L117" s="28" t="str">
        <x:v>Тезариус вкусов (Ники Сегнит)(1).pdf: 64, 630</x:v>
      </x:c>
    </x:row>
    <x:row r="118" ht="64" customHeight="1">
      <x:c r="A118" s="28" t="str">
        <x:v>NCT-0117</x:v>
      </x:c>
      <x:c r="B118" s="28" t="str">
        <x:v>грецкий орех</x:v>
      </x:c>
      <x:c r="C118" s="28" t="str">
        <x:v>чернослив</x:v>
      </x:c>
      <x:c r="D118" s="28" t="str">
        <x:v>Фрукты и ягоды</x:v>
      </x:c>
      <x:c r="E118" s="28" t="str">
        <x:v>контраст кислоты и жирной/горькой матрицы</x:v>
      </x:c>
      <x:c r="F118" s="28" t="str">
        <x:v>Грецкий орех имеет профиль «ореховый, древесный, землистый, слегка горький и маслянистый». Партнёр «чернослив»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18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18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118" s="28" t="str">
        <x:v>пралине, паста, выпечка, гарнир, соус, молочный или коктейльный компонент с чернослив</x:v>
      </x:c>
      <x:c r="J118" s="28" t="str">
        <x:v>Гипотеза / практическая</x:v>
      </x:c>
      <x:c r="K118" s="28" t="str">
        <x:v>Таблица сочетания(1).pdf</x:v>
      </x:c>
      <x:c r="L118" s="28" t="str">
        <x:v>Таблица сочетания(1).pdf: 18</x:v>
      </x:c>
    </x:row>
    <x:row r="119" ht="64" customHeight="1">
      <x:c r="A119" s="28" t="str">
        <x:v>NCT-0118</x:v>
      </x:c>
      <x:c r="B119" s="28" t="str">
        <x:v>грецкий орех</x:v>
      </x:c>
      <x:c r="C119" s="28" t="str">
        <x:v>чеснок</x:v>
      </x:c>
      <x:c r="D119" s="28" t="str">
        <x:v>Овощи, бобовые и грибы</x:v>
      </x:c>
      <x:c r="E119" s="28" t="str">
        <x:v>пересечение ароматических семейств</x:v>
      </x:c>
      <x:c r="F119" s="28" t="str">
        <x:v>Грецкий орех имеет профиль «ореховый, древесный, землистый, слегка горький и маслянистый». Партнёр «чеснок»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119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19" s="28" t="str">
        <x:v>аллерген; быстро окисляется; горькая кожица способна доминировать</x:v>
      </x:c>
      <x:c r="I119" s="28" t="str">
        <x:v>пралине, паста, выпечка, гарнир, соус, молочный или коктейльный компонент с чеснок</x:v>
      </x:c>
      <x:c r="J119" s="28" t="str">
        <x:v>Средняя</x:v>
      </x:c>
      <x:c r="K119" s="28" t="str">
        <x:v>Тезариус вкусов (Ники Сегнит)(1).pdf</x:v>
      </x:c>
      <x:c r="L119" s="28" t="str">
        <x:v>Тезариус вкусов (Ники Сегнит)(1).pdf: 293, 630</x:v>
      </x:c>
    </x:row>
    <x:row r="120" ht="64" customHeight="1">
      <x:c r="A120" s="28" t="str">
        <x:v>NCT-0119</x:v>
      </x:c>
      <x:c r="B120" s="28" t="str">
        <x:v>грецкий орех</x:v>
      </x:c>
      <x:c r="C120" s="28" t="str">
        <x:v>чили</x:v>
      </x:c>
      <x:c r="D120" s="28" t="str">
        <x:v>Специи</x:v>
      </x:c>
      <x:c r="E120" s="28" t="str">
        <x:v>пересечение ароматических семейств</x:v>
      </x:c>
      <x:c r="F120" s="28" t="str">
        <x:v>Грецкий орех имеет профиль «ореховый, древесный, землистый, слегка горький и маслянистый». Партнёр «чили» относится к группе «Специи» и даёт пряный и древесный. Профили пересекаются в семействах: древесный Ореховый жир служит носителем ароматов и создаёт текстурный контраст, но окисление быстро превращает профиль в прогорклый. Итог: древесный; механизм не следует сводить к одной общей молекуле.</x:v>
      </x:c>
      <x:c r="G120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20" s="28" t="str">
        <x:v>аллерген; быстро окисляется; горькая кожица способна доминировать</x:v>
      </x:c>
      <x:c r="I120" s="28" t="str">
        <x:v>пралине, паста, выпечка, гарнир, соус, молочный или коктейльный компонент с чили</x:v>
      </x:c>
      <x:c r="J120" s="28" t="str">
        <x:v>Средняя</x:v>
      </x:c>
      <x:c r="K120" s="28" t="str">
        <x:v>Тезариус вкусов (Ники Сегнит)(1).pdf</x:v>
      </x:c>
      <x:c r="L120" s="28" t="str">
        <x:v>Тезариус вкусов (Ники Сегнит)(1).pdf: 554, 631</x:v>
      </x:c>
    </x:row>
    <x:row r="121" ht="64" customHeight="1">
      <x:c r="A121" s="28" t="str">
        <x:v>NCT-0120</x:v>
      </x:c>
      <x:c r="B121" s="28" t="str">
        <x:v>грецкий орех</x:v>
      </x:c>
      <x:c r="C121" s="28" t="str">
        <x:v>чоризо</x:v>
      </x:c>
      <x:c r="D121" s="28" t="str">
        <x:v>Прочее</x:v>
      </x:c>
      <x:c r="E121" s="28" t="str">
        <x:v>сенсорная комплементарность</x:v>
      </x:c>
      <x:c r="F121" s="28" t="str">
        <x:v>Грецкий орех имеет профиль «ореховый, древесный, землистый, слегка горький и маслянистый». Партнёр «чоризо»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21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21" s="28" t="str">
        <x:v>аллерген; быстро окисляется; горькая кожица способна доминировать</x:v>
      </x:c>
      <x:c r="I121" s="28" t="str">
        <x:v>пралине, паста, выпечка, гарнир, соус, молочный или коктейльный компонент с чоризо</x:v>
      </x:c>
      <x:c r="J121" s="28" t="str">
        <x:v>Средняя</x:v>
      </x:c>
      <x:c r="K121" s="28" t="str">
        <x:v>The Art &amp; Science of Foodpairing.pdf</x:v>
      </x:c>
      <x:c r="L121" s="28" t="str">
        <x:v>The Art &amp; Science of Foodpairing.pdf: 288</x:v>
      </x:c>
    </x:row>
    <x:row r="122" ht="64" customHeight="1">
      <x:c r="A122" s="28" t="str">
        <x:v>NCT-0121</x:v>
      </x:c>
      <x:c r="B122" s="28" t="str">
        <x:v>грецкий орех</x:v>
      </x:c>
      <x:c r="C122" s="28" t="str">
        <x:v>шоколад</x:v>
      </x:c>
      <x:c r="D122" s="28" t="str">
        <x:v>Какао и шоколад</x:v>
      </x:c>
      <x:c r="E122" s="28" t="str">
        <x:v>общие ароматические соединения, пересечение ароматических семейств, жареная химия и реакции Майяра</x:v>
      </x:c>
      <x:c r="F122" s="28" t="str">
        <x:v>Грецкий орех имеет профиль «ореховый, древесный, землистый, слегка горький и маслянистый».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древесный; пиразины.</x:v>
      </x:c>
      <x:c r="G122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22" s="28" t="str">
        <x:v>аллерген; быстро окисляется; горькая кожица способна доминировать</x:v>
      </x:c>
      <x:c r="I122" s="28" t="str">
        <x:v>пралине, паста, выпечка, гарнир, соус, молочный или коктейльный компонент с шоколад</x:v>
      </x:c>
      <x:c r="J122" s="28" t="str">
        <x:v>Высокая</x:v>
      </x:c>
      <x:c r="K122" s="28" t="str">
        <x:v>Таблица сочетания(1).pdf | Тезариус вкусов (Ники Сегнит)(1).pdf</x:v>
      </x:c>
      <x:c r="L122" s="28" t="str">
        <x:v>Таблица сочетания(1).pdf: 21; Тезариус вкусов (Ники Сегнит)(1).pdf: 28, 631</x:v>
      </x:c>
    </x:row>
    <x:row r="123" ht="64" customHeight="1">
      <x:c r="A123" s="28" t="str">
        <x:v>NCT-0122</x:v>
      </x:c>
      <x:c r="B123" s="28" t="str">
        <x:v>грецкий орех</x:v>
      </x:c>
      <x:c r="C123" s="28" t="str">
        <x:v>яблоко</x:v>
      </x:c>
      <x:c r="D123" s="28" t="str">
        <x:v>Фрукты и ягоды</x:v>
      </x:c>
      <x:c r="E123" s="28" t="str">
        <x:v>контраст кислоты и жирной/горькой матрицы</x:v>
      </x:c>
      <x:c r="F123" s="28" t="str">
        <x:v>Грецкий орех имеет профиль «ореховый, древесный, землистый, слегка горький и маслянистый». Партнёр «яблоко»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23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23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123" s="28" t="str">
        <x:v>пралине, паста, выпечка, гарнир, соус, молочный или коктейльный компонент с яблоко</x:v>
      </x:c>
      <x:c r="J123" s="28" t="str">
        <x:v>Высокая</x:v>
      </x:c>
      <x:c r="K123" s="28" t="str">
        <x:v>Таблица сочетания(1).pdf | Тезариус вкусов (Ники Сегнит)(1).pdf</x:v>
      </x:c>
      <x:c r="L123" s="28" t="str">
        <x:v>Таблица сочетания(1).pdf: 1, 21; Тезариус вкусов (Ники Сегнит)(1).pdf: 631, 711</x:v>
      </x:c>
    </x:row>
    <x:row r="124" ht="64" customHeight="1">
      <x:c r="A124" s="28" t="str">
        <x:v>NCT-0123</x:v>
      </x:c>
      <x:c r="B124" s="28" t="str">
        <x:v>грецкий орех</x:v>
      </x:c>
      <x:c r="C124" s="28" t="str">
        <x:v>ягоды годжи</x:v>
      </x:c>
      <x:c r="D124" s="28" t="str">
        <x:v>Фрукты и ягоды</x:v>
      </x:c>
      <x:c r="E124" s="28" t="str">
        <x:v>контраст кислоты и жирной/горькой матрицы</x:v>
      </x:c>
      <x:c r="F124" s="28" t="str">
        <x:v>Грецкий орех имеет профиль «ореховый, древесный, землистый, слегка горький и маслянистый». Партнёр «ягоды годжи»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2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124" s="28" t="str">
        <x:v>аллерген; быстро окисляется; горькая кожица способна доминировать; избыток кислоты может сделать чай или кофе резкими и разрушить молочную эмульсию</x:v>
      </x:c>
      <x:c r="I124" s="28" t="str">
        <x:v>пралине, паста, выпечка, гарнир, соус, молочный или коктейльный компонент с ягоды годжи</x:v>
      </x:c>
      <x:c r="J124" s="28" t="str">
        <x:v>Гипотеза / практическая</x:v>
      </x:c>
      <x:c r="K124" s="28" t="str">
        <x:v>Таблица сочетания(1).pdf</x:v>
      </x:c>
      <x:c r="L124" s="28" t="str">
        <x:v>Таблица сочетания(1).pdf: 8</x:v>
      </x:c>
    </x:row>
    <x:row r="125" ht="64" customHeight="1">
      <x:c r="A125" s="28" t="str">
        <x:v>NCT-0124</x:v>
      </x:c>
      <x:c r="B125" s="28" t="str">
        <x:v>зелёный чай</x:v>
      </x:c>
      <x:c r="C125" s="28" t="str">
        <x:v>apple and apple sauce</x:v>
      </x:c>
      <x:c r="D125" s="28" t="str">
        <x:v>Фрукты и ягоды</x:v>
      </x:c>
      <x:c r="E125" s="28" t="str">
        <x:v>пересечение ароматических семейств, контраст кислоты и жирной/горькой матрицы</x:v>
      </x:c>
      <x:c r="F125" s="28" t="str">
        <x:v>Зелёный чай имеет профиль «зелёный, морской, травянистый, цветочный и слегка жареный; у матча — умами». Партнёр «apple and apple sauce»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125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25" s="28" t="str">
        <x:v>переэкстракция; матча легко становится меловой и горькой;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125" s="28" t="str">
        <x:v>чайный настой, холодный чай, кордиал, молочный пунш, десерт или соус с apple and apple sauce</x:v>
      </x:c>
      <x:c r="J125" s="28" t="str">
        <x:v>Средняя</x:v>
      </x:c>
      <x:c r="K125" s="28" t="str">
        <x:v>The Art &amp; Science of Foodpairing.pdf</x:v>
      </x:c>
      <x:c r="L125" s="28" t="str">
        <x:v>The Art &amp; Science of Foodpairing.pdf: 47</x:v>
      </x:c>
    </x:row>
    <x:row r="126" ht="64" customHeight="1">
      <x:c r="A126" s="28" t="str">
        <x:v>NCT-0125</x:v>
      </x:c>
      <x:c r="B126" s="28" t="str">
        <x:v>зелёный чай</x:v>
      </x:c>
      <x:c r="C126" s="28" t="str">
        <x:v>brie and camembert</x:v>
      </x:c>
      <x:c r="D126" s="28" t="str">
        <x:v>Молочные продукты и сыры</x:v>
      </x:c>
      <x:c r="E126" s="28" t="str">
        <x:v>жировая экстракция и связывание полифенолов белком</x:v>
      </x:c>
      <x:c r="F126" s="28" t="str">
        <x:v>Зелёный чай имеет профиль «зелёный, морской, травянистый, цветочный и слегка жареный; у матча — умами». Партнёр «brie and camembert»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26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26" s="28" t="str">
        <x:v>переэкстракция; матча легко становится меловой и горькой; кофеин; слишком горячая вода и долгое заваривание усиливают терпкость; жир способен приглушить тонкую ароматику; белок связывает полифенолы</x:v>
      </x:c>
      <x:c r="I126" s="28" t="str">
        <x:v>чайный настой, холодный чай, кордиал, молочный пунш, десерт или соус с brie and camembert</x:v>
      </x:c>
      <x:c r="J126" s="28" t="str">
        <x:v>Средняя</x:v>
      </x:c>
      <x:c r="K126" s="28" t="str">
        <x:v>The Art &amp; Science of Foodpairing.pdf</x:v>
      </x:c>
      <x:c r="L126" s="28" t="str">
        <x:v>The Art &amp; Science of Foodpairing.pdf: 336</x:v>
      </x:c>
    </x:row>
    <x:row r="127" ht="64" customHeight="1">
      <x:c r="A127" s="28" t="str">
        <x:v>NCT-0132</x:v>
      </x:c>
      <x:c r="B127" s="28" t="str">
        <x:v>зелёный чай</x:v>
      </x:c>
      <x:c r="C127" s="28" t="str">
        <x:v>tequila, buckwheat honey</x:v>
      </x:c>
      <x:c r="D127" s="28" t="str">
        <x:v>Выпечка, сахара и десерты</x:v>
      </x:c>
      <x:c r="E127" s="28" t="str">
        <x:v>жареная химия и реакции Майяра</x:v>
      </x:c>
      <x:c r="F127" s="28" t="str">
        <x:v>Зелёный чай имеет профиль «зелёный, морской, травянистый, цветочный и слегка жареный; у матча — умами». Партнёр «tequila, buckwheat honey» относится к группе «Выпечка, сахара и десерты» и даёт сладкий, карамельный и жареный.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27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27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127" s="28" t="str">
        <x:v>чайный настой, холодный чай, кордиал, молочный пунш, десерт или соус с tequila, buckwheat honey</x:v>
      </x:c>
      <x:c r="J127" s="28" t="str">
        <x:v>Высокая</x:v>
      </x:c>
      <x:c r="K127" s="28" t="str">
        <x:v>The Art &amp; Science of Foodpairing.pdf</x:v>
      </x:c>
      <x:c r="L127" s="28" t="str">
        <x:v>The Art &amp; Science of Foodpairing.pdf: 82</x:v>
      </x:c>
    </x:row>
    <x:row r="128" ht="64" customHeight="1">
      <x:c r="A128" s="28" t="str">
        <x:v>NCT-0134</x:v>
      </x:c>
      <x:c r="B128" s="28" t="str">
        <x:v>зелёный чай</x:v>
      </x:c>
      <x:c r="C128" s="28" t="str">
        <x:v>банан</x:v>
      </x:c>
      <x:c r="D128" s="28" t="str">
        <x:v>Фрукты и ягоды</x:v>
      </x:c>
      <x:c r="E128" s="28" t="str">
        <x:v>контраст кислоты и жирной/горькой матрицы</x:v>
      </x:c>
      <x:c r="F128" s="28" t="str">
        <x:v>Зелёный чай имеет профиль «зелёный, морской, травянистый, цветочный и слегка жареный; у матча — умами».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28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28" s="28" t="str">
        <x:v>переэкстракция; матча легко становится меловой и горькой;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128" s="28" t="str">
        <x:v>чайный настой, холодный чай, кордиал, молочный пунш, десерт или соус с банан</x:v>
      </x:c>
      <x:c r="J128" s="28" t="str">
        <x:v>Средняя</x:v>
      </x:c>
      <x:c r="K128" s="28" t="str">
        <x:v>The Art &amp; Science of Foodpairing.pdf</x:v>
      </x:c>
      <x:c r="L128" s="28" t="str">
        <x:v>The Art &amp; Science of Foodpairing.pdf: 342</x:v>
      </x:c>
    </x:row>
    <x:row r="129" ht="64" customHeight="1">
      <x:c r="A129" s="28" t="str">
        <x:v>NCT-0135</x:v>
      </x:c>
      <x:c r="B129" s="28" t="str">
        <x:v>зелёный чай</x:v>
      </x:c>
      <x:c r="C129" s="28" t="str">
        <x:v>груша</x:v>
      </x:c>
      <x:c r="D129" s="28" t="str">
        <x:v>Фрукты и ягоды</x:v>
      </x:c>
      <x:c r="E129" s="28" t="str">
        <x:v>пересечение ароматических семейств, контраст кислоты и жирной/горькой матрицы</x:v>
      </x:c>
      <x:c r="F129" s="28" t="str">
        <x:v>Зелёный чай имеет профиль «зелёный, морской, травянистый, цветочный и слегка жареный; у матча — умами». Партнёр «груша»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129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29" s="28" t="str">
        <x:v>переэкстракция; матча легко становится меловой и горькой;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129" s="28" t="str">
        <x:v>чайный настой, холодный чай, кордиал, молочный пунш, десерт или соус с груша</x:v>
      </x:c>
      <x:c r="J129" s="28" t="str">
        <x:v>Средняя</x:v>
      </x:c>
      <x:c r="K129" s="28" t="str">
        <x:v>The Art &amp; Science of Foodpairing.pdf</x:v>
      </x:c>
      <x:c r="L129" s="28" t="str">
        <x:v>The Art &amp; Science of Foodpairing.pdf: 350</x:v>
      </x:c>
    </x:row>
    <x:row r="130" ht="64" customHeight="1">
      <x:c r="A130" s="28" t="str">
        <x:v>NCT-0140</x:v>
      </x:c>
      <x:c r="B130" s="28" t="str">
        <x:v>каштан</x:v>
      </x:c>
      <x:c r="C130" s="28" t="str">
        <x:v>апельсины</x:v>
      </x:c>
      <x:c r="D130" s="28" t="str">
        <x:v>Фрукты и ягоды</x:v>
      </x:c>
      <x:c r="E130" s="28" t="str">
        <x:v>контраст кислоты и жирной/горькой матрицы</x:v>
      </x:c>
      <x:c r="F130" s="28" t="str">
        <x:v>Каштан имеет профиль «крахмалистый, сладкий, древесный, слегка какаовый и печёный». Партнёр «апельсины»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30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30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I130" s="28" t="str">
        <x:v>пралине, паста, выпечка, гарнир, соус, молочный или коктейльный компонент с апельсины</x:v>
      </x:c>
      <x:c r="J130" s="28" t="str">
        <x:v>Гипотеза / практическая</x:v>
      </x:c>
      <x:c r="K130" s="28" t="str">
        <x:v>Таблица сочетания(1).pdf</x:v>
      </x:c>
      <x:c r="L130" s="28" t="str">
        <x:v>Таблица сочетания(1).pdf: 4</x:v>
      </x:c>
    </x:row>
    <x:row r="131" ht="64" customHeight="1">
      <x:c r="A131" s="28" t="str">
        <x:v>NCT-0141</x:v>
      </x:c>
      <x:c r="B131" s="28" t="str">
        <x:v>каштан</x:v>
      </x:c>
      <x:c r="C131" s="28" t="str">
        <x:v>баранина</x:v>
      </x:c>
      <x:c r="D131" s="28" t="str">
        <x:v>Мясо и птица</x:v>
      </x:c>
      <x:c r="E131" s="28" t="str">
        <x:v>общие ароматические соединения, жареная химия и реакции Майяра, солёно-умами контраст</x:v>
      </x:c>
      <x:c r="F131" s="28" t="str">
        <x:v>Каштан имеет профиль «крахмалистый, сладкий, древесный, слегка какаовый и печёный». Партнёр «баранина»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131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31" s="28" t="str">
        <x:v>сырой каштан жёсткий; требуется надрез перед запеканием; водянистое пюре размывает аромат</x:v>
      </x:c>
      <x:c r="I131" s="28" t="str">
        <x:v>пралине, паста, выпечка, гарнир, соус, молочный или коктейльный компонент с баранина</x:v>
      </x:c>
      <x:c r="J131" s="28" t="str">
        <x:v>Средняя</x:v>
      </x:c>
      <x:c r="K131" s="28" t="str">
        <x:v>Тезариус вкусов (Ники Сегнит)(1).pdf</x:v>
      </x:c>
      <x:c r="L131" s="28" t="str">
        <x:v>Тезариус вкусов (Ники Сегнит)(1).pdf: 130, 616</x:v>
      </x:c>
    </x:row>
    <x:row r="132" ht="64" customHeight="1">
      <x:c r="A132" s="28" t="str">
        <x:v>NCT-0142</x:v>
      </x:c>
      <x:c r="B132" s="28" t="str">
        <x:v>каштан</x:v>
      </x:c>
      <x:c r="C132" s="28" t="str">
        <x:v>ваниль</x:v>
      </x:c>
      <x:c r="D132" s="28" t="str">
        <x:v>Специи</x:v>
      </x:c>
      <x:c r="E132" s="28" t="str">
        <x:v>сенсорная комплементарность</x:v>
      </x:c>
      <x:c r="F132" s="28" t="str">
        <x:v>Каштан имеет профиль «крахмалистый, сладкий, древесный, слегка какаовый и печёный».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32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32" s="28" t="str">
        <x:v>сырой каштан жёсткий; требуется надрез перед запеканием; водянистое пюре размывает аромат</x:v>
      </x:c>
      <x:c r="I132" s="28" t="str">
        <x:v>пралине, паста, выпечка, гарнир, соус, молочный или коктейльный компонент с ваниль</x:v>
      </x:c>
      <x:c r="J132" s="28" t="str">
        <x:v>Средняя</x:v>
      </x:c>
      <x:c r="K132" s="28" t="str">
        <x:v>Тезариус вкусов (Ники Сегнит)(1).pdf</x:v>
      </x:c>
      <x:c r="L132" s="28" t="str">
        <x:v>Тезариус вкусов (Ники Сегнит)(1).pdf: 616, 917</x:v>
      </x:c>
    </x:row>
    <x:row r="133" ht="64" customHeight="1">
      <x:c r="A133" s="28" t="str">
        <x:v>NCT-0143</x:v>
      </x:c>
      <x:c r="B133" s="28" t="str">
        <x:v>каштан</x:v>
      </x:c>
      <x:c r="C133" s="28" t="str">
        <x:v>гвоздика</x:v>
      </x:c>
      <x:c r="D133" s="28" t="str">
        <x:v>Специи</x:v>
      </x:c>
      <x:c r="E133" s="28" t="str">
        <x:v>сенсорная комплементарность</x:v>
      </x:c>
      <x:c r="F133" s="28" t="str">
        <x:v>Каштан имеет профиль «крахмалистый, сладкий, древесный, слегка какаовый и печёный». Партнёр «гвоздика» относится к группе «Специи» и даёт древесный, пряный, фенольный.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33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33" s="28" t="str">
        <x:v>сырой каштан жёсткий; требуется надрез перед запеканием; водянистое пюре размывает аромат</x:v>
      </x:c>
      <x:c r="I133" s="28" t="str">
        <x:v>пралине, паста, выпечка, гарнир, соус, молочный или коктейльный компонент с гвоздика</x:v>
      </x:c>
      <x:c r="J133" s="28" t="str">
        <x:v>Гипотеза / практическая</x:v>
      </x:c>
      <x:c r="K133" s="28" t="str">
        <x:v>Таблица сочетания(1).pdf</x:v>
      </x:c>
      <x:c r="L133" s="28" t="str">
        <x:v>Таблица сочетания(1).pdf: 4</x:v>
      </x:c>
    </x:row>
    <x:row r="134" ht="64" customHeight="1">
      <x:c r="A134" s="28" t="str">
        <x:v>NCT-0144</x:v>
      </x:c>
      <x:c r="B134" s="28" t="str">
        <x:v>каштан</x:v>
      </x:c>
      <x:c r="C134" s="28" t="str">
        <x:v>грибы</x:v>
      </x:c>
      <x:c r="D134" s="28" t="str">
        <x:v>Овощи, бобовые и грибы</x:v>
      </x:c>
      <x:c r="E134" s="28" t="str">
        <x:v>общие ароматические соединения</x:v>
      </x:c>
      <x:c r="F134" s="28" t="str">
        <x:v>Каштан имеет профиль «крахмалистый, сладкий, древесный, слегка какаовый и печёный». Партнёр «грибы»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34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34" s="28" t="str">
        <x:v>сырой каштан жёсткий; требуется надрез перед запеканием; водянистое пюре размывает аромат</x:v>
      </x:c>
      <x:c r="I134" s="28" t="str">
        <x:v>пралине, паста, выпечка, гарнир, соус, молочный или коктейльный компонент с грибы</x:v>
      </x:c>
      <x:c r="J134" s="28" t="str">
        <x:v>Средняя</x:v>
      </x:c>
      <x:c r="K134" s="28" t="str">
        <x:v>Тезариус вкусов (Ники Сегнит)(1).pdf</x:v>
      </x:c>
      <x:c r="L134" s="28" t="str">
        <x:v>Тезариус вкусов (Ники Сегнит)(1).pdf: 197, 617</x:v>
      </x:c>
    </x:row>
    <x:row r="135" ht="64" customHeight="1">
      <x:c r="A135" s="28" t="str">
        <x:v>NCT-0145</x:v>
      </x:c>
      <x:c r="B135" s="28" t="str">
        <x:v>каштан</x:v>
      </x:c>
      <x:c r="C135" s="28" t="str">
        <x:v>груша</x:v>
      </x:c>
      <x:c r="D135" s="28" t="str">
        <x:v>Фрукты и ягоды</x:v>
      </x:c>
      <x:c r="E135" s="28" t="str">
        <x:v>общие ароматические соединения, контраст кислоты и жирной/горькой матрицы</x:v>
      </x:c>
      <x:c r="F135" s="28" t="str">
        <x:v>Каштан имеет профиль «крахмалистый, сладкий, древесный, слегка какаовый и печёный». Партнёр «груша»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35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35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I135" s="28" t="str">
        <x:v>пралине, паста, выпечка, гарнир, соус, молочный или коктейльный компонент с груша</x:v>
      </x:c>
      <x:c r="J135" s="28" t="str">
        <x:v>Высокая</x:v>
      </x:c>
      <x:c r="K135" s="28" t="str">
        <x:v>Таблица сочетания(1).pdf | Тезариус вкусов (Ники Сегнит)(1).pdf</x:v>
      </x:c>
      <x:c r="L135" s="28" t="str">
        <x:v>Таблица сочетания(1).pdf: 16; Тезариус вкусов (Ники Сегнит)(1).pdf: 617, 724</x:v>
      </x:c>
    </x:row>
    <x:row r="136" ht="64" customHeight="1">
      <x:c r="A136" s="28" t="str">
        <x:v>NCT-0146</x:v>
      </x:c>
      <x:c r="B136" s="28" t="str">
        <x:v>каштан</x:v>
      </x:c>
      <x:c r="C136" s="28" t="str">
        <x:v>груши</x:v>
      </x:c>
      <x:c r="D136" s="28" t="str">
        <x:v>Фрукты и ягоды</x:v>
      </x:c>
      <x:c r="E136" s="28" t="str">
        <x:v>общие ароматические соединения, контраст кислоты и жирной/горькой матрицы</x:v>
      </x:c>
      <x:c r="F136" s="28" t="str">
        <x:v>Каштан имеет профиль «крахмалистый, сладкий, древесный, слегка какаовый и печёный». Партнёр «груши»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36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36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I136" s="28" t="str">
        <x:v>пралине, паста, выпечка, гарнир, соус, молочный или коктейльный компонент с груши</x:v>
      </x:c>
      <x:c r="J136" s="28" t="str">
        <x:v>Гипотеза / практическая</x:v>
      </x:c>
      <x:c r="K136" s="28" t="str">
        <x:v>Таблица сочетания(1).pdf</x:v>
      </x:c>
      <x:c r="L136" s="28" t="str">
        <x:v>Таблица сочетания(1).pdf: 4</x:v>
      </x:c>
    </x:row>
    <x:row r="137" ht="64" customHeight="1">
      <x:c r="A137" s="28" t="str">
        <x:v>NCT-0147</x:v>
      </x:c>
      <x:c r="B137" s="28" t="str">
        <x:v>каштан</x:v>
      </x:c>
      <x:c r="C137" s="28" t="str">
        <x:v>изюм</x:v>
      </x:c>
      <x:c r="D137" s="28" t="str">
        <x:v>Прочее</x:v>
      </x:c>
      <x:c r="E137" s="28" t="str">
        <x:v>сенсорная комплементарность</x:v>
      </x:c>
      <x:c r="F137" s="28" t="str">
        <x:v>Каштан имеет профиль «крахмалистый, сладкий, древесный, слегка какаовый и печёный». Партнёр «изюм»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37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37" s="28" t="str">
        <x:v>сырой каштан жёсткий; требуется надрез перед запеканием; водянистое пюре размывает аромат</x:v>
      </x:c>
      <x:c r="I137" s="28" t="str">
        <x:v>пралине, паста, выпечка, гарнир, соус, молочный или коктейльный компонент с изюм</x:v>
      </x:c>
      <x:c r="J137" s="28" t="str">
        <x:v>Гипотеза / практическая</x:v>
      </x:c>
      <x:c r="K137" s="28" t="str">
        <x:v>Таблица сочетания(1).pdf</x:v>
      </x:c>
      <x:c r="L137" s="28" t="str">
        <x:v>Таблица сочетания(1).pdf: 4</x:v>
      </x:c>
    </x:row>
    <x:row r="138" ht="64" customHeight="1">
      <x:c r="A138" s="28" t="str">
        <x:v>NCT-0148</x:v>
      </x:c>
      <x:c r="B138" s="28" t="str">
        <x:v>каштан</x:v>
      </x:c>
      <x:c r="C138" s="28" t="str">
        <x:v>инжир</x:v>
      </x:c>
      <x:c r="D138" s="28" t="str">
        <x:v>Фрукты и ягоды</x:v>
      </x:c>
      <x:c r="E138" s="28" t="str">
        <x:v>общие ароматические соединения, контраст кислоты и жирной/горькой матрицы</x:v>
      </x:c>
      <x:c r="F138" s="28" t="str">
        <x:v>Каштан имеет профиль «крахмалистый, сладкий, древесный, слегка какаовый и печёный». Партнёр «инжир»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38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38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I138" s="28" t="str">
        <x:v>пралине, паста, выпечка, гарнир, соус, молочный или коктейльный компонент с инжир</x:v>
      </x:c>
      <x:c r="J138" s="28" t="str">
        <x:v>Гипотеза / практическая</x:v>
      </x:c>
      <x:c r="K138" s="28" t="str">
        <x:v>Таблица сочетания(1).pdf</x:v>
      </x:c>
      <x:c r="L138" s="28" t="str">
        <x:v>Таблица сочетания(1).pdf: 4</x:v>
      </x:c>
    </x:row>
    <x:row r="139" ht="64" customHeight="1">
      <x:c r="A139" s="28" t="str">
        <x:v>NCT-0149</x:v>
      </x:c>
      <x:c r="B139" s="28" t="str">
        <x:v>каштан</x:v>
      </x:c>
      <x:c r="C139" s="28" t="str">
        <x:v>капуста</x:v>
      </x:c>
      <x:c r="D139" s="28" t="str">
        <x:v>Овощи, бобовые и грибы</x:v>
      </x:c>
      <x:c r="E139" s="28" t="str">
        <x:v>общие ароматические соединения</x:v>
      </x:c>
      <x:c r="F139" s="28" t="str">
        <x:v>Каштан имеет профиль «крахмалистый, сладкий, древесный, слегка какаовый и печёный». Партнёр «капуста»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39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39" s="28" t="str">
        <x:v>сырой каштан жёсткий; требуется надрез перед запеканием; водянистое пюре размывает аромат</x:v>
      </x:c>
      <x:c r="I139" s="28" t="str">
        <x:v>пралине, паста, выпечка, гарнир, соус, молочный или коктейльный компонент с капуста</x:v>
      </x:c>
      <x:c r="J139" s="28" t="str">
        <x:v>Средняя</x:v>
      </x:c>
      <x:c r="K139" s="28" t="str">
        <x:v>Тезариус вкусов (Ники Сегнит)(1).pdf</x:v>
      </x:c>
      <x:c r="L139" s="28" t="str">
        <x:v>Тезариус вкусов (Ники Сегнит)(1).pdf: 311, 617</x:v>
      </x:c>
    </x:row>
    <x:row r="140" ht="64" customHeight="1">
      <x:c r="A140" s="28" t="str">
        <x:v>NCT-0150</x:v>
      </x:c>
      <x:c r="B140" s="28" t="str">
        <x:v>каштан</x:v>
      </x:c>
      <x:c r="C140" s="28" t="str">
        <x:v>кардамон</x:v>
      </x:c>
      <x:c r="D140" s="28" t="str">
        <x:v>Специи</x:v>
      </x:c>
      <x:c r="E140" s="28" t="str">
        <x:v>сенсорная комплементарность</x:v>
      </x:c>
      <x:c r="F140" s="28" t="str">
        <x:v>Каштан имеет профиль «крахмалистый, сладкий, древесный, слегка какаовый и печёный». Партнёр «кардамон» относится к группе «Специи» и даёт камфорный, цветочный,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40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40" s="28" t="str">
        <x:v>сырой каштан жёсткий; требуется надрез перед запеканием; водянистое пюре размывает аромат</x:v>
      </x:c>
      <x:c r="I140" s="28" t="str">
        <x:v>пралине, паста, выпечка, гарнир, соус, молочный или коктейльный компонент с кардамон</x:v>
      </x:c>
      <x:c r="J140" s="28" t="str">
        <x:v>Гипотеза / практическая</x:v>
      </x:c>
      <x:c r="K140" s="28" t="str">
        <x:v>Таблица сочетания(1).pdf</x:v>
      </x:c>
      <x:c r="L140" s="28" t="str">
        <x:v>Таблица сочетания(1).pdf: 4</x:v>
      </x:c>
    </x:row>
    <x:row r="141" ht="64" customHeight="1">
      <x:c r="A141" s="28" t="str">
        <x:v>NCT-0151</x:v>
      </x:c>
      <x:c r="B141" s="28" t="str">
        <x:v>каштан</x:v>
      </x:c>
      <x:c r="C141" s="28" t="str">
        <x:v>кленовый сироп</x:v>
      </x:c>
      <x:c r="D141" s="28" t="str">
        <x:v>Выпечка, сахара и десерты</x:v>
      </x:c>
      <x:c r="E141" s="28" t="str">
        <x:v>общие ароматические соединения, жареная химия и реакции Майяра</x:v>
      </x:c>
      <x:c r="F141" s="28" t="str">
        <x:v>Каштан имеет профиль «крахмалистый, сладкий, древесный, слегка какаовый и печёный». Партнёр «кленовый сироп» относится к группе «Выпечка, сахара и десерты» и даёт сладкий, карамельный и жареный. Молекулярный мост создают мальтол,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мальтол, пиразины, фураны.</x:v>
      </x:c>
      <x:c r="G141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41" s="28" t="str">
        <x:v>сырой каштан жёсткий; требуется надрез перед запеканием; водянистое пюре размывает аромат</x:v>
      </x:c>
      <x:c r="I141" s="28" t="str">
        <x:v>пралине, паста, выпечка, гарнир, соус, молочный или коктейльный компонент с кленовый сироп</x:v>
      </x:c>
      <x:c r="J141" s="28" t="str">
        <x:v>Гипотеза / практическая</x:v>
      </x:c>
      <x:c r="K141" s="28" t="str">
        <x:v>Таблица сочетания(1).pdf</x:v>
      </x:c>
      <x:c r="L141" s="28" t="str">
        <x:v>Таблица сочетания(1).pdf: 4</x:v>
      </x:c>
    </x:row>
    <x:row r="142" ht="64" customHeight="1">
      <x:c r="A142" s="28" t="str">
        <x:v>NCT-0152</x:v>
      </x:c>
      <x:c r="B142" s="28" t="str">
        <x:v>каштан</x:v>
      </x:c>
      <x:c r="C142" s="28" t="str">
        <x:v>кофе</x:v>
      </x:c>
      <x:c r="D142" s="28" t="str">
        <x:v>Кофе</x:v>
      </x:c>
      <x:c r="E142" s="28" t="str">
        <x:v>общие ароматические соединения, жареная химия и реакции Майяра</x:v>
      </x:c>
      <x:c r="F142" s="28" t="str">
        <x:v>Каштан имеет профиль «крахмалистый, сладкий, древесный, слегка какаовый и печёный».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пиразины, фураны.</x:v>
      </x:c>
      <x:c r="G142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42" s="28" t="str">
        <x:v>сырой каштан жёсткий; требуется надрез перед запеканием; водянистое пюре размывает аромат</x:v>
      </x:c>
      <x:c r="I142" s="28" t="str">
        <x:v>пралине, паста, выпечка, гарнир, соус, молочный или коктейльный компонент с кофе</x:v>
      </x:c>
      <x:c r="J142" s="28" t="str">
        <x:v>Гипотеза / практическая</x:v>
      </x:c>
      <x:c r="K142" s="28" t="str">
        <x:v>Таблица сочетания(1).pdf</x:v>
      </x:c>
      <x:c r="L142" s="28" t="str">
        <x:v>Таблица сочетания(1).pdf: 4</x:v>
      </x:c>
    </x:row>
    <x:row r="143" ht="64" customHeight="1">
      <x:c r="A143" s="28" t="str">
        <x:v>NCT-0153</x:v>
      </x:c>
      <x:c r="B143" s="28" t="str">
        <x:v>каштан</x:v>
      </x:c>
      <x:c r="C143" s="28" t="str">
        <x:v>лавровый лист</x:v>
      </x:c>
      <x:c r="D143" s="28" t="str">
        <x:v>Прочее</x:v>
      </x:c>
      <x:c r="E143" s="28" t="str">
        <x:v>сенсорная комплементарность</x:v>
      </x:c>
      <x:c r="F143" s="28" t="str">
        <x:v>Каштан имеет профиль «крахмалистый, сладкий, древесный, слегка какаовый и печёный». Партнёр «лавровый лист»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43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43" s="28" t="str">
        <x:v>сырой каштан жёсткий; требуется надрез перед запеканием; водянистое пюре размывает аромат</x:v>
      </x:c>
      <x:c r="I143" s="28" t="str">
        <x:v>пралине, паста, выпечка, гарнир, соус, молочный или коктейльный компонент с лавровый лист</x:v>
      </x:c>
      <x:c r="J143" s="28" t="str">
        <x:v>Гипотеза / практическая</x:v>
      </x:c>
      <x:c r="K143" s="28" t="str">
        <x:v>Таблица сочетания(1).pdf</x:v>
      </x:c>
      <x:c r="L143" s="28" t="str">
        <x:v>Таблица сочетания(1).pdf: 4</x:v>
      </x:c>
    </x:row>
    <x:row r="144" ht="64" customHeight="1">
      <x:c r="A144" s="28" t="str">
        <x:v>NCT-0154</x:v>
      </x:c>
      <x:c r="B144" s="28" t="str">
        <x:v>каштан</x:v>
      </x:c>
      <x:c r="C144" s="28" t="str">
        <x:v>лимон</x:v>
      </x:c>
      <x:c r="D144" s="28" t="str">
        <x:v>Фрукты и ягоды</x:v>
      </x:c>
      <x:c r="E144" s="28" t="str">
        <x:v>контраст кислоты и жирной/горькой матрицы</x:v>
      </x:c>
      <x:c r="F144" s="28" t="str">
        <x:v>Каштан имеет профиль «крахмалистый, сладкий, древесный, слегка какаовый и печёный».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44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44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I144" s="28" t="str">
        <x:v>пралине, паста, выпечка, гарнир, соус, молочный или коктейльный компонент с лимон</x:v>
      </x:c>
      <x:c r="J144" s="28" t="str">
        <x:v>Гипотеза / практическая</x:v>
      </x:c>
      <x:c r="K144" s="28" t="str">
        <x:v>Таблица сочетания(1).pdf</x:v>
      </x:c>
      <x:c r="L144" s="28" t="str">
        <x:v>Таблица сочетания(1).pdf: 4, 11</x:v>
      </x:c>
    </x:row>
    <x:row r="145" ht="64" customHeight="1">
      <x:c r="A145" s="28" t="str">
        <x:v>NCT-0155</x:v>
      </x:c>
      <x:c r="B145" s="28" t="str">
        <x:v>каштан</x:v>
      </x:c>
      <x:c r="C145" s="28" t="str">
        <x:v>мускатный орех</x:v>
      </x:c>
      <x:c r="D145" s="28" t="str">
        <x:v>Орехи и семена</x:v>
      </x:c>
      <x:c r="E145" s="28" t="str">
        <x:v>жареная химия и реакции Майяра</x:v>
      </x:c>
      <x:c r="F145" s="28" t="str">
        <x:v>Каштан имеет профиль «крахмалистый, сладкий, древесный, слегка какаовый и печёный». Партнёр «мускатный орех» относится к группе «Орехи и семена» и даёт камфорный, ореховый, пряный.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45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45" s="28" t="str">
        <x:v>сырой каштан жёсткий; требуется надрез перед запеканием; водянистое пюре размывает аромат</x:v>
      </x:c>
      <x:c r="I145" s="28" t="str">
        <x:v>пралине, паста, выпечка, гарнир, соус, молочный или коктейльный компонент с мускатный орех</x:v>
      </x:c>
      <x:c r="J145" s="28" t="str">
        <x:v>Гипотеза / практическая</x:v>
      </x:c>
      <x:c r="K145" s="28" t="str">
        <x:v>Таблица сочетания(1).pdf</x:v>
      </x:c>
      <x:c r="L145" s="28" t="str">
        <x:v>Таблица сочетания(1).pdf: 4</x:v>
      </x:c>
    </x:row>
    <x:row r="146" ht="64" customHeight="1">
      <x:c r="A146" s="28" t="str">
        <x:v>NCT-0156</x:v>
      </x:c>
      <x:c r="B146" s="28" t="str">
        <x:v>каштан</x:v>
      </x:c>
      <x:c r="C146" s="28" t="str">
        <x:v>мёд</x:v>
      </x:c>
      <x:c r="D146" s="28" t="str">
        <x:v>Выпечка, сахара и десерты</x:v>
      </x:c>
      <x:c r="E146" s="28" t="str">
        <x:v>жареная химия и реакции Майяра</x:v>
      </x:c>
      <x:c r="F146" s="28" t="str">
        <x:v>Каштан имеет профиль «крахмалистый, сладкий, древесный, слегка какаовый и печёный». Партнёр «мёд» относится к группе «Выпечка, сахара и десерты» и даёт медовый, цветочный.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46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46" s="28" t="str">
        <x:v>сырой каштан жёсткий; требуется надрез перед запеканием; водянистое пюре размывает аромат</x:v>
      </x:c>
      <x:c r="I146" s="28" t="str">
        <x:v>пралине, паста, выпечка, гарнир, соус, молочный или коктейльный компонент с мёд</x:v>
      </x:c>
      <x:c r="J146" s="28" t="str">
        <x:v>Гипотеза / практическая</x:v>
      </x:c>
      <x:c r="K146" s="28" t="str">
        <x:v>Таблица сочетания(1).pdf</x:v>
      </x:c>
      <x:c r="L146" s="28" t="str">
        <x:v>Таблица сочетания(1).pdf: 4</x:v>
      </x:c>
    </x:row>
    <x:row r="147" ht="64" customHeight="1">
      <x:c r="A147" s="28" t="str">
        <x:v>NCT-0157</x:v>
      </x:c>
      <x:c r="B147" s="28" t="str">
        <x:v>каштан</x:v>
      </x:c>
      <x:c r="C147" s="28" t="str">
        <x:v>прошутто</x:v>
      </x:c>
      <x:c r="D147" s="28" t="str">
        <x:v>Прочее</x:v>
      </x:c>
      <x:c r="E147" s="28" t="str">
        <x:v>сенсорная комплементарность</x:v>
      </x:c>
      <x:c r="F147" s="28" t="str">
        <x:v>Каштан имеет профиль «крахмалистый, сладкий, древесный, слегка какаовый и печёный». Партнёр «прошутто»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47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47" s="28" t="str">
        <x:v>сырой каштан жёсткий; требуется надрез перед запеканием; водянистое пюре размывает аромат</x:v>
      </x:c>
      <x:c r="I147" s="28" t="str">
        <x:v>пралине, паста, выпечка, гарнир, соус, молочный или коктейльный компонент с прошутто</x:v>
      </x:c>
      <x:c r="J147" s="28" t="str">
        <x:v>Средняя</x:v>
      </x:c>
      <x:c r="K147" s="28" t="str">
        <x:v>Тезариус вкусов (Ники Сегнит)(1).pdf</x:v>
      </x:c>
      <x:c r="L147" s="28" t="str">
        <x:v>Тезариус вкусов (Ники Сегнит)(1).pdf: 457, 618</x:v>
      </x:c>
    </x:row>
    <x:row r="148" ht="64" customHeight="1">
      <x:c r="A148" s="28" t="str">
        <x:v>NCT-0158</x:v>
      </x:c>
      <x:c r="B148" s="28" t="str">
        <x:v>каштан</x:v>
      </x:c>
      <x:c r="C148" s="28" t="str">
        <x:v>розмарин</x:v>
      </x:c>
      <x:c r="D148" s="28" t="str">
        <x:v>Травы, цветы и листья</x:v>
      </x:c>
      <x:c r="E148" s="28" t="str">
        <x:v>сенсорная комплементарность</x:v>
      </x:c>
      <x:c r="F148" s="28" t="str">
        <x:v>Каштан имеет профиль «крахмалистый, сладкий, древесный, слегка какаовый и печёный». Партнёр «розмарин»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48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48" s="28" t="str">
        <x:v>сырой каштан жёсткий; требуется надрез перед запеканием; водянистое пюре размывает аромат</x:v>
      </x:c>
      <x:c r="I148" s="28" t="str">
        <x:v>пралине, паста, выпечка, гарнир, соус, молочный или коктейльный компонент с розмарин</x:v>
      </x:c>
      <x:c r="J148" s="28" t="str">
        <x:v>Высокая</x:v>
      </x:c>
      <x:c r="K148" s="28" t="str">
        <x:v>Таблица сочетания(1).pdf | Тезариус вкусов (Ники Сегнит)(1).pdf</x:v>
      </x:c>
      <x:c r="L148" s="28" t="str">
        <x:v>Таблица сочетания(1).pdf: 4; Тезариус вкусов (Ники Сегнит)(1).pdf: 618, 837</x:v>
      </x:c>
    </x:row>
    <x:row r="149" ht="64" customHeight="1">
      <x:c r="A149" s="28" t="str">
        <x:v>NCT-0159</x:v>
      </x:c>
      <x:c r="B149" s="28" t="str">
        <x:v>каштан</x:v>
      </x:c>
      <x:c r="C149" s="28" t="str">
        <x:v>свинина</x:v>
      </x:c>
      <x:c r="D149" s="28" t="str">
        <x:v>Мясо и птица</x:v>
      </x:c>
      <x:c r="E149" s="28" t="str">
        <x:v>общие ароматические соединения, жареная химия и реакции Майяра, солёно-умами контраст</x:v>
      </x:c>
      <x:c r="F149" s="28" t="str">
        <x:v>Каштан имеет профиль «крахмалистый, сладкий, древесный, слегка какаовый и печёный». Партнёр «свинина»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149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49" s="28" t="str">
        <x:v>сырой каштан жёсткий; требуется надрез перед запеканием; водянистое пюре размывает аромат</x:v>
      </x:c>
      <x:c r="I149" s="28" t="str">
        <x:v>пралине, паста, выпечка, гарнир, соус, молочный или коктейльный компонент с свинина</x:v>
      </x:c>
      <x:c r="J149" s="28" t="str">
        <x:v>Средняя</x:v>
      </x:c>
      <x:c r="K149" s="28" t="str">
        <x:v>Тезариус вкусов (Ники Сегнит)(1).pdf</x:v>
      </x:c>
      <x:c r="L149" s="28" t="str">
        <x:v>Тезариус вкусов (Ники Сегнит)(1).pdf: 85, 619</x:v>
      </x:c>
    </x:row>
    <x:row r="150" ht="64" customHeight="1">
      <x:c r="A150" s="28" t="str">
        <x:v>NCT-0160</x:v>
      </x:c>
      <x:c r="B150" s="28" t="str">
        <x:v>каштан</x:v>
      </x:c>
      <x:c r="C150" s="28" t="str">
        <x:v>сельдерей</x:v>
      </x:c>
      <x:c r="D150" s="28" t="str">
        <x:v>Прочее</x:v>
      </x:c>
      <x:c r="E150" s="28" t="str">
        <x:v>сенсорная комплементарность</x:v>
      </x:c>
      <x:c r="F150" s="28" t="str">
        <x:v>Каштан имеет профиль «крахмалистый, сладкий, древесный, слегка какаовый и печёный». Партнёр «сельдерей»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50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50" s="28" t="str">
        <x:v>сырой каштан жёсткий; требуется надрез перед запеканием; водянистое пюре размывает аромат</x:v>
      </x:c>
      <x:c r="I150" s="28" t="str">
        <x:v>пралине, паста, выпечка, гарнир, соус, молочный или коктейльный компонент с сельдерей</x:v>
      </x:c>
      <x:c r="J150" s="28" t="str">
        <x:v>Средняя</x:v>
      </x:c>
      <x:c r="K150" s="28" t="str">
        <x:v>Тезариус вкусов (Ники Сегнит)(1).pdf</x:v>
      </x:c>
      <x:c r="L150" s="28" t="str">
        <x:v>Тезариус вкусов (Ники Сегнит)(1).pdf: 251, 620</x:v>
      </x:c>
    </x:row>
    <x:row r="151" ht="64" customHeight="1">
      <x:c r="A151" s="28" t="str">
        <x:v>NCT-0161</x:v>
      </x:c>
      <x:c r="B151" s="28" t="str">
        <x:v>каштан</x:v>
      </x:c>
      <x:c r="C151" s="28" t="str">
        <x:v>слива</x:v>
      </x:c>
      <x:c r="D151" s="28" t="str">
        <x:v>Фрукты и ягоды</x:v>
      </x:c>
      <x:c r="E151" s="28" t="str">
        <x:v>общие ароматические соединения, контраст кислоты и жирной/горькой матрицы</x:v>
      </x:c>
      <x:c r="F151" s="28" t="str">
        <x:v>Каштан имеет профиль «крахмалистый, сладкий, древесный, слегка какаовый и печёный». Партнёр «слива»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51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51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I151" s="28" t="str">
        <x:v>пралине, паста, выпечка, гарнир, соус, молочный или коктейльный компонент с слива</x:v>
      </x:c>
      <x:c r="J151" s="28" t="str">
        <x:v>Гипотеза / практическая</x:v>
      </x:c>
      <x:c r="K151" s="28" t="str">
        <x:v>Таблица сочетания(1).pdf</x:v>
      </x:c>
      <x:c r="L151" s="28" t="str">
        <x:v>Таблица сочетания(1).pdf: 17</x:v>
      </x:c>
    </x:row>
    <x:row r="152" ht="64" customHeight="1">
      <x:c r="A152" s="28" t="str">
        <x:v>NCT-0162</x:v>
      </x:c>
      <x:c r="B152" s="28" t="str">
        <x:v>каштан</x:v>
      </x:c>
      <x:c r="C152" s="28" t="str">
        <x:v>тимьян</x:v>
      </x:c>
      <x:c r="D152" s="28" t="str">
        <x:v>Травы, цветы и листья</x:v>
      </x:c>
      <x:c r="E152" s="28" t="str">
        <x:v>сенсорная комплементарность</x:v>
      </x:c>
      <x:c r="F152" s="28" t="str">
        <x:v>Каштан имеет профиль «крахмалистый, сладкий, древесный, слегка какаовый и печёный». Партнёр «тимьян»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52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52" s="28" t="str">
        <x:v>сырой каштан жёсткий; требуется надрез перед запеканием; водянистое пюре размывает аромат</x:v>
      </x:c>
      <x:c r="I152" s="28" t="str">
        <x:v>пралине, паста, выпечка, гарнир, соус, молочный или коктейльный компонент с тимьян</x:v>
      </x:c>
      <x:c r="J152" s="28" t="str">
        <x:v>Гипотеза / практическая</x:v>
      </x:c>
      <x:c r="K152" s="28" t="str">
        <x:v>Таблица сочетания(1).pdf</x:v>
      </x:c>
      <x:c r="L152" s="28" t="str">
        <x:v>Таблица сочетания(1).pdf: 4</x:v>
      </x:c>
    </x:row>
    <x:row r="153" ht="64" customHeight="1">
      <x:c r="A153" s="28" t="str">
        <x:v>NCT-0163</x:v>
      </x:c>
      <x:c r="B153" s="28" t="str">
        <x:v>каштан</x:v>
      </x:c>
      <x:c r="C153" s="28" t="str">
        <x:v>трюфель</x:v>
      </x:c>
      <x:c r="D153" s="28" t="str">
        <x:v>Прочее</x:v>
      </x:c>
      <x:c r="E153" s="28" t="str">
        <x:v>сенсорная комплементарность</x:v>
      </x:c>
      <x:c r="F153" s="28" t="str">
        <x:v>Каштан имеет профиль «крахмалистый, сладкий, древесный, слегка какаовый и печёный». Партнёр «трюфель»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53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53" s="28" t="str">
        <x:v>сырой каштан жёсткий; требуется надрез перед запеканием; водянистое пюре размывает аромат</x:v>
      </x:c>
      <x:c r="I153" s="28" t="str">
        <x:v>пралине, паста, выпечка, гарнир, соус, молочный или коктейльный компонент с трюфель</x:v>
      </x:c>
      <x:c r="J153" s="28" t="str">
        <x:v>Средняя</x:v>
      </x:c>
      <x:c r="K153" s="28" t="str">
        <x:v>The Art &amp; Science of Foodpairing.pdf</x:v>
      </x:c>
      <x:c r="L153" s="28" t="str">
        <x:v>The Art &amp; Science of Foodpairing.pdf: 192</x:v>
      </x:c>
    </x:row>
    <x:row r="154" ht="64" customHeight="1">
      <x:c r="A154" s="28" t="str">
        <x:v>NCT-0164</x:v>
      </x:c>
      <x:c r="B154" s="28" t="str">
        <x:v>каштан</x:v>
      </x:c>
      <x:c r="C154" s="28" t="str">
        <x:v>тыква баттернат</x:v>
      </x:c>
      <x:c r="D154" s="28" t="str">
        <x:v>Овощи, бобовые и грибы</x:v>
      </x:c>
      <x:c r="E154" s="28" t="str">
        <x:v>общие ароматические соединения</x:v>
      </x:c>
      <x:c r="F154" s="28" t="str">
        <x:v>Каштан имеет профиль «крахмалистый, сладкий, древесный, слегка какаовый и печёный». Партнёр «тыква баттернат»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54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54" s="28" t="str">
        <x:v>сырой каштан жёсткий; требуется надрез перед запеканием; водянистое пюре размывает аромат</x:v>
      </x:c>
      <x:c r="I154" s="28" t="str">
        <x:v>пралине, паста, выпечка, гарнир, соус, молочный или коктейльный компонент с тыква баттернат</x:v>
      </x:c>
      <x:c r="J154" s="28" t="str">
        <x:v>Средняя</x:v>
      </x:c>
      <x:c r="K154" s="28" t="str">
        <x:v>Тезариус вкусов (Ники Сегнит)(1).pdf</x:v>
      </x:c>
      <x:c r="L154" s="28" t="str">
        <x:v>Тезариус вкусов (Ники Сегнит)(1).pdf: 610, 620</x:v>
      </x:c>
    </x:row>
    <x:row r="155" ht="64" customHeight="1">
      <x:c r="A155" s="28" t="str">
        <x:v>NCT-0165</x:v>
      </x:c>
      <x:c r="B155" s="28" t="str">
        <x:v>каштан</x:v>
      </x:c>
      <x:c r="C155" s="28" t="str">
        <x:v>цыпленок</x:v>
      </x:c>
      <x:c r="D155" s="28" t="str">
        <x:v>Прочее</x:v>
      </x:c>
      <x:c r="E155" s="28" t="str">
        <x:v>сенсорная комплементарность</x:v>
      </x:c>
      <x:c r="F155" s="28" t="str">
        <x:v>Каштан имеет профиль «крахмалистый, сладкий, древесный, слегка какаовый и печёный». Партнёр «цыпленок»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55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55" s="28" t="str">
        <x:v>сырой каштан жёсткий; требуется надрез перед запеканием; водянистое пюре размывает аромат</x:v>
      </x:c>
      <x:c r="I155" s="28" t="str">
        <x:v>пралине, паста, выпечка, гарнир, соус, молочный или коктейльный компонент с цыпленок</x:v>
      </x:c>
      <x:c r="J155" s="28" t="str">
        <x:v>Средняя</x:v>
      </x:c>
      <x:c r="K155" s="28" t="str">
        <x:v>Тезариус вкусов (Ники Сегнит)(1).pdf</x:v>
      </x:c>
      <x:c r="L155" s="28" t="str">
        <x:v>Тезариус вкусов (Ники Сегнит)(1).pdf: 68, 620</x:v>
      </x:c>
    </x:row>
    <x:row r="156" ht="64" customHeight="1">
      <x:c r="A156" s="28" t="str">
        <x:v>NCT-0166</x:v>
      </x:c>
      <x:c r="B156" s="28" t="str">
        <x:v>каштан</x:v>
      </x:c>
      <x:c r="C156" s="28" t="str">
        <x:v>чернослив</x:v>
      </x:c>
      <x:c r="D156" s="28" t="str">
        <x:v>Фрукты и ягоды</x:v>
      </x:c>
      <x:c r="E156" s="28" t="str">
        <x:v>общие ароматические соединения, контраст кислоты и жирной/горькой матрицы</x:v>
      </x:c>
      <x:c r="F156" s="28" t="str">
        <x:v>Каштан имеет профиль «крахмалистый, сладкий, древесный, слегка какаовый и печёный». Партнёр «чернослив»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56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56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I156" s="28" t="str">
        <x:v>пралине, паста, выпечка, гарнир, соус, молочный или коктейльный компонент с чернослив</x:v>
      </x:c>
      <x:c r="J156" s="28" t="str">
        <x:v>Гипотеза / практическая</x:v>
      </x:c>
      <x:c r="K156" s="28" t="str">
        <x:v>Таблица сочетания(1).pdf</x:v>
      </x:c>
      <x:c r="L156" s="28" t="str">
        <x:v>Таблица сочетания(1).pdf: 4, 18</x:v>
      </x:c>
    </x:row>
    <x:row r="157" ht="64" customHeight="1">
      <x:c r="A157" s="28" t="str">
        <x:v>NCT-0167</x:v>
      </x:c>
      <x:c r="B157" s="28" t="str">
        <x:v>каштан</x:v>
      </x:c>
      <x:c r="C157" s="28" t="str">
        <x:v>шоколад</x:v>
      </x:c>
      <x:c r="D157" s="28" t="str">
        <x:v>Какао и шоколад</x:v>
      </x:c>
      <x:c r="E157" s="28" t="str">
        <x:v>общие ароматические соединения, пересечение ароматических семейств, жареная химия и реакции Майяра</x:v>
      </x:c>
      <x:c r="F157" s="28" t="str">
        <x:v>Каштан имеет профиль «крахмалистый, сладкий, древесный, слегка какаовый и печёный».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какаовый; альдегиды, пиразины, фураны.</x:v>
      </x:c>
      <x:c r="G157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57" s="28" t="str">
        <x:v>сырой каштан жёсткий; требуется надрез перед запеканием; водянистое пюре размывает аромат</x:v>
      </x:c>
      <x:c r="I157" s="28" t="str">
        <x:v>пралине, паста, выпечка, гарнир, соус, молочный или коктейльный компонент с шоколад</x:v>
      </x:c>
      <x:c r="J157" s="28" t="str">
        <x:v>Высокая</x:v>
      </x:c>
      <x:c r="K157" s="28" t="str">
        <x:v>Таблица сочетания(1).pdf | Тезариус вкусов (Ники Сегнит)(1).pdf</x:v>
      </x:c>
      <x:c r="L157" s="28" t="str">
        <x:v>Таблица сочетания(1).pdf: 4; Тезариус вкусов (Ники Сегнит)(1).pdf: 30, 621</x:v>
      </x:c>
    </x:row>
    <x:row r="158" ht="64" customHeight="1">
      <x:c r="A158" s="28" t="str">
        <x:v>NCT-0168</x:v>
      </x:c>
      <x:c r="B158" s="28" t="str">
        <x:v>каштан</x:v>
      </x:c>
      <x:c r="C158" s="28" t="str">
        <x:v>яблоко</x:v>
      </x:c>
      <x:c r="D158" s="28" t="str">
        <x:v>Фрукты и ягоды</x:v>
      </x:c>
      <x:c r="E158" s="28" t="str">
        <x:v>общие ароматические соединения, контраст кислоты и жирной/горькой матрицы</x:v>
      </x:c>
      <x:c r="F158" s="28" t="str">
        <x:v>Каштан имеет профиль «крахмалистый, сладкий, древесный, слегка какаовый и печёный». Партнёр «яблоко»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58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158" s="28" t="str">
        <x:v>сырой каштан жёсткий; требуется надрез перед запеканием; водянистое пюре размывает аромат; избыток кислоты может сделать чай или кофе резкими и разрушить молочную эмульсию</x:v>
      </x:c>
      <x:c r="I158" s="28" t="str">
        <x:v>пралине, паста, выпечка, гарнир, соус, молочный или коктейльный компонент с яблоко</x:v>
      </x:c>
      <x:c r="J158" s="28" t="str">
        <x:v>Гипотеза / практическая</x:v>
      </x:c>
      <x:c r="K158" s="28" t="str">
        <x:v>Таблица сочетания(1).pdf</x:v>
      </x:c>
      <x:c r="L158" s="28" t="str">
        <x:v>Таблица сочетания(1).pdf: 1</x:v>
      </x:c>
    </x:row>
    <x:row r="159" ht="64" customHeight="1">
      <x:c r="A159" s="28" t="str">
        <x:v>NCT-0169</x:v>
      </x:c>
      <x:c r="B159" s="28" t="str">
        <x:v>кедровый орех</x:v>
      </x:c>
      <x:c r="C159" s="28" t="str">
        <x:v>fish</x:v>
      </x:c>
      <x:c r="D159" s="28" t="str">
        <x:v>Рыба и морепродукты</x:v>
      </x:c>
      <x:c r="E159" s="28" t="str">
        <x:v>общие ароматические соединения, солёно-умами контраст</x:v>
      </x:c>
      <x:c r="F159" s="28" t="str">
        <x:v>Кедровый орех имеет профиль «смолистый, сливочный, зелёный и ореховый».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59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59" s="28" t="str">
        <x:v>аллерген; прогоркание; у части партий возможен длительный горький привкус; малейшая прогорклость ореха или шоколада усиливает неприятные рыбные оттенки</x:v>
      </x:c>
      <x:c r="I159" s="28" t="str">
        <x:v>пралине, паста, выпечка, гарнир, соус, молочный или коктейльный компонент с fish</x:v>
      </x:c>
      <x:c r="J159" s="28" t="str">
        <x:v>Средняя</x:v>
      </x:c>
      <x:c r="K159" s="28" t="str">
        <x:v>The Art &amp; Science of Foodpairing.pdf</x:v>
      </x:c>
      <x:c r="L159" s="28" t="str">
        <x:v>The Art &amp; Science of Foodpairing.pdf: 104</x:v>
      </x:c>
    </x:row>
    <x:row r="160" ht="64" customHeight="1">
      <x:c r="A160" s="28" t="str">
        <x:v>NCT-0170</x:v>
      </x:c>
      <x:c r="B160" s="28" t="str">
        <x:v>кедровый орех</x:v>
      </x:c>
      <x:c r="C160" s="28" t="str">
        <x:v>базилик</x:v>
      </x:c>
      <x:c r="D160" s="28" t="str">
        <x:v>Травы, цветы и листья</x:v>
      </x:c>
      <x:c r="E160" s="28" t="str">
        <x:v>пересечение ароматических семейств</x:v>
      </x:c>
      <x:c r="F160" s="28" t="str">
        <x:v>Кедровый орех имеет профиль «смолистый, сливочный, зелёный и ореховый». Партнёр «базилик» относится к группе «Травы, цветы и листья» и даёт зелёный, цветочный и терпеновый. Профили пересекаются в семействах: зелёный Ореховый жир служит носителем ароматов и создаёт текстурный контраст, но окисление быстро превращает профиль в прогорклый. Итог: зелёный; механизм не следует сводить к одной общей молекуле.</x:v>
      </x:c>
      <x:c r="G160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60" s="28" t="str">
        <x:v>аллерген; прогоркание; у части партий возможен длительный горький привкус</x:v>
      </x:c>
      <x:c r="I160" s="28" t="str">
        <x:v>пралине, паста, выпечка, гарнир, соус, молочный или коктейльный компонент с базилик</x:v>
      </x:c>
      <x:c r="J160" s="28" t="str">
        <x:v>Гипотеза / практическая</x:v>
      </x:c>
      <x:c r="K160" s="28" t="str">
        <x:v>Таблица сочетания(1).pdf</x:v>
      </x:c>
      <x:c r="L160" s="28" t="str">
        <x:v>Таблица сочетания(1).pdf: 16</x:v>
      </x:c>
    </x:row>
    <x:row r="161" ht="64" customHeight="1">
      <x:c r="A161" s="28" t="str">
        <x:v>NCT-0171</x:v>
      </x:c>
      <x:c r="B161" s="28" t="str">
        <x:v>кедровый орех</x:v>
      </x:c>
      <x:c r="C161" s="28" t="str">
        <x:v>имбирь</x:v>
      </x:c>
      <x:c r="D161" s="28" t="str">
        <x:v>Специи</x:v>
      </x:c>
      <x:c r="E161" s="28" t="str">
        <x:v>сенсорная комплементарность</x:v>
      </x:c>
      <x:c r="F161" s="28" t="str">
        <x:v>Кедровый орех имеет профиль «смолистый, сливочный, зелёный и ореховый». Партнёр «имбирь» относится к группе «Специи» и даёт пряный, тёплый,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61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61" s="28" t="str">
        <x:v>аллерген; прогоркание; у части партий возможен длительный горький привкус</x:v>
      </x:c>
      <x:c r="I161" s="28" t="str">
        <x:v>пралине, паста, выпечка, гарнир, соус, молочный или коктейльный компонент с имбирь</x:v>
      </x:c>
      <x:c r="J161" s="28" t="str">
        <x:v>Гипотеза / практическая</x:v>
      </x:c>
      <x:c r="K161" s="28" t="str">
        <x:v>Таблица сочетания(1).pdf</x:v>
      </x:c>
      <x:c r="L161" s="28" t="str">
        <x:v>Таблица сочетания(1).pdf: 16</x:v>
      </x:c>
    </x:row>
    <x:row r="162" ht="64" customHeight="1">
      <x:c r="A162" s="28" t="str">
        <x:v>NCT-0172</x:v>
      </x:c>
      <x:c r="B162" s="28" t="str">
        <x:v>кедровый орех</x:v>
      </x:c>
      <x:c r="C162" s="28" t="str">
        <x:v>инжир</x:v>
      </x:c>
      <x:c r="D162" s="28" t="str">
        <x:v>Фрукты и ягоды</x:v>
      </x:c>
      <x:c r="E162" s="28" t="str">
        <x:v>общие ароматические соединения, контраст кислоты и жирной/горькой матрицы</x:v>
      </x:c>
      <x:c r="F162" s="28" t="str">
        <x:v>Кедровый орех имеет профиль «смолистый, сливочный, зелёный и ореховый». Партнёр «инжир»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62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62" s="28" t="str">
        <x:v>аллерген; прогоркание; у части партий возможен длительный горький привкус; избыток кислоты может сделать чай или кофе резкими и разрушить молочную эмульсию</x:v>
      </x:c>
      <x:c r="I162" s="28" t="str">
        <x:v>пралине, паста, выпечка, гарнир, соус, молочный или коктейльный компонент с инжир</x:v>
      </x:c>
      <x:c r="J162" s="28" t="str">
        <x:v>Гипотеза / практическая</x:v>
      </x:c>
      <x:c r="K162" s="28" t="str">
        <x:v>Таблица сочетания(1).pdf</x:v>
      </x:c>
      <x:c r="L162" s="28" t="str">
        <x:v>Таблица сочетания(1).pdf: 16</x:v>
      </x:c>
    </x:row>
    <x:row r="163" ht="64" customHeight="1">
      <x:c r="A163" s="28" t="str">
        <x:v>NCT-0173</x:v>
      </x:c>
      <x:c r="B163" s="28" t="str">
        <x:v>кедровый орех</x:v>
      </x:c>
      <x:c r="C163" s="28" t="str">
        <x:v>кленовый сироп</x:v>
      </x:c>
      <x:c r="D163" s="28" t="str">
        <x:v>Выпечка, сахара и десерты</x:v>
      </x:c>
      <x:c r="E163" s="28" t="str">
        <x:v>общие ароматические соединения, жареная химия и реакции Майяра</x:v>
      </x:c>
      <x:c r="F163" s="28" t="str">
        <x:v>Кедровый орех имеет профиль «смолистый, сливочный, зелёный и ореховый». Партнёр «кленовый сироп» относится к группе «Выпечка, сахара и десерты» и даёт сладкий, карамельный и жареный.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163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63" s="28" t="str">
        <x:v>аллерген; прогоркание; у части партий возможен длительный горький привкус</x:v>
      </x:c>
      <x:c r="I163" s="28" t="str">
        <x:v>пралине, паста, выпечка, гарнир, соус, молочный или коктейльный компонент с кленовый сироп</x:v>
      </x:c>
      <x:c r="J163" s="28" t="str">
        <x:v>Гипотеза / практическая</x:v>
      </x:c>
      <x:c r="K163" s="28" t="str">
        <x:v>Таблица сочетания(1).pdf</x:v>
      </x:c>
      <x:c r="L163" s="28" t="str">
        <x:v>Таблица сочетания(1).pdf: 16</x:v>
      </x:c>
    </x:row>
    <x:row r="164" ht="64" customHeight="1">
      <x:c r="A164" s="28" t="str">
        <x:v>NCT-0174</x:v>
      </x:c>
      <x:c r="B164" s="28" t="str">
        <x:v>кедровый орех</x:v>
      </x:c>
      <x:c r="C164" s="28" t="str">
        <x:v>куркума</x:v>
      </x:c>
      <x:c r="D164" s="28" t="str">
        <x:v>Прочее</x:v>
      </x:c>
      <x:c r="E164" s="28" t="str">
        <x:v>сенсорная комплементарность</x:v>
      </x:c>
      <x:c r="F164" s="28" t="str">
        <x:v>Кедровый орех имеет профиль «смолистый, сливочный, зелёный и ореховый». Партнёр «куркума»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64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64" s="28" t="str">
        <x:v>аллерген; прогоркание; у части партий возможен длительный горький привкус</x:v>
      </x:c>
      <x:c r="I164" s="28" t="str">
        <x:v>пралине, паста, выпечка, гарнир, соус, молочный или коктейльный компонент с куркума</x:v>
      </x:c>
      <x:c r="J164" s="28" t="str">
        <x:v>Гипотеза / практическая</x:v>
      </x:c>
      <x:c r="K164" s="28" t="str">
        <x:v>Таблица сочетания(1).pdf</x:v>
      </x:c>
      <x:c r="L164" s="28" t="str">
        <x:v>Таблица сочетания(1).pdf: 16</x:v>
      </x:c>
    </x:row>
    <x:row r="165" ht="64" customHeight="1">
      <x:c r="A165" s="28" t="str">
        <x:v>NCT-0175</x:v>
      </x:c>
      <x:c r="B165" s="28" t="str">
        <x:v>кедровый орех</x:v>
      </x:c>
      <x:c r="C165" s="28" t="str">
        <x:v>лимон</x:v>
      </x:c>
      <x:c r="D165" s="28" t="str">
        <x:v>Фрукты и ягоды</x:v>
      </x:c>
      <x:c r="E165" s="28" t="str">
        <x:v>контраст кислоты и жирной/горькой матрицы</x:v>
      </x:c>
      <x:c r="F165" s="28" t="str">
        <x:v>Кедровый орех имеет профиль «смолистый, сливочный, зелёный и ореховый».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65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65" s="28" t="str">
        <x:v>аллерген; прогоркание; у части партий возможен длительный горький привкус; избыток кислоты может сделать чай или кофе резкими и разрушить молочную эмульсию</x:v>
      </x:c>
      <x:c r="I165" s="28" t="str">
        <x:v>пралине, паста, выпечка, гарнир, соус, молочный или коктейльный компонент с лимон</x:v>
      </x:c>
      <x:c r="J165" s="28" t="str">
        <x:v>Гипотеза / практическая</x:v>
      </x:c>
      <x:c r="K165" s="28" t="str">
        <x:v>Таблица сочетания(1).pdf</x:v>
      </x:c>
      <x:c r="L165" s="28" t="str">
        <x:v>Таблица сочетания(1).pdf: 11, 16</x:v>
      </x:c>
    </x:row>
    <x:row r="166" ht="64" customHeight="1">
      <x:c r="A166" s="28" t="str">
        <x:v>NCT-0176</x:v>
      </x:c>
      <x:c r="B166" s="28" t="str">
        <x:v>кедровый орех</x:v>
      </x:c>
      <x:c r="C166" s="28" t="str">
        <x:v>манго</x:v>
      </x:c>
      <x:c r="D166" s="28" t="str">
        <x:v>Фрукты и ягоды</x:v>
      </x:c>
      <x:c r="E166" s="28" t="str">
        <x:v>общие ароматические соединения, контраст кислоты и жирной/горькой матрицы</x:v>
      </x:c>
      <x:c r="F166" s="28" t="str">
        <x:v>Кедровый орех имеет профиль «смолистый, сливочный, зелёный и ореховый». Партнёр «манго»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66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66" s="28" t="str">
        <x:v>аллерген; прогоркание; у части партий возможен длительный горький привкус; избыток кислоты может сделать чай или кофе резкими и разрушить молочную эмульсию</x:v>
      </x:c>
      <x:c r="I166" s="28" t="str">
        <x:v>пралине, паста, выпечка, гарнир, соус, молочный или коктейльный компонент с манго</x:v>
      </x:c>
      <x:c r="J166" s="28" t="str">
        <x:v>Средняя</x:v>
      </x:c>
      <x:c r="K166" s="28" t="str">
        <x:v>The Art &amp; Science of Foodpairing.pdf</x:v>
      </x:c>
      <x:c r="L166" s="28" t="str">
        <x:v>The Art &amp; Science of Foodpairing.pdf: 312</x:v>
      </x:c>
    </x:row>
    <x:row r="167" ht="64" customHeight="1">
      <x:c r="A167" s="28" t="str">
        <x:v>NCT-0177</x:v>
      </x:c>
      <x:c r="B167" s="28" t="str">
        <x:v>кедровый орех</x:v>
      </x:c>
      <x:c r="C167" s="28" t="str">
        <x:v>орегано</x:v>
      </x:c>
      <x:c r="D167" s="28" t="str">
        <x:v>Прочее</x:v>
      </x:c>
      <x:c r="E167" s="28" t="str">
        <x:v>сенсорная комплементарность</x:v>
      </x:c>
      <x:c r="F167" s="28" t="str">
        <x:v>Кедровый орех имеет профиль «смолистый, сливочный, зелёный и ореховый». Партнёр «орегано»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67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67" s="28" t="str">
        <x:v>аллерген; прогоркание; у части партий возможен длительный горький привкус</x:v>
      </x:c>
      <x:c r="I167" s="28" t="str">
        <x:v>пралине, паста, выпечка, гарнир, соус, молочный или коктейльный компонент с орегано</x:v>
      </x:c>
      <x:c r="J167" s="28" t="str">
        <x:v>Гипотеза / практическая</x:v>
      </x:c>
      <x:c r="K167" s="28" t="str">
        <x:v>Таблица сочетания(1).pdf</x:v>
      </x:c>
      <x:c r="L167" s="28" t="str">
        <x:v>Таблица сочетания(1).pdf: 17</x:v>
      </x:c>
    </x:row>
    <x:row r="168" ht="64" customHeight="1">
      <x:c r="A168" s="28" t="str">
        <x:v>NCT-0178</x:v>
      </x:c>
      <x:c r="B168" s="28" t="str">
        <x:v>кедровый орех</x:v>
      </x:c>
      <x:c r="C168" s="28" t="str">
        <x:v>персик</x:v>
      </x:c>
      <x:c r="D168" s="28" t="str">
        <x:v>Фрукты и ягоды</x:v>
      </x:c>
      <x:c r="E168" s="28" t="str">
        <x:v>контраст кислоты и жирной/горькой матрицы</x:v>
      </x:c>
      <x:c r="F168" s="28" t="str">
        <x:v>Кедровый орех имеет профиль «смолистый, сливочный, зелёный и ореховый». Партнёр «персик» относится к группе «Фрукты и ягоды» и даёт лактонный, фруктовый, цветочный.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68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68" s="28" t="str">
        <x:v>аллерген; прогоркание; у части партий возможен длительный горький привкус; избыток кислоты может сделать чай или кофе резкими и разрушить молочную эмульсию</x:v>
      </x:c>
      <x:c r="I168" s="28" t="str">
        <x:v>пралине, паста, выпечка, гарнир, соус, молочный или коктейльный компонент с персик</x:v>
      </x:c>
      <x:c r="J168" s="28" t="str">
        <x:v>Гипотеза / практическая</x:v>
      </x:c>
      <x:c r="K168" s="28" t="str">
        <x:v>Таблица сочетания(1).pdf</x:v>
      </x:c>
      <x:c r="L168" s="28" t="str">
        <x:v>Таблица сочетания(1).pdf: 16</x:v>
      </x:c>
    </x:row>
    <x:row r="169" ht="64" customHeight="1">
      <x:c r="A169" s="28" t="str">
        <x:v>NCT-0179</x:v>
      </x:c>
      <x:c r="B169" s="28" t="str">
        <x:v>кедровый орех</x:v>
      </x:c>
      <x:c r="C169" s="28" t="str">
        <x:v>розмарин</x:v>
      </x:c>
      <x:c r="D169" s="28" t="str">
        <x:v>Травы, цветы и листья</x:v>
      </x:c>
      <x:c r="E169" s="28" t="str">
        <x:v>пересечение ароматических семейств</x:v>
      </x:c>
      <x:c r="F169" s="28" t="str">
        <x:v>Кедровый орех имеет профиль «смолистый, сливочный, зелёный и ореховый». Партнёр «розмарин» относится к группе «Травы, цветы и листья» и даёт зелёный, цветочный и терпеновый. Профили пересекаются в семействах: зелёный Ореховый жир служит носителем ароматов и создаёт текстурный контраст, но окисление быстро превращает профиль в прогорклый. Итог: зелёный; механизм не следует сводить к одной общей молекуле.</x:v>
      </x:c>
      <x:c r="G169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69" s="28" t="str">
        <x:v>аллерген; прогоркание; у части партий возможен длительный горький привкус</x:v>
      </x:c>
      <x:c r="I169" s="28" t="str">
        <x:v>пралине, паста, выпечка, гарнир, соус, молочный или коктейльный компонент с розмарин</x:v>
      </x:c>
      <x:c r="J169" s="28" t="str">
        <x:v>Гипотеза / практическая</x:v>
      </x:c>
      <x:c r="K169" s="28" t="str">
        <x:v>Таблица сочетания(1).pdf</x:v>
      </x:c>
      <x:c r="L169" s="28" t="str">
        <x:v>Таблица сочетания(1).pdf: 17</x:v>
      </x:c>
    </x:row>
    <x:row r="170" ht="64" customHeight="1">
      <x:c r="A170" s="28" t="str">
        <x:v>NCT-0180</x:v>
      </x:c>
      <x:c r="B170" s="28" t="str">
        <x:v>кедровый орех</x:v>
      </x:c>
      <x:c r="C170" s="28" t="str">
        <x:v>слива</x:v>
      </x:c>
      <x:c r="D170" s="28" t="str">
        <x:v>Фрукты и ягоды</x:v>
      </x:c>
      <x:c r="E170" s="28" t="str">
        <x:v>общие ароматические соединения, контраст кислоты и жирной/горькой матрицы</x:v>
      </x:c>
      <x:c r="F170" s="28" t="str">
        <x:v>Кедровый орех имеет профиль «смолистый, сливочный, зелёный и ореховый». Партнёр «слива»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70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170" s="28" t="str">
        <x:v>аллерген; прогоркание; у части партий возможен длительный горький привкус; избыток кислоты может сделать чай или кофе резкими и разрушить молочную эмульсию</x:v>
      </x:c>
      <x:c r="I170" s="28" t="str">
        <x:v>пралине, паста, выпечка, гарнир, соус, молочный или коктейльный компонент с слива</x:v>
      </x:c>
      <x:c r="J170" s="28" t="str">
        <x:v>Гипотеза / практическая</x:v>
      </x:c>
      <x:c r="K170" s="28" t="str">
        <x:v>Таблица сочетания(1).pdf</x:v>
      </x:c>
      <x:c r="L170" s="28" t="str">
        <x:v>Таблица сочетания(1).pdf: 16</x:v>
      </x:c>
    </x:row>
    <x:row r="171" ht="64" customHeight="1">
      <x:c r="A171" s="28" t="str">
        <x:v>NCT-0181</x:v>
      </x:c>
      <x:c r="B171" s="28" t="str">
        <x:v>кешью</x:v>
      </x:c>
      <x:c r="C171" s="28" t="str">
        <x:v>balsamic vinegar</x:v>
      </x:c>
      <x:c r="D171" s="28" t="str">
        <x:v>Ферментированные продукты и соусы</x:v>
      </x:c>
      <x:c r="E171" s="28" t="str">
        <x:v>общие ароматические соединения, пересечение ароматических семейств, солёно-умами контраст</x:v>
      </x:c>
      <x:c r="F171" s="28" t="str">
        <x:v>Кешью имеет профиль «сливочный, мягко-ореховый, сладковатый и жареный». Партнёр «balsamic vinegar»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171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71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71" s="28" t="str">
        <x:v>пралине, паста, выпечка, гарнир, соус, молочный или коктейльный компонент с balsamic vinegar</x:v>
      </x:c>
      <x:c r="J171" s="28" t="str">
        <x:v>Средняя</x:v>
      </x:c>
      <x:c r="K171" s="28" t="str">
        <x:v>The Art &amp; Science of Foodpairing.pdf</x:v>
      </x:c>
      <x:c r="L171" s="28" t="str">
        <x:v>The Art &amp; Science of Foodpairing.pdf: 316</x:v>
      </x:c>
    </x:row>
    <x:row r="172" ht="64" customHeight="1">
      <x:c r="A172" s="28" t="str">
        <x:v>NCT-0182</x:v>
      </x:c>
      <x:c r="B172" s="28" t="str">
        <x:v>кешью</x:v>
      </x:c>
      <x:c r="C172" s="28" t="str">
        <x:v>cucumber</x:v>
      </x:c>
      <x:c r="D172" s="28" t="str">
        <x:v>Овощи, бобовые и грибы</x:v>
      </x:c>
      <x:c r="E172" s="28" t="str">
        <x:v>общие ароматические соединения</x:v>
      </x:c>
      <x:c r="F172" s="28" t="str">
        <x:v>Кешью имеет профиль «сливочный, мягко-ореховый, сладковатый и жареный». Партнёр «cucumber»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72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72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72" s="28" t="str">
        <x:v>пралине, паста, выпечка, гарнир, соус, молочный или коктейльный компонент с cucumber</x:v>
      </x:c>
      <x:c r="J172" s="28" t="str">
        <x:v>Средняя</x:v>
      </x:c>
      <x:c r="K172" s="28" t="str">
        <x:v>The Art &amp; Science of Foodpairing.pdf</x:v>
      </x:c>
      <x:c r="L172" s="28" t="str">
        <x:v>The Art &amp; Science of Foodpairing.pdf: 268</x:v>
      </x:c>
    </x:row>
    <x:row r="173" ht="64" customHeight="1">
      <x:c r="A173" s="28" t="str">
        <x:v>NCT-0183</x:v>
      </x:c>
      <x:c r="B173" s="28" t="str">
        <x:v>кешью</x:v>
      </x:c>
      <x:c r="C173" s="28" t="str">
        <x:v>fish</x:v>
      </x:c>
      <x:c r="D173" s="28" t="str">
        <x:v>Рыба и морепродукты</x:v>
      </x:c>
      <x:c r="E173" s="28" t="str">
        <x:v>общие ароматические соединения, солёно-умами контраст</x:v>
      </x:c>
      <x:c r="F173" s="28" t="str">
        <x:v>Кешью имеет профиль «сливочный, мягко-ореховый, сладковатый и жареный».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73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73" s="28" t="str">
        <x:v>аллерген; оболочка сырого ореха содержит раздражающие вещества, поэтому используется обработанный пищевой продукт; малейшая прогорклость ореха или шоколада усиливает неприятные рыбные оттенки</x:v>
      </x:c>
      <x:c r="I173" s="28" t="str">
        <x:v>пралине, паста, выпечка, гарнир, соус, молочный или коктейльный компонент с fish</x:v>
      </x:c>
      <x:c r="J173" s="28" t="str">
        <x:v>Средняя</x:v>
      </x:c>
      <x:c r="K173" s="28" t="str">
        <x:v>The Art &amp; Science of Foodpairing.pdf</x:v>
      </x:c>
      <x:c r="L173" s="28" t="str">
        <x:v>The Art &amp; Science of Foodpairing.pdf: 104</x:v>
      </x:c>
    </x:row>
    <x:row r="174" ht="64" customHeight="1">
      <x:c r="A174" s="28" t="str">
        <x:v>NCT-0184</x:v>
      </x:c>
      <x:c r="B174" s="28" t="str">
        <x:v>кешью</x:v>
      </x:c>
      <x:c r="C174" s="28" t="str">
        <x:v>goats' cheese and milk</x:v>
      </x:c>
      <x:c r="D174" s="28" t="str">
        <x:v>Молочные продукты и сыры</x:v>
      </x:c>
      <x:c r="E174" s="28" t="str">
        <x:v>общие ароматические соединения, пересечение ароматических семейств, жировая экстракция и связывание полифенолов белком</x:v>
      </x:c>
      <x:c r="F174" s="28" t="str">
        <x:v>Кешью имеет профиль «сливочный, мягко-ореховый, сладковатый и жареный». Партнёр «goats' cheese and milk» относится к группе «Молочные продукты и сыры» и даёт молочный, сливочный и ферментированный. Молекулярный мост создают лактоны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сливочный; лактоны.</x:v>
      </x:c>
      <x:c r="G174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74" s="28" t="str">
        <x:v>аллерген; оболочка сырого ореха содержит раздражающие вещества, поэтому используется обработанный пищевой продукт; жир способен приглушить тонкую ароматику; белок связывает полифенолы</x:v>
      </x:c>
      <x:c r="I174" s="28" t="str">
        <x:v>пралине, паста, выпечка, гарнир, соус, молочный или коктейльный компонент с goats' cheese and milk</x:v>
      </x:c>
      <x:c r="J174" s="28" t="str">
        <x:v>Средняя</x:v>
      </x:c>
      <x:c r="K174" s="28" t="str">
        <x:v>The Art &amp; Science of Foodpairing.pdf</x:v>
      </x:c>
      <x:c r="L174" s="28" t="str">
        <x:v>The Art &amp; Science of Foodpairing.pdf: 200</x:v>
      </x:c>
    </x:row>
    <x:row r="175" ht="64" customHeight="1">
      <x:c r="A175" s="28" t="str">
        <x:v>NCT-0185</x:v>
      </x:c>
      <x:c r="B175" s="28" t="str">
        <x:v>кешью</x:v>
      </x:c>
      <x:c r="C175" s="28" t="str">
        <x:v>lberico ham</x:v>
      </x:c>
      <x:c r="D175" s="28" t="str">
        <x:v>Мясо и птица</x:v>
      </x:c>
      <x:c r="E175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75" s="28" t="str">
        <x:v>Кешью имеет профиль «сливочный, мягко-ореховый, сладковатый и жареный».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175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75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75" s="28" t="str">
        <x:v>пралине, паста, выпечка, гарнир, соус, молочный или коктейльный компонент с lberico ham</x:v>
      </x:c>
      <x:c r="J175" s="28" t="str">
        <x:v>Средняя</x:v>
      </x:c>
      <x:c r="K175" s="28" t="str">
        <x:v>The Art &amp; Science of Foodpairing.pdf</x:v>
      </x:c>
      <x:c r="L175" s="28" t="str">
        <x:v>The Art &amp; Science of Foodpairing.pdf: 278</x:v>
      </x:c>
    </x:row>
    <x:row r="176" ht="64" customHeight="1">
      <x:c r="A176" s="28" t="str">
        <x:v>NCT-0186</x:v>
      </x:c>
      <x:c r="B176" s="28" t="str">
        <x:v>кешью</x:v>
      </x:c>
      <x:c r="C176" s="28" t="str">
        <x:v>tomato and tomato puree</x:v>
      </x:c>
      <x:c r="D176" s="28" t="str">
        <x:v>Овощи, бобовые и грибы</x:v>
      </x:c>
      <x:c r="E176" s="28" t="str">
        <x:v>общие ароматические соединения</x:v>
      </x:c>
      <x:c r="F176" s="28" t="str">
        <x:v>Кешью имеет профиль «сливочный, мягко-ореховый, сладковатый и жареный». Партнёр «tomato and tomato puree»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76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76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76" s="28" t="str">
        <x:v>пралине, паста, выпечка, гарнир, соус, молочный или коктейльный компонент с tomato and tomato puree</x:v>
      </x:c>
      <x:c r="J176" s="28" t="str">
        <x:v>Средняя</x:v>
      </x:c>
      <x:c r="K176" s="28" t="str">
        <x:v>The Art &amp; Science of Foodpairing.pdf</x:v>
      </x:c>
      <x:c r="L176" s="28" t="str">
        <x:v>The Art &amp; Science of Foodpairing.pdf: 161</x:v>
      </x:c>
    </x:row>
    <x:row r="177" ht="64" customHeight="1">
      <x:c r="A177" s="28" t="str">
        <x:v>NCT-0187</x:v>
      </x:c>
      <x:c r="B177" s="28" t="str">
        <x:v>кешью</x:v>
      </x:c>
      <x:c r="C177" s="28" t="str">
        <x:v>watermelon</x:v>
      </x:c>
      <x:c r="D177" s="28" t="str">
        <x:v>Фрукты и ягоды</x:v>
      </x:c>
      <x:c r="E177" s="28" t="str">
        <x:v>общие ароматические соединения, контраст кислоты и жирной/горькой матрицы</x:v>
      </x:c>
      <x:c r="F177" s="28" t="str">
        <x:v>Кешью имеет профиль «сливочный, мягко-ореховый, сладковатый и жареный». Партнёр «watermelon»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77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77" s="28" t="str">
        <x:v>аллерген; оболочка сырого ореха содержит раздражающие вещества, поэтому используется обработанный пищевой продукт; избыток кислоты может сделать чай или кофе резкими и разрушить молочную эмульсию</x:v>
      </x:c>
      <x:c r="I177" s="28" t="str">
        <x:v>пралине, паста, выпечка, гарнир, соус, молочный или коктейльный компонент с watermelon</x:v>
      </x:c>
      <x:c r="J177" s="28" t="str">
        <x:v>Высокая</x:v>
      </x:c>
      <x:c r="K177" s="28" t="str">
        <x:v>The Art &amp; Science of Foodpairing.pdf</x:v>
      </x:c>
      <x:c r="L177" s="28" t="str">
        <x:v>The Art &amp; Science of Foodpairing.pdf: 79</x:v>
      </x:c>
    </x:row>
    <x:row r="178" ht="64" customHeight="1">
      <x:c r="A178" s="28" t="str">
        <x:v>NCT-0188</x:v>
      </x:c>
      <x:c r="B178" s="28" t="str">
        <x:v>кешью</x:v>
      </x:c>
      <x:c r="C178" s="28" t="str">
        <x:v>ананас</x:v>
      </x:c>
      <x:c r="D178" s="28" t="str">
        <x:v>Прочее</x:v>
      </x:c>
      <x:c r="E178" s="28" t="str">
        <x:v>сенсорная комплементарность</x:v>
      </x:c>
      <x:c r="F178" s="28" t="str">
        <x:v>Кешью имеет профиль «сливочный, мягко-ореховый, сладковатый и жареный». Партнёр «ананас»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78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78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78" s="28" t="str">
        <x:v>пралине, паста, выпечка, гарнир, соус, молочный или коктейльный компонент с ананас</x:v>
      </x:c>
      <x:c r="J178" s="28" t="str">
        <x:v>Гипотеза / практическая</x:v>
      </x:c>
      <x:c r="K178" s="28" t="str">
        <x:v>Таблица сочетания(1).pdf</x:v>
      </x:c>
      <x:c r="L178" s="28" t="str">
        <x:v>Таблица сочетания(1).pdf: 4</x:v>
      </x:c>
    </x:row>
    <x:row r="179" ht="64" customHeight="1">
      <x:c r="A179" s="28" t="str">
        <x:v>NCT-0189</x:v>
      </x:c>
      <x:c r="B179" s="28" t="str">
        <x:v>кешью</x:v>
      </x:c>
      <x:c r="C179" s="28" t="str">
        <x:v>груша</x:v>
      </x:c>
      <x:c r="D179" s="28" t="str">
        <x:v>Фрукты и ягоды</x:v>
      </x:c>
      <x:c r="E179" s="28" t="str">
        <x:v>общие ароматические соединения, контраст кислоты и жирной/горькой матрицы</x:v>
      </x:c>
      <x:c r="F179" s="28" t="str">
        <x:v>Кешью имеет профиль «сливочный, мягко-ореховый, сладковатый и жареный». Партнёр «груша»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79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79" s="28" t="str">
        <x:v>аллерген; оболочка сырого ореха содержит раздражающие вещества, поэтому используется обработанный пищевой продукт; избыток кислоты может сделать чай или кофе резкими и разрушить молочную эмульсию</x:v>
      </x:c>
      <x:c r="I179" s="28" t="str">
        <x:v>пралине, паста, выпечка, гарнир, соус, молочный или коктейльный компонент с груша</x:v>
      </x:c>
      <x:c r="J179" s="28" t="str">
        <x:v>Высокая</x:v>
      </x:c>
      <x:c r="K179" s="28" t="str">
        <x:v>The Art &amp; Science of Foodpairing.pdf | Таблица сочетания(1).pdf</x:v>
      </x:c>
      <x:c r="L179" s="28" t="str">
        <x:v>The Art &amp; Science of Foodpairing.pdf: 350; Таблица сочетания(1).pdf: 4</x:v>
      </x:c>
    </x:row>
    <x:row r="180" ht="64" customHeight="1">
      <x:c r="A180" s="28" t="str">
        <x:v>NCT-0190</x:v>
      </x:c>
      <x:c r="B180" s="28" t="str">
        <x:v>кешью</x:v>
      </x:c>
      <x:c r="C180" s="28" t="str">
        <x:v>имбирь</x:v>
      </x:c>
      <x:c r="D180" s="28" t="str">
        <x:v>Специи</x:v>
      </x:c>
      <x:c r="E180" s="28" t="str">
        <x:v>сенсорная комплементарность</x:v>
      </x:c>
      <x:c r="F180" s="28" t="str">
        <x:v>Кешью имеет профиль «сливочный, мягко-ореховый, сладковатый и жареный». Партнёр «имбирь» относится к группе «Специи» и даёт пряный, тёплый,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80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80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80" s="28" t="str">
        <x:v>пралине, паста, выпечка, гарнир, соус, молочный или коктейльный компонент с имбирь</x:v>
      </x:c>
      <x:c r="J180" s="28" t="str">
        <x:v>Гипотеза / практическая</x:v>
      </x:c>
      <x:c r="K180" s="28" t="str">
        <x:v>Таблица сочетания(1).pdf</x:v>
      </x:c>
      <x:c r="L180" s="28" t="str">
        <x:v>Таблица сочетания(1).pdf: 4</x:v>
      </x:c>
    </x:row>
    <x:row r="181" ht="64" customHeight="1">
      <x:c r="A181" s="28" t="str">
        <x:v>NCT-0191</x:v>
      </x:c>
      <x:c r="B181" s="28" t="str">
        <x:v>кешью</x:v>
      </x:c>
      <x:c r="C181" s="28" t="str">
        <x:v>карамель</x:v>
      </x:c>
      <x:c r="D181" s="28" t="str">
        <x:v>Выпечка, сахара и десерты</x:v>
      </x:c>
      <x:c r="E181" s="28" t="str">
        <x:v>общие ароматические соединения, пересечение ароматических семейств, жареная химия и реакции Майяра</x:v>
      </x:c>
      <x:c r="F181" s="28" t="str">
        <x:v>Кешью имеет профиль «сливочный, мягко-ореховый, сладковатый и жареный». Партнёр «карамель» относится к группе «Выпечка, сахара и десерты» и даёт жареный, карамельный. Молекулярный мост создают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фураны.</x:v>
      </x:c>
      <x:c r="G181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81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81" s="28" t="str">
        <x:v>пралине, паста, выпечка, гарнир, соус, молочный или коктейльный компонент с карамель</x:v>
      </x:c>
      <x:c r="J181" s="28" t="str">
        <x:v>Гипотеза / практическая</x:v>
      </x:c>
      <x:c r="K181" s="28" t="str">
        <x:v>Таблица сочетания(1).pdf</x:v>
      </x:c>
      <x:c r="L181" s="28" t="str">
        <x:v>Таблица сочетания(1).pdf: 4</x:v>
      </x:c>
    </x:row>
    <x:row r="182" ht="64" customHeight="1">
      <x:c r="A182" s="28" t="str">
        <x:v>NCT-0192</x:v>
      </x:c>
      <x:c r="B182" s="28" t="str">
        <x:v>кешью</x:v>
      </x:c>
      <x:c r="C182" s="28" t="str">
        <x:v>корица</x:v>
      </x:c>
      <x:c r="D182" s="28" t="str">
        <x:v>Специи</x:v>
      </x:c>
      <x:c r="E182" s="28" t="str">
        <x:v>сенсорная комплементарность</x:v>
      </x:c>
      <x:c r="F182" s="28" t="str">
        <x:v>Кешью имеет профиль «сливочный, мягко-ореховый, сладковатый и жареный». Партнёр «корица» относится к группе «Специи» и даёт древесный, пряный.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82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82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82" s="28" t="str">
        <x:v>пралине, паста, выпечка, гарнир, соус, молочный или коктейльный компонент с корица</x:v>
      </x:c>
      <x:c r="J182" s="28" t="str">
        <x:v>Гипотеза / практическая</x:v>
      </x:c>
      <x:c r="K182" s="28" t="str">
        <x:v>Таблица сочетания(1).pdf</x:v>
      </x:c>
      <x:c r="L182" s="28" t="str">
        <x:v>Таблица сочетания(1).pdf: 4</x:v>
      </x:c>
    </x:row>
    <x:row r="183" ht="64" customHeight="1">
      <x:c r="A183" s="28" t="str">
        <x:v>NCT-0193</x:v>
      </x:c>
      <x:c r="B183" s="28" t="str">
        <x:v>кешью</x:v>
      </x:c>
      <x:c r="C183" s="28" t="str">
        <x:v>кофе</x:v>
      </x:c>
      <x:c r="D183" s="28" t="str">
        <x:v>Кофе</x:v>
      </x:c>
      <x:c r="E183" s="28" t="str">
        <x:v>общие ароматические соединения, пересечение ароматических семейств, жареная химия и реакции Майяра</x:v>
      </x:c>
      <x:c r="F183" s="28" t="str">
        <x:v>Кешью имеет профиль «сливочный, мягко-ореховый, сладковатый и жареный».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ореховый; пиразины, фураны.</x:v>
      </x:c>
      <x:c r="G183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83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83" s="28" t="str">
        <x:v>пралине, паста, выпечка, гарнир, соус, молочный или коктейльный компонент с кофе</x:v>
      </x:c>
      <x:c r="J183" s="28" t="str">
        <x:v>Средняя</x:v>
      </x:c>
      <x:c r="K183" s="28" t="str">
        <x:v>The Art &amp; Science of Foodpairing.pdf</x:v>
      </x:c>
      <x:c r="L183" s="28" t="str">
        <x:v>The Art &amp; Science of Foodpairing.pdf: 297</x:v>
      </x:c>
    </x:row>
    <x:row r="184" ht="64" customHeight="1">
      <x:c r="A184" s="28" t="str">
        <x:v>NCT-0194</x:v>
      </x:c>
      <x:c r="B184" s="28" t="str">
        <x:v>кешью</x:v>
      </x:c>
      <x:c r="C184" s="28" t="str">
        <x:v>мускатный орех</x:v>
      </x:c>
      <x:c r="D184" s="28" t="str">
        <x:v>Орехи и семена</x:v>
      </x:c>
      <x:c r="E184" s="28" t="str">
        <x:v>пересечение ароматических семейств, жареная химия и реакции Майяра</x:v>
      </x:c>
      <x:c r="F184" s="28" t="str">
        <x:v>Кешью имеет профиль «сливочный, мягко-ореховый, сладковатый и жареный».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механизм не следует сводить к одной общей молекуле.</x:v>
      </x:c>
      <x:c r="G184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84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84" s="28" t="str">
        <x:v>пралине, паста, выпечка, гарнир, соус, молочный или коктейльный компонент с мускатный орех</x:v>
      </x:c>
      <x:c r="J184" s="28" t="str">
        <x:v>Гипотеза / практическая</x:v>
      </x:c>
      <x:c r="K184" s="28" t="str">
        <x:v>Таблица сочетания(1).pdf</x:v>
      </x:c>
      <x:c r="L184" s="28" t="str">
        <x:v>Таблица сочетания(1).pdf: 4</x:v>
      </x:c>
    </x:row>
    <x:row r="185" ht="64" customHeight="1">
      <x:c r="A185" s="28" t="str">
        <x:v>NCT-0195</x:v>
      </x:c>
      <x:c r="B185" s="28" t="str">
        <x:v>кешью</x:v>
      </x:c>
      <x:c r="C185" s="28" t="str">
        <x:v>мёд</x:v>
      </x:c>
      <x:c r="D185" s="28" t="str">
        <x:v>Выпечка, сахара и десерты</x:v>
      </x:c>
      <x:c r="E185" s="28" t="str">
        <x:v>жареная химия и реакции Майяра</x:v>
      </x:c>
      <x:c r="F185" s="28" t="str">
        <x:v>Кешью имеет профиль «сливочный, мягко-ореховый, сладковатый и жареный». Партнёр «мёд» относится к группе «Выпечка, сахара и десерты» и даёт медовый, цветочный.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85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85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85" s="28" t="str">
        <x:v>пралине, паста, выпечка, гарнир, соус, молочный или коктейльный компонент с мёд</x:v>
      </x:c>
      <x:c r="J185" s="28" t="str">
        <x:v>Гипотеза / практическая</x:v>
      </x:c>
      <x:c r="K185" s="28" t="str">
        <x:v>Таблица сочетания(1).pdf</x:v>
      </x:c>
      <x:c r="L185" s="28" t="str">
        <x:v>Таблица сочетания(1).pdf: 4</x:v>
      </x:c>
    </x:row>
    <x:row r="186" ht="64" customHeight="1">
      <x:c r="A186" s="28" t="str">
        <x:v>NCT-0196</x:v>
      </x:c>
      <x:c r="B186" s="28" t="str">
        <x:v>кешью</x:v>
      </x:c>
      <x:c r="C186" s="28" t="str">
        <x:v>петрушка</x:v>
      </x:c>
      <x:c r="D186" s="28" t="str">
        <x:v>Травы, цветы и листья</x:v>
      </x:c>
      <x:c r="E186" s="28" t="str">
        <x:v>сенсорная комплементарность</x:v>
      </x:c>
      <x:c r="F186" s="28" t="str">
        <x:v>Кешью имеет профиль «сливочный, мягко-ореховый, сладковатый и жареный». Партнёр «петрушка»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86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86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86" s="28" t="str">
        <x:v>пралине, паста, выпечка, гарнир, соус, молочный или коктейльный компонент с петрушка</x:v>
      </x:c>
      <x:c r="J186" s="28" t="str">
        <x:v>Гипотеза / практическая</x:v>
      </x:c>
      <x:c r="K186" s="28" t="str">
        <x:v>Таблица сочетания(1).pdf</x:v>
      </x:c>
      <x:c r="L186" s="28" t="str">
        <x:v>Таблица сочетания(1).pdf: 4</x:v>
      </x:c>
    </x:row>
    <x:row r="187" ht="64" customHeight="1">
      <x:c r="A187" s="28" t="str">
        <x:v>NCT-0197</x:v>
      </x:c>
      <x:c r="B187" s="28" t="str">
        <x:v>кешью</x:v>
      </x:c>
      <x:c r="C187" s="28" t="str">
        <x:v>сельдерей корневой</x:v>
      </x:c>
      <x:c r="D187" s="28" t="str">
        <x:v>Прочее</x:v>
      </x:c>
      <x:c r="E187" s="28" t="str">
        <x:v>сенсорная комплементарность</x:v>
      </x:c>
      <x:c r="F187" s="28" t="str">
        <x:v>Кешью имеет профиль «сливочный, мягко-ореховый, сладковатый и жареный». Партнёр «сельдерей корневой»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87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87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87" s="28" t="str">
        <x:v>пралине, паста, выпечка, гарнир, соус, молочный или коктейльный компонент с сельдерей корневой</x:v>
      </x:c>
      <x:c r="J187" s="28" t="str">
        <x:v>Средняя</x:v>
      </x:c>
      <x:c r="K187" s="28" t="str">
        <x:v>The Art &amp; Science of Foodpairing.pdf</x:v>
      </x:c>
      <x:c r="L187" s="28" t="str">
        <x:v>The Art &amp; Science of Foodpairing.pdf: 52</x:v>
      </x:c>
    </x:row>
    <x:row r="188" ht="64" customHeight="1">
      <x:c r="A188" s="28" t="str">
        <x:v>NCT-0198</x:v>
      </x:c>
      <x:c r="B188" s="28" t="str">
        <x:v>кешью</x:v>
      </x:c>
      <x:c r="C188" s="28" t="str">
        <x:v>укроп</x:v>
      </x:c>
      <x:c r="D188" s="28" t="str">
        <x:v>Прочее</x:v>
      </x:c>
      <x:c r="E188" s="28" t="str">
        <x:v>сенсорная комплементарность</x:v>
      </x:c>
      <x:c r="F188" s="28" t="str">
        <x:v>Кешью имеет профиль «сливочный, мягко-ореховый, сладковатый и жареный». Партнёр «укроп»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88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88" s="28" t="str">
        <x:v>аллерген; оболочка сырого ореха содержит раздражающие вещества, поэтому используется обработанный пищевой продукт</x:v>
      </x:c>
      <x:c r="I188" s="28" t="str">
        <x:v>пралине, паста, выпечка, гарнир, соус, молочный или коктейльный компонент с укроп</x:v>
      </x:c>
      <x:c r="J188" s="28" t="str">
        <x:v>Гипотеза / практическая</x:v>
      </x:c>
      <x:c r="K188" s="28" t="str">
        <x:v>Таблица сочетания(1).pdf</x:v>
      </x:c>
      <x:c r="L188" s="28" t="str">
        <x:v>Таблица сочетания(1).pdf: 4</x:v>
      </x:c>
    </x:row>
    <x:row r="189" ht="64" customHeight="1">
      <x:c r="A189" s="28" t="str">
        <x:v>NCT-0199</x:v>
      </x:c>
      <x:c r="B189" s="28" t="str">
        <x:v>кешью</x:v>
      </x:c>
      <x:c r="C189" s="28" t="str">
        <x:v>яблоко</x:v>
      </x:c>
      <x:c r="D189" s="28" t="str">
        <x:v>Фрукты и ягоды</x:v>
      </x:c>
      <x:c r="E189" s="28" t="str">
        <x:v>общие ароматические соединения, контраст кислоты и жирной/горькой матрицы</x:v>
      </x:c>
      <x:c r="F189" s="28" t="str">
        <x:v>Кешью имеет профиль «сливочный, мягко-ореховый, сладковатый и жареный». Партнёр «яблоко»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89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89" s="28" t="str">
        <x:v>аллерген; оболочка сырого ореха содержит раздражающие вещества, поэтому используется обработанный пищевой продукт; избыток кислоты может сделать чай или кофе резкими и разрушить молочную эмульсию</x:v>
      </x:c>
      <x:c r="I189" s="28" t="str">
        <x:v>пралине, паста, выпечка, гарнир, соус, молочный или коктейльный компонент с яблоко</x:v>
      </x:c>
      <x:c r="J189" s="28" t="str">
        <x:v>Гипотеза / практическая</x:v>
      </x:c>
      <x:c r="K189" s="28" t="str">
        <x:v>Таблица сочетания(1).pdf</x:v>
      </x:c>
      <x:c r="L189" s="28" t="str">
        <x:v>Таблица сочетания(1).pdf: 4</x:v>
      </x:c>
    </x:row>
    <x:row r="190" ht="64" customHeight="1">
      <x:c r="A190" s="28" t="str">
        <x:v>NCT-0200</x:v>
      </x:c>
      <x:c r="B190" s="28" t="str">
        <x:v>кешью</x:v>
      </x:c>
      <x:c r="C190" s="28" t="str">
        <x:v>ягоды годжи</x:v>
      </x:c>
      <x:c r="D190" s="28" t="str">
        <x:v>Фрукты и ягоды</x:v>
      </x:c>
      <x:c r="E190" s="28" t="str">
        <x:v>общие ароматические соединения, контраст кислоты и жирной/горькой матрицы</x:v>
      </x:c>
      <x:c r="F190" s="28" t="str">
        <x:v>Кешью имеет профиль «сливочный, мягко-ореховый, сладковатый и жареный». Партнёр «ягоды годжи»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90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190" s="28" t="str">
        <x:v>аллерген; оболочка сырого ореха содержит раздражающие вещества, поэтому используется обработанный пищевой продукт; избыток кислоты может сделать чай или кофе резкими и разрушить молочную эмульсию</x:v>
      </x:c>
      <x:c r="I190" s="28" t="str">
        <x:v>пралине, паста, выпечка, гарнир, соус, молочный или коктейльный компонент с ягоды годжи</x:v>
      </x:c>
      <x:c r="J190" s="28" t="str">
        <x:v>Гипотеза / практическая</x:v>
      </x:c>
      <x:c r="K190" s="28" t="str">
        <x:v>Таблица сочетания(1).pdf</x:v>
      </x:c>
      <x:c r="L190" s="28" t="str">
        <x:v>Таблица сочетания(1).pdf: 8</x:v>
      </x:c>
    </x:row>
    <x:row r="191" ht="64" customHeight="1">
      <x:c r="A191" s="28" t="str">
        <x:v>NCT-0201</x:v>
      </x:c>
      <x:c r="B191" s="28" t="str">
        <x:v>кофе</x:v>
      </x:c>
      <x:c r="C191" s="28" t="str">
        <x:v>apple and apple sauce</x:v>
      </x:c>
      <x:c r="D191" s="28" t="str">
        <x:v>Фрукты и ягоды</x:v>
      </x:c>
      <x:c r="E191" s="28" t="str">
        <x:v>пересечение ароматических семейств, контраст кислоты и жирной/горькой матрицы</x:v>
      </x:c>
      <x:c r="F191" s="28" t="str">
        <x:v>Кофе имеет профиль «жареный, ореховый, карамельный, цветочный, фруктовый, фенольный и древесный». Партнёр «apple and apple sauce»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19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9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191" s="28" t="str">
        <x:v>кофейный напиток, холодный кофе, крем, сироп, десерт или соус с apple and apple sauce</x:v>
      </x:c>
      <x:c r="J191" s="28" t="str">
        <x:v>Средняя</x:v>
      </x:c>
      <x:c r="K191" s="28" t="str">
        <x:v>The Art &amp; Science of Foodpairing.pdf</x:v>
      </x:c>
      <x:c r="L191" s="28" t="str">
        <x:v>The Art &amp; Science of Foodpairing.pdf: 47</x:v>
      </x:c>
    </x:row>
    <x:row r="192" ht="64" customHeight="1">
      <x:c r="A192" s="28" t="str">
        <x:v>NCT-0205</x:v>
      </x:c>
      <x:c r="B192" s="28" t="str">
        <x:v>кофе</x:v>
      </x:c>
      <x:c r="C192" s="28" t="str">
        <x:v>buckwheat bread</x:v>
      </x:c>
      <x:c r="D192" s="28" t="str">
        <x:v>Выпечка, сахара и десерты</x:v>
      </x:c>
      <x:c r="E192" s="28" t="str">
        <x:v>общие ароматические соединения, пересечение ароматических семейств, жареная химия и реакции Майяра</x:v>
      </x:c>
      <x:c r="F192" s="28" t="str">
        <x:v>Кофе имеет профиль «жареный, ореховый, карамельный, цветочный, фруктовый, фенольный и древесный». Партнёр «buckwheat bread»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жареный, карамельный; пиразины, фураны.</x:v>
      </x:c>
      <x:c r="G19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9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92" s="28" t="str">
        <x:v>кофейный напиток, холодный кофе, крем, сироп, десерт или соус с buckwheat bread</x:v>
      </x:c>
      <x:c r="J192" s="28" t="str">
        <x:v>Средняя</x:v>
      </x:c>
      <x:c r="K192" s="28" t="str">
        <x:v>The Art &amp; Science of Foodpairing.pdf</x:v>
      </x:c>
      <x:c r="L192" s="28" t="str">
        <x:v>The Art &amp; Science of Foodpairing.pdf: 297</x:v>
      </x:c>
    </x:row>
    <x:row r="193" ht="64" customHeight="1">
      <x:c r="A193" s="28" t="str">
        <x:v>NCT-0206</x:v>
      </x:c>
      <x:c r="B193" s="28" t="str">
        <x:v>кофе</x:v>
      </x:c>
      <x:c r="C193" s="28" t="str">
        <x:v>buffalo mozzarella</x:v>
      </x:c>
      <x:c r="D193" s="28" t="str">
        <x:v>Молочные продукты и сыры</x:v>
      </x:c>
      <x:c r="E193" s="28" t="str">
        <x:v>общие ароматические соединения, жировая экстракция и связывание полифенолов белком</x:v>
      </x:c>
      <x:c r="F193" s="28" t="str">
        <x:v>Кофе имеет профиль «жареный, ореховый, карамельный, цветочный, фруктовый, фенольный и древесный». Партнёр «buffalo mozzarella»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19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9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193" s="28" t="str">
        <x:v>кофейный напиток, холодный кофе, крем, сироп, десерт или соус с buffalo mozzarella</x:v>
      </x:c>
      <x:c r="J193" s="28" t="str">
        <x:v>Средняя</x:v>
      </x:c>
      <x:c r="K193" s="28" t="str">
        <x:v>The Art &amp; Science of Foodpairing.pdf</x:v>
      </x:c>
      <x:c r="L193" s="28" t="str">
        <x:v>The Art &amp; Science of Foodpairing.pdf: 297</x:v>
      </x:c>
    </x:row>
    <x:row r="194" ht="64" customHeight="1">
      <x:c r="A194" s="28" t="str">
        <x:v>NCT-0207</x:v>
      </x:c>
      <x:c r="B194" s="28" t="str">
        <x:v>кофе</x:v>
      </x:c>
      <x:c r="C194" s="28" t="str">
        <x:v>camembert</x:v>
      </x:c>
      <x:c r="D194" s="28" t="str">
        <x:v>Молочные продукты и сыры</x:v>
      </x:c>
      <x:c r="E194" s="28" t="str">
        <x:v>общие ароматические соединения, жировая экстракция и связывание полифенолов белком</x:v>
      </x:c>
      <x:c r="F194" s="28" t="str">
        <x:v>Кофе имеет профиль «жареный, ореховый, карамельный, цветочный, фруктовый, фенольный и древесный». Партнёр «camembert»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19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9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194" s="28" t="str">
        <x:v>кофейный напиток, холодный кофе, крем, сироп, десерт или соус с camembert</x:v>
      </x:c>
      <x:c r="J194" s="28" t="str">
        <x:v>Средняя</x:v>
      </x:c>
      <x:c r="K194" s="28" t="str">
        <x:v>The Art &amp; Science of Foodpairing.pdf</x:v>
      </x:c>
      <x:c r="L194" s="28" t="str">
        <x:v>The Art &amp; Science of Foodpairing.pdf: 297</x:v>
      </x:c>
    </x:row>
    <x:row r="195" ht="64" customHeight="1">
      <x:c r="A195" s="28" t="str">
        <x:v>NCT-0208</x:v>
      </x:c>
      <x:c r="B195" s="28" t="str">
        <x:v>кофе</x:v>
      </x:c>
      <x:c r="C195" s="28" t="str">
        <x:v>cottage cheese</x:v>
      </x:c>
      <x:c r="D195" s="28" t="str">
        <x:v>Молочные продукты и сыры</x:v>
      </x:c>
      <x:c r="E195" s="28" t="str">
        <x:v>общие ароматические соединения, жировая экстракция и связывание полифенолов белком</x:v>
      </x:c>
      <x:c r="F195" s="28" t="str">
        <x:v>Кофе имеет профиль «жареный, ореховый, карамельный, цветочный, фруктовый, фенольный и древесный». Партнёр «cottage cheese»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19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9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195" s="28" t="str">
        <x:v>кофейный напиток, холодный кофе, крем, сироп, десерт или соус с cottage cheese</x:v>
      </x:c>
      <x:c r="J195" s="28" t="str">
        <x:v>Средняя</x:v>
      </x:c>
      <x:c r="K195" s="28" t="str">
        <x:v>The Art &amp; Science of Foodpairing.pdf</x:v>
      </x:c>
      <x:c r="L195" s="28" t="str">
        <x:v>The Art &amp; Science of Foodpairing.pdf: 297</x:v>
      </x:c>
    </x:row>
    <x:row r="196" ht="64" customHeight="1">
      <x:c r="A196" s="28" t="str">
        <x:v>NCT-0213</x:v>
      </x:c>
      <x:c r="B196" s="28" t="str">
        <x:v>кофе</x:v>
      </x:c>
      <x:c r="C196" s="28" t="str">
        <x:v>gorgonzola</x:v>
      </x:c>
      <x:c r="D196" s="28" t="str">
        <x:v>Молочные продукты и сыры</x:v>
      </x:c>
      <x:c r="E196" s="28" t="str">
        <x:v>общие ароматические соединения, жировая экстракция и связывание полифенолов белком</x:v>
      </x:c>
      <x:c r="F196" s="28" t="str">
        <x:v>Кофе имеет профиль «жареный, ореховый, карамельный, цветочный, фруктовый, фенольный и древесный». Партнёр «gorgonzola»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19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9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196" s="28" t="str">
        <x:v>кофейный напиток, холодный кофе, крем, сироп, десерт или соус с gorgonzola</x:v>
      </x:c>
      <x:c r="J196" s="28" t="str">
        <x:v>Средняя</x:v>
      </x:c>
      <x:c r="K196" s="28" t="str">
        <x:v>The Art &amp; Science of Foodpairing.pdf</x:v>
      </x:c>
      <x:c r="L196" s="28" t="str">
        <x:v>The Art &amp; Science of Foodpairing.pdf: 297</x:v>
      </x:c>
    </x:row>
    <x:row r="197" ht="64" customHeight="1">
      <x:c r="A197" s="28" t="str">
        <x:v>NCT-0221</x:v>
      </x:c>
      <x:c r="B197" s="28" t="str">
        <x:v>кофе</x:v>
      </x:c>
      <x:c r="C197" s="28" t="str">
        <x:v>parmesan-style cheese</x:v>
      </x:c>
      <x:c r="D197" s="28" t="str">
        <x:v>Молочные продукты и сыры</x:v>
      </x:c>
      <x:c r="E197" s="28" t="str">
        <x:v>общие ароматические соединения, жировая экстракция и связывание полифенолов белком</x:v>
      </x:c>
      <x:c r="F197" s="28" t="str">
        <x:v>Кофе имеет профиль «жареный, ореховый, карамельный, цветочный, фруктовый, фенольный и древесный». Партнёр «parmesan-style cheese»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19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9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197" s="28" t="str">
        <x:v>кофейный напиток, холодный кофе, крем, сироп, десерт или соус с parmesan-style cheese</x:v>
      </x:c>
      <x:c r="J197" s="28" t="str">
        <x:v>Средняя</x:v>
      </x:c>
      <x:c r="K197" s="28" t="str">
        <x:v>The Art &amp; Science of Foodpairing.pdf</x:v>
      </x:c>
      <x:c r="L197" s="28" t="str">
        <x:v>The Art &amp; Science of Foodpairing.pdf: 297</x:v>
      </x:c>
    </x:row>
    <x:row r="198" ht="64" customHeight="1">
      <x:c r="A198" s="28" t="str">
        <x:v>NCT-0230</x:v>
      </x:c>
      <x:c r="B198" s="28" t="str">
        <x:v>кофе</x:v>
      </x:c>
      <x:c r="C198" s="28" t="str">
        <x:v>sheep's milk yogurt</x:v>
      </x:c>
      <x:c r="D198" s="28" t="str">
        <x:v>Молочные продукты и сыры</x:v>
      </x:c>
      <x:c r="E198" s="28" t="str">
        <x:v>общие ароматические соединения, жировая экстракция и связывание полифенолов белком</x:v>
      </x:c>
      <x:c r="F198" s="28" t="str">
        <x:v>Кофе имеет профиль «жареный, ореховый, карамельный, цветочный, фруктовый, фенольный и древесный». Партнёр «sheep's milk yogurt» относится к группе «Молочные продукты и сыры» и даёт молочный, сливочный и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19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9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198" s="28" t="str">
        <x:v>кофейный напиток, холодный кофе, крем, сироп, десерт или соус с sheep's milk yogurt</x:v>
      </x:c>
      <x:c r="J198" s="28" t="str">
        <x:v>Средняя</x:v>
      </x:c>
      <x:c r="K198" s="28" t="str">
        <x:v>The Art &amp; Science of Foodpairing.pdf</x:v>
      </x:c>
      <x:c r="L198" s="28" t="str">
        <x:v>The Art &amp; Science of Foodpairing.pdf: 297</x:v>
      </x:c>
    </x:row>
    <x:row r="199" ht="64" customHeight="1">
      <x:c r="A199" s="28" t="str">
        <x:v>NCT-0234</x:v>
      </x:c>
      <x:c r="B199" s="28" t="str">
        <x:v>кофе</x:v>
      </x:c>
      <x:c r="C199" s="28" t="str">
        <x:v>strawberry jam</x:v>
      </x:c>
      <x:c r="D199" s="28" t="str">
        <x:v>Выпечка, сахара и десерты</x:v>
      </x:c>
      <x:c r="E199" s="28" t="str">
        <x:v>общие ароматические соединения, пересечение ароматических семейств, жареная химия и реакции Майяра</x:v>
      </x:c>
      <x:c r="F199" s="28" t="str">
        <x:v>Кофе имеет профиль «жареный, ореховый, карамельный, цветочный, фруктовый, фенольный и древесный». Партнёр «strawberry jam»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жареный, карамельный; пиразины, фураны.</x:v>
      </x:c>
      <x:c r="G19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19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199" s="28" t="str">
        <x:v>кофейный напиток, холодный кофе, крем, сироп, десерт или соус с strawberry jam</x:v>
      </x:c>
      <x:c r="J199" s="28" t="str">
        <x:v>Средняя</x:v>
      </x:c>
      <x:c r="K199" s="28" t="str">
        <x:v>The Art &amp; Science of Foodpairing.pdf</x:v>
      </x:c>
      <x:c r="L199" s="28" t="str">
        <x:v>The Art &amp; Science of Foodpairing.pdf: 297</x:v>
      </x:c>
    </x:row>
    <x:row r="200" ht="64" customHeight="1">
      <x:c r="A200" s="28" t="str">
        <x:v>NCT-0236</x:v>
      </x:c>
      <x:c r="B200" s="28" t="str">
        <x:v>кофе</x:v>
      </x:c>
      <x:c r="C200" s="28" t="str">
        <x:v>white toastingbread</x:v>
      </x:c>
      <x:c r="D200" s="28" t="str">
        <x:v>Выпечка, сахара и десерты</x:v>
      </x:c>
      <x:c r="E200" s="28" t="str">
        <x:v>общие ароматические соединения, пересечение ароматических семейств, жареная химия и реакции Майяра</x:v>
      </x:c>
      <x:c r="F200" s="28" t="str">
        <x:v>Кофе имеет профиль «жареный, ореховый, карамельный, цветочный, фруктовый, фенольный и древесный». Партнёр «white toastingbread»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жареный, карамельный; пиразины, фураны.</x:v>
      </x:c>
      <x:c r="G20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0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200" s="28" t="str">
        <x:v>кофейный напиток, холодный кофе, крем, сироп, десерт или соус с white toastingbread</x:v>
      </x:c>
      <x:c r="J200" s="28" t="str">
        <x:v>Средняя</x:v>
      </x:c>
      <x:c r="K200" s="28" t="str">
        <x:v>The Art &amp; Science of Foodpairing.pdf</x:v>
      </x:c>
      <x:c r="L200" s="28" t="str">
        <x:v>The Art &amp; Science of Foodpairing.pdf: 297</x:v>
      </x:c>
    </x:row>
    <x:row r="201" ht="64" customHeight="1">
      <x:c r="A201" s="28" t="str">
        <x:v>NCT-0237</x:v>
      </x:c>
      <x:c r="B201" s="28" t="str">
        <x:v>кофе</x:v>
      </x:c>
      <x:c r="C201" s="28" t="str">
        <x:v>абрикос</x:v>
      </x:c>
      <x:c r="D201" s="28" t="str">
        <x:v>Фрукты и ягоды</x:v>
      </x:c>
      <x:c r="E201" s="28" t="str">
        <x:v>контраст кислоты и жирной/горькой матрицы</x:v>
      </x:c>
      <x:c r="F201" s="28" t="str">
        <x:v>Кофе имеет профиль «жареный, ореховый, карамельный, цветочный, фруктовый, фенольный и древесный». Партнёр «абрикос» относится к группе «Фрукты и ягоды» и даёт лактонный, миндальный, фруктовый.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20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0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201" s="28" t="str">
        <x:v>кофейный напиток, холодный кофе, крем, сироп, десерт или соус с абрикос</x:v>
      </x:c>
      <x:c r="J201" s="28" t="str">
        <x:v>Гипотеза / практическая</x:v>
      </x:c>
      <x:c r="K201" s="28" t="str">
        <x:v>Таблица сочетания(1).pdf</x:v>
      </x:c>
      <x:c r="L201" s="28" t="str">
        <x:v>Таблица сочетания(1).pdf: 6</x:v>
      </x:c>
    </x:row>
    <x:row r="202" ht="64" customHeight="1">
      <x:c r="A202" s="28" t="str">
        <x:v>NCT-0240</x:v>
      </x:c>
      <x:c r="B202" s="28" t="str">
        <x:v>кофе</x:v>
      </x:c>
      <x:c r="C202" s="28" t="str">
        <x:v>акациевый мёд</x:v>
      </x:c>
      <x:c r="D202" s="28" t="str">
        <x:v>Выпечка, сахара и десерты</x:v>
      </x:c>
      <x:c r="E202" s="28" t="str">
        <x:v>пересечение ароматических семейств, жареная химия и реакции Майяра</x:v>
      </x:c>
      <x:c r="F202" s="28" t="str">
        <x:v>Кофе имеет профиль «жареный, ореховый, карамельный, цветочный, фруктовый, фенольный и древесный». Партнёр «акациевый мёд» относится к группе «Выпечка, сахара и десерты» и даёт медовый, цветочный. Профили пересекаются в семействах: цветочный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20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0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202" s="28" t="str">
        <x:v>кофейный напиток, холодный кофе, крем, сироп, десерт или соус с акациевый мёд</x:v>
      </x:c>
      <x:c r="J202" s="28" t="str">
        <x:v>Высокая</x:v>
      </x:c>
      <x:c r="K202" s="28" t="str">
        <x:v>The Art &amp; Science of Foodpairing.pdf</x:v>
      </x:c>
      <x:c r="L202" s="28" t="str">
        <x:v>The Art &amp; Science of Foodpairing.pdf: 297</x:v>
      </x:c>
    </x:row>
    <x:row r="203" ht="64" customHeight="1">
      <x:c r="A203" s="28" t="str">
        <x:v>NCT-0242</x:v>
      </x:c>
      <x:c r="B203" s="28" t="str">
        <x:v>кофе</x:v>
      </x:c>
      <x:c r="C203" s="28" t="str">
        <x:v>апельсин</x:v>
      </x:c>
      <x:c r="D203" s="28" t="str">
        <x:v>Фрукты и ягоды</x:v>
      </x:c>
      <x:c r="E203" s="28" t="str">
        <x:v>контраст кислоты и жирной/горькой матрицы</x:v>
      </x:c>
      <x:c r="F203" s="28" t="str">
        <x:v>Кофе имеет профиль «жареный, ореховый, карамельный, цветочный, фруктовый, фенольный и древесный». Партнёр «апельсин»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20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0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203" s="28" t="str">
        <x:v>кофейный напиток, холодный кофе, крем, сироп, десерт или соус с апельсин</x:v>
      </x:c>
      <x:c r="J203" s="28" t="str">
        <x:v>Высокая</x:v>
      </x:c>
      <x:c r="K203" s="28" t="str">
        <x:v>The Art &amp; Science of Foodpairing.pdf | Таблица сочетания(1).pdf | Тезариус вкусов (Ники Сегнит)(1).pdf</x:v>
      </x:c>
      <x:c r="L203" s="28" t="str">
        <x:v>The Art &amp; Science of Foodpairing.pdf: 236; Таблица сочетания(1).pdf: 6; Тезариус вкусов (Ники Сегнит)(1).pdf: 42, 776</x:v>
      </x:c>
    </x:row>
    <x:row r="204" ht="64" customHeight="1">
      <x:c r="A204" s="28" t="str">
        <x:v>NCT-0243</x:v>
      </x:c>
      <x:c r="B204" s="28" t="str">
        <x:v>кофе</x:v>
      </x:c>
      <x:c r="C204" s="28" t="str">
        <x:v>банан</x:v>
      </x:c>
      <x:c r="D204" s="28" t="str">
        <x:v>Фрукты и ягоды</x:v>
      </x:c>
      <x:c r="E204" s="28" t="str">
        <x:v>контраст кислоты и жирной/горькой матрицы</x:v>
      </x:c>
      <x:c r="F204" s="28" t="str">
        <x:v>Кофе имеет профиль «жареный, ореховый, карамельный, цветочный, фруктовый, фенольный и древесный».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20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0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204" s="28" t="str">
        <x:v>кофейный напиток, холодный кофе, крем, сироп, десерт или соус с банан</x:v>
      </x:c>
      <x:c r="J204" s="28" t="str">
        <x:v>Высокая</x:v>
      </x:c>
      <x:c r="K204" s="28" t="str">
        <x:v>Таблица сочетания(1).pdf | Тезариус вкусов (Ники Сегнит)(1).pdf</x:v>
      </x:c>
      <x:c r="L204" s="28" t="str">
        <x:v>Таблица сочетания(1).pdf: 2; Тезариус вкусов (Ники Сегнит)(1).pdf: 43, 733</x:v>
      </x:c>
    </x:row>
    <x:row r="205" ht="64" customHeight="1">
      <x:c r="A205" s="28" t="str">
        <x:v>NCT-0245</x:v>
      </x:c>
      <x:c r="B205" s="28" t="str">
        <x:v>кофе</x:v>
      </x:c>
      <x:c r="C205" s="28" t="str">
        <x:v>вишня</x:v>
      </x:c>
      <x:c r="D205" s="28" t="str">
        <x:v>Фрукты и ягоды</x:v>
      </x:c>
      <x:c r="E205" s="28" t="str">
        <x:v>контраст кислоты и жирной/горькой матрицы</x:v>
      </x:c>
      <x:c r="F205" s="28" t="str">
        <x:v>Кофе имеет профиль «жареный, ореховый, карамельный, цветочный, фруктовый, фенольный и древесный». Партнёр «вишня» относится к группе «Фрукты и ягоды» и даёт миндальный, фруктовый.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20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0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205" s="28" t="str">
        <x:v>кофейный напиток, холодный кофе, крем, сироп, десерт или соус с вишня</x:v>
      </x:c>
      <x:c r="J205" s="28" t="str">
        <x:v>Высокая</x:v>
      </x:c>
      <x:c r="K205" s="28" t="str">
        <x:v>Таблица сочетания(1).pdf | Тезариус вкусов (Ники Сегнит)(1).pdf</x:v>
      </x:c>
      <x:c r="L205" s="28" t="str">
        <x:v>Таблица сочетания(1).pdf: 6; Тезариус вкусов (Ники Сегнит)(1).pdf: 43, 655</x:v>
      </x:c>
    </x:row>
    <x:row r="206" ht="64" customHeight="1">
      <x:c r="A206" s="28" t="str">
        <x:v>NCT-0252</x:v>
      </x:c>
      <x:c r="B206" s="28" t="str">
        <x:v>кофе</x:v>
      </x:c>
      <x:c r="C206" s="28" t="str">
        <x:v>карамель</x:v>
      </x:c>
      <x:c r="D206" s="28" t="str">
        <x:v>Выпечка, сахара и десерты</x:v>
      </x:c>
      <x:c r="E206" s="28" t="str">
        <x:v>общие ароматические соединения, пересечение ароматических семейств, жареная химия и реакции Майяра</x:v>
      </x:c>
      <x:c r="F206" s="28" t="str">
        <x:v>Кофе имеет профиль «жареный, ореховый, карамельный, цветочный, фруктовый, фенольный и древесный». Партнёр «карамель» относится к группе «Выпечка, сахара и десерты» и даёт жареный, карамельный. Молекулярный мост создают фураны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жареный, карамельный; фураны.</x:v>
      </x:c>
      <x:c r="G20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0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206" s="28" t="str">
        <x:v>кофейный напиток, холодный кофе, крем, сироп, десерт или соус с карамель</x:v>
      </x:c>
      <x:c r="J206" s="28" t="str">
        <x:v>Гипотеза / практическая</x:v>
      </x:c>
      <x:c r="K206" s="28" t="str">
        <x:v>Таблица сочетания(1).pdf</x:v>
      </x:c>
      <x:c r="L206" s="28" t="str">
        <x:v>Таблица сочетания(1).pdf: 3</x:v>
      </x:c>
    </x:row>
    <x:row r="207" ht="64" customHeight="1">
      <x:c r="A207" s="28" t="str">
        <x:v>NCT-0255</x:v>
      </x:c>
      <x:c r="B207" s="28" t="str">
        <x:v>кофе</x:v>
      </x:c>
      <x:c r="C207" s="28" t="str">
        <x:v>киви</x:v>
      </x:c>
      <x:c r="D207" s="28" t="str">
        <x:v>Фрукты и ягоды</x:v>
      </x:c>
      <x:c r="E207" s="28" t="str">
        <x:v>пересечение ароматических семейств, контраст кислоты и жирной/горькой матрицы</x:v>
      </x:c>
      <x:c r="F207" s="28" t="str">
        <x:v>Кофе имеет профиль «жареный, ореховый, карамельный, цветочный, фруктовый, фенольный и древесный». Партнёр «киви»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20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0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207" s="28" t="str">
        <x:v>кофейный напиток, холодный кофе, крем, сироп, десерт или соус с киви</x:v>
      </x:c>
      <x:c r="J207" s="28" t="str">
        <x:v>Средняя</x:v>
      </x:c>
      <x:c r="K207" s="28" t="str">
        <x:v>The Art &amp; Science of Foodpairing.pdf</x:v>
      </x:c>
      <x:c r="L207" s="28" t="str">
        <x:v>The Art &amp; Science of Foodpairing.pdf: 297</x:v>
      </x:c>
    </x:row>
    <x:row r="208" ht="64" customHeight="1">
      <x:c r="A208" s="28" t="str">
        <x:v>NCT-0257</x:v>
      </x:c>
      <x:c r="B208" s="28" t="str">
        <x:v>кофе</x:v>
      </x:c>
      <x:c r="C208" s="28" t="str">
        <x:v>козий сыр</x:v>
      </x:c>
      <x:c r="D208" s="28" t="str">
        <x:v>Молочные продукты и сыры</x:v>
      </x:c>
      <x:c r="E208" s="28" t="str">
        <x:v>общие ароматические соединения, жировая экстракция и связывание полифенолов белком</x:v>
      </x:c>
      <x:c r="F208" s="28" t="str">
        <x:v>Кофе имеет профиль «жареный, ореховый, карамельный, цветочный, фруктовый, фенольный и древесный». Партнёр «козий сыр» относится к группе «Молочные продукты и сыры» и даёт молочный, умами,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20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0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208" s="28" t="str">
        <x:v>кофейный напиток, холодный кофе, крем, сироп, десерт или соус с козий сыр</x:v>
      </x:c>
      <x:c r="J208" s="28" t="str">
        <x:v>Средняя</x:v>
      </x:c>
      <x:c r="K208" s="28" t="str">
        <x:v>Тезариус вкусов (Ники Сегнит)(1).pdf</x:v>
      </x:c>
      <x:c r="L208" s="28" t="str">
        <x:v>Тезариус вкусов (Ники Сегнит)(1).pdf: 46, 140</x:v>
      </x:c>
    </x:row>
    <x:row r="209" ht="64" customHeight="1">
      <x:c r="A209" s="28" t="str">
        <x:v>NCT-0265</x:v>
      </x:c>
      <x:c r="B209" s="28" t="str">
        <x:v>кофе</x:v>
      </x:c>
      <x:c r="C209" s="28" t="str">
        <x:v>манго</x:v>
      </x:c>
      <x:c r="D209" s="28" t="str">
        <x:v>Фрукты и ягоды</x:v>
      </x:c>
      <x:c r="E209" s="28" t="str">
        <x:v>пересечение ароматических семейств, контраст кислоты и жирной/горькой матрицы</x:v>
      </x:c>
      <x:c r="F209" s="28" t="str">
        <x:v>Кофе имеет профиль «жареный, ореховый, карамельный, цветочный, фруктовый, фенольный и древесный». Партнёр «манго»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20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0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209" s="28" t="str">
        <x:v>кофейный напиток, холодный кофе, крем, сироп, десерт или соус с манго</x:v>
      </x:c>
      <x:c r="J209" s="28" t="str">
        <x:v>Средняя</x:v>
      </x:c>
      <x:c r="K209" s="28" t="str">
        <x:v>The Art &amp; Science of Foodpairing.pdf</x:v>
      </x:c>
      <x:c r="L209" s="28" t="str">
        <x:v>The Art &amp; Science of Foodpairing.pdf: 312</x:v>
      </x:c>
    </x:row>
    <x:row r="210" ht="64" customHeight="1">
      <x:c r="A210" s="28" t="str">
        <x:v>NCT-0268</x:v>
      </x:c>
      <x:c r="B210" s="28" t="str">
        <x:v>кофе</x:v>
      </x:c>
      <x:c r="C210" s="28" t="str">
        <x:v>мускатный орех</x:v>
      </x:c>
      <x:c r="D210" s="28" t="str">
        <x:v>Орехи и семена</x:v>
      </x:c>
      <x:c r="E210" s="28" t="str">
        <x:v>пересечение ароматических семейств, жареная химия и реакции Майяра</x:v>
      </x:c>
      <x:c r="F210" s="28" t="str">
        <x:v>Кофе имеет профиль «жареный, ореховый, карамельный, цветочный, фруктовый, фенольный и древесный».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ореховый; механизм не следует сводить к одной общей молекуле.</x:v>
      </x:c>
      <x:c r="G21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1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210" s="28" t="str">
        <x:v>кофейный напиток, холодный кофе, крем, сироп, десерт или соус с мускатный орех</x:v>
      </x:c>
      <x:c r="J210" s="28" t="str">
        <x:v>Гипотеза / практическая</x:v>
      </x:c>
      <x:c r="K210" s="28" t="str">
        <x:v>Таблица сочетания(1).pdf</x:v>
      </x:c>
      <x:c r="L210" s="28" t="str">
        <x:v>Таблица сочетания(1).pdf: 14</x:v>
      </x:c>
    </x:row>
    <x:row r="211" ht="64" customHeight="1">
      <x:c r="A211" s="28" t="str">
        <x:v>NCT-0269</x:v>
      </x:c>
      <x:c r="B211" s="28" t="str">
        <x:v>кофе</x:v>
      </x:c>
      <x:c r="C211" s="28" t="str">
        <x:v>мягкий сыр</x:v>
      </x:c>
      <x:c r="D211" s="28" t="str">
        <x:v>Молочные продукты и сыры</x:v>
      </x:c>
      <x:c r="E211" s="28" t="str">
        <x:v>общие ароматические соединения, жировая экстракция и связывание полифенолов белком</x:v>
      </x:c>
      <x:c r="F211" s="28" t="str">
        <x:v>Кофе имеет профиль «жареный, ореховый, карамельный, цветочный, фруктовый, фенольный и древесный». Партнёр «мягкий сыр» относится к группе «Молочные продукты и сыры» и даёт молочный, умами,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21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1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211" s="28" t="str">
        <x:v>кофейный напиток, холодный кофе, крем, сироп, десерт или соус с мягкий сыр</x:v>
      </x:c>
      <x:c r="J211" s="28" t="str">
        <x:v>Средняя</x:v>
      </x:c>
      <x:c r="K211" s="28" t="str">
        <x:v>The Art &amp; Science of Foodpairing.pdf</x:v>
      </x:c>
      <x:c r="L211" s="28" t="str">
        <x:v>The Art &amp; Science of Foodpairing.pdf: 297</x:v>
      </x:c>
    </x:row>
    <x:row r="212" ht="64" customHeight="1">
      <x:c r="A212" s="28" t="str">
        <x:v>NCT-0271</x:v>
      </x:c>
      <x:c r="B212" s="28" t="str">
        <x:v>кофе</x:v>
      </x:c>
      <x:c r="C212" s="28" t="str">
        <x:v>мёд</x:v>
      </x:c>
      <x:c r="D212" s="28" t="str">
        <x:v>Выпечка, сахара и десерты</x:v>
      </x:c>
      <x:c r="E212" s="28" t="str">
        <x:v>пересечение ароматических семейств, жареная химия и реакции Майяра</x:v>
      </x:c>
      <x:c r="F212" s="28" t="str">
        <x:v>Кофе имеет профиль «жареный, ореховый, карамельный, цветочный, фруктовый, фенольный и древесный». Партнёр «мёд» относится к группе «Выпечка, сахара и десерты» и даёт медовый, цветочный. Профили пересекаются в семействах: цветочный Обжарка и реакции Майяра формируют пиразины, фураны и альдегиды, поэтому жареные ноты воспринимаются как единая система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21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1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212" s="28" t="str">
        <x:v>кофейный напиток, холодный кофе, крем, сироп, десерт или соус с мёд</x:v>
      </x:c>
      <x:c r="J212" s="28" t="str">
        <x:v>Высокая</x:v>
      </x:c>
      <x:c r="K212" s="28" t="str">
        <x:v>The Art &amp; Science of Foodpairing.pdf | Таблица сочетания(1).pdf</x:v>
      </x:c>
      <x:c r="L212" s="28" t="str">
        <x:v>The Art &amp; Science of Foodpairing.pdf: 297; Таблица сочетания(1).pdf: 6</x:v>
      </x:c>
    </x:row>
    <x:row r="213" ht="64" customHeight="1">
      <x:c r="A213" s="28" t="str">
        <x:v>NCT-0280</x:v>
      </x:c>
      <x:c r="B213" s="28" t="str">
        <x:v>кофе</x:v>
      </x:c>
      <x:c r="C213" s="28" t="str">
        <x:v>сливочный сыр</x:v>
      </x:c>
      <x:c r="D213" s="28" t="str">
        <x:v>Молочные продукты и сыры</x:v>
      </x:c>
      <x:c r="E213" s="28" t="str">
        <x:v>общие ароматические соединения, жировая экстракция и связывание полифенолов белком</x:v>
      </x:c>
      <x:c r="F213" s="28" t="str">
        <x:v>Кофе имеет профиль «жареный, ореховый, карамельный, цветочный, фруктовый, фенольный и древесный». Партнёр «сливочный сыр» относится к группе «Молочные продукты и сыры» и даёт молочный, умами, ферментированный. Молекулярный мост создают диацетил Жир растворяет гидрофобные одоранты и сглаживает горечь; белок может связывать часть танинов и полифенолов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диацетил.</x:v>
      </x:c>
      <x:c r="G21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1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жир способен приглушить тонкую ароматику; белок связывает полифенолы</x:v>
      </x:c>
      <x:c r="I213" s="28" t="str">
        <x:v>кофейный напиток, холодный кофе, крем, сироп, десерт или соус с сливочный сыр</x:v>
      </x:c>
      <x:c r="J213" s="28" t="str">
        <x:v>Средняя</x:v>
      </x:c>
      <x:c r="K213" s="28" t="str">
        <x:v>The Art &amp; Science of Foodpairing.pdf</x:v>
      </x:c>
      <x:c r="L213" s="28" t="str">
        <x:v>The Art &amp; Science of Foodpairing.pdf: 297</x:v>
      </x:c>
    </x:row>
    <x:row r="214" ht="64" customHeight="1">
      <x:c r="A214" s="28" t="str">
        <x:v>NCT-0294</x:v>
      </x:c>
      <x:c r="B214" s="28" t="str">
        <x:v>кофе</x:v>
      </x:c>
      <x:c r="C214" s="28" t="str">
        <x:v>ягоды годжи</x:v>
      </x:c>
      <x:c r="D214" s="28" t="str">
        <x:v>Фрукты и ягоды</x:v>
      </x:c>
      <x:c r="E214" s="28" t="str">
        <x:v>пересечение ароматических семейств, контраст кислоты и жирной/горькой матрицы</x:v>
      </x:c>
      <x:c r="F214" s="28" t="str">
        <x:v>Кофе имеет профиль «жареный, ореховый, карамельный, цветочный, фруктовый, фенольный и древесный». Партнёр «ягоды годжи»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Кофейные летучие соединения очень быстро теряются после помола и заваривания, поэтому сочетание зависит от свежести и степени обжарки. Итог: цветочный; механизм не следует сводить к одной общей молекуле.</x:v>
      </x:c>
      <x:c r="G21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21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избыток кислоты может сделать чай или кофе резкими и разрушить молочную эмульсию</x:v>
      </x:c>
      <x:c r="I214" s="28" t="str">
        <x:v>кофейный напиток, холодный кофе, крем, сироп, десерт или соус с ягоды годжи</x:v>
      </x:c>
      <x:c r="J214" s="28" t="str">
        <x:v>Гипотеза / практическая</x:v>
      </x:c>
      <x:c r="K214" s="28" t="str">
        <x:v>Таблица сочетания(1).pdf</x:v>
      </x:c>
      <x:c r="L214" s="28" t="str">
        <x:v>Таблица сочетания(1).pdf: 8</x:v>
      </x:c>
    </x:row>
    <x:row r="215" ht="64" customHeight="1">
      <x:c r="A215" s="28" t="str">
        <x:v>NCT-0295</x:v>
      </x:c>
      <x:c r="B215" s="28" t="str">
        <x:v>макадамия</x:v>
      </x:c>
      <x:c r="C215" s="28" t="str">
        <x:v>bacon</x:v>
      </x:c>
      <x:c r="D215" s="28" t="str">
        <x:v>Мясо и птица</x:v>
      </x:c>
      <x:c r="E215" s="28" t="str">
        <x:v>общие ароматические соединения, жареная химия и реакции Майяра, солёно-умами контраст</x:v>
      </x:c>
      <x:c r="F215" s="28" t="str">
        <x:v>Макадамия имеет профиль «сливочный, маслянистый, сладко-ореховый и мягко-жареный». Партнёр «bacon»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215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215" s="28" t="str">
        <x:v>аллерген; высокая энергетическая плотность и прогоркание</x:v>
      </x:c>
      <x:c r="I215" s="28" t="str">
        <x:v>пралине, паста, выпечка, гарнир, соус, молочный или коктейльный компонент с bacon</x:v>
      </x:c>
      <x:c r="J215" s="28" t="str">
        <x:v>Высокая</x:v>
      </x:c>
      <x:c r="K215" s="28" t="str">
        <x:v>The Art &amp; Science of Foodpairing.pdf</x:v>
      </x:c>
      <x:c r="L215" s="28" t="str">
        <x:v>The Art &amp; Science of Foodpairing.pdf: 188</x:v>
      </x:c>
    </x:row>
    <x:row r="216" ht="64" customHeight="1">
      <x:c r="A216" s="28" t="str">
        <x:v>NCT-0296</x:v>
      </x:c>
      <x:c r="B216" s="28" t="str">
        <x:v>макадамия</x:v>
      </x:c>
      <x:c r="C216" s="28" t="str">
        <x:v>ананас</x:v>
      </x:c>
      <x:c r="D216" s="28" t="str">
        <x:v>Прочее</x:v>
      </x:c>
      <x:c r="E216" s="28" t="str">
        <x:v>сенсорная комплементарность</x:v>
      </x:c>
      <x:c r="F216" s="28" t="str">
        <x:v>Макадамия имеет профиль «сливочный, маслянистый, сладко-ореховый и мягко-жареный». Партнёр «ананас»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16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216" s="28" t="str">
        <x:v>аллерген; высокая энергетическая плотность и прогоркание</x:v>
      </x:c>
      <x:c r="I216" s="28" t="str">
        <x:v>пралине, паста, выпечка, гарнир, соус, молочный или коктейльный компонент с ананас</x:v>
      </x:c>
      <x:c r="J216" s="28" t="str">
        <x:v>Гипотеза / практическая</x:v>
      </x:c>
      <x:c r="K216" s="28" t="str">
        <x:v>Таблица сочетания(1).pdf</x:v>
      </x:c>
      <x:c r="L216" s="28" t="str">
        <x:v>Таблица сочетания(1).pdf: 17</x:v>
      </x:c>
    </x:row>
    <x:row r="217" ht="64" customHeight="1">
      <x:c r="A217" s="28" t="str">
        <x:v>NCT-0297</x:v>
      </x:c>
      <x:c r="B217" s="28" t="str">
        <x:v>макадамия</x:v>
      </x:c>
      <x:c r="C217" s="28" t="str">
        <x:v>банан</x:v>
      </x:c>
      <x:c r="D217" s="28" t="str">
        <x:v>Фрукты и ягоды</x:v>
      </x:c>
      <x:c r="E217" s="28" t="str">
        <x:v>пересечение ароматических семейств, контраст кислоты и жирной/горькой матрицы</x:v>
      </x:c>
      <x:c r="F217" s="28" t="str">
        <x:v>Макадамия имеет профиль «сливочный, маслянистый, сладко-ореховый и мягко-жареный». Партнёр «банан» относится к группе «Фрукты и ягоды» и даёт сливочный, фруктовый. Профили пересекаются в семействах: сливочный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сливочный; механизм не следует сводить к одной общей молекуле.</x:v>
      </x:c>
      <x:c r="G217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217" s="28" t="str">
        <x:v>аллерген; высокая энергетическая плотность и прогоркание; избыток кислоты может сделать чай или кофе резкими и разрушить молочную эмульсию</x:v>
      </x:c>
      <x:c r="I217" s="28" t="str">
        <x:v>пралине, паста, выпечка, гарнир, соус, молочный или коктейльный компонент с банан</x:v>
      </x:c>
      <x:c r="J217" s="28" t="str">
        <x:v>Гипотеза / практическая</x:v>
      </x:c>
      <x:c r="K217" s="28" t="str">
        <x:v>Таблица сочетания(1).pdf</x:v>
      </x:c>
      <x:c r="L217" s="28" t="str">
        <x:v>Таблица сочетания(1).pdf: 2</x:v>
      </x:c>
    </x:row>
    <x:row r="218" ht="64" customHeight="1">
      <x:c r="A218" s="28" t="str">
        <x:v>NCT-0298</x:v>
      </x:c>
      <x:c r="B218" s="28" t="str">
        <x:v>макадамия</x:v>
      </x:c>
      <x:c r="C218" s="28" t="str">
        <x:v>вишня</x:v>
      </x:c>
      <x:c r="D218" s="28" t="str">
        <x:v>Фрукты и ягоды</x:v>
      </x:c>
      <x:c r="E218" s="28" t="str">
        <x:v>контраст кислоты и жирной/горькой матрицы</x:v>
      </x:c>
      <x:c r="F218" s="28" t="str">
        <x:v>Макадамия имеет профиль «сливочный, маслянистый, сладко-ореховый и мягко-жареный». Партнёр «вишня» относится к группе «Фрукты и ягоды» и даёт миндальный,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18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218" s="28" t="str">
        <x:v>аллерген; высокая энергетическая плотность и прогоркание; избыток кислоты может сделать чай или кофе резкими и разрушить молочную эмульсию</x:v>
      </x:c>
      <x:c r="I218" s="28" t="str">
        <x:v>пралине, паста, выпечка, гарнир, соус, молочный или коктейльный компонент с вишня</x:v>
      </x:c>
      <x:c r="J218" s="28" t="str">
        <x:v>Гипотеза / практическая</x:v>
      </x:c>
      <x:c r="K218" s="28" t="str">
        <x:v>Таблица сочетания(1).pdf</x:v>
      </x:c>
      <x:c r="L218" s="28" t="str">
        <x:v>Таблица сочетания(1).pdf: 12</x:v>
      </x:c>
    </x:row>
    <x:row r="219" ht="64" customHeight="1">
      <x:c r="A219" s="28" t="str">
        <x:v>NCT-0299</x:v>
      </x:c>
      <x:c r="B219" s="28" t="str">
        <x:v>макадамия</x:v>
      </x:c>
      <x:c r="C219" s="28" t="str">
        <x:v>груша</x:v>
      </x:c>
      <x:c r="D219" s="28" t="str">
        <x:v>Фрукты и ягоды</x:v>
      </x:c>
      <x:c r="E219" s="28" t="str">
        <x:v>общие ароматические соединения, контраст кислоты и жирной/горькой матрицы</x:v>
      </x:c>
      <x:c r="F219" s="28" t="str">
        <x:v>Макадамия имеет профиль «сливочный, маслянистый, сладко-ореховый и мягко-жареный». Партнёр «груша»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219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219" s="28" t="str">
        <x:v>аллерген; высокая энергетическая плотность и прогоркание; избыток кислоты может сделать чай или кофе резкими и разрушить молочную эмульсию</x:v>
      </x:c>
      <x:c r="I219" s="28" t="str">
        <x:v>пралине, паста, выпечка, гарнир, соус, молочный или коктейльный компонент с груша</x:v>
      </x:c>
      <x:c r="J219" s="28" t="str">
        <x:v>Гипотеза / практическая</x:v>
      </x:c>
      <x:c r="K219" s="28" t="str">
        <x:v>Таблица сочетания(1).pdf</x:v>
      </x:c>
      <x:c r="L219" s="28" t="str">
        <x:v>Таблица сочетания(1).pdf: 16</x:v>
      </x:c>
    </x:row>
    <x:row r="220" ht="64" customHeight="1">
      <x:c r="A220" s="28" t="str">
        <x:v>NCT-0300</x:v>
      </x:c>
      <x:c r="B220" s="28" t="str">
        <x:v>макадамия</x:v>
      </x:c>
      <x:c r="C220" s="28" t="str">
        <x:v>имбирь</x:v>
      </x:c>
      <x:c r="D220" s="28" t="str">
        <x:v>Специи</x:v>
      </x:c>
      <x:c r="E220" s="28" t="str">
        <x:v>сенсорная комплементарность</x:v>
      </x:c>
      <x:c r="F220" s="28" t="str">
        <x:v>Макадамия имеет профиль «сливочный, маслянистый, сладко-ореховый и мягко-жареный». Партнёр «имбирь» относится к группе «Специи» и даёт пряный, тёплый,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20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220" s="28" t="str">
        <x:v>аллерген; высокая энергетическая плотность и прогоркание</x:v>
      </x:c>
      <x:c r="I220" s="28" t="str">
        <x:v>пралине, паста, выпечка, гарнир, соус, молочный или коктейльный компонент с имбирь</x:v>
      </x:c>
      <x:c r="J220" s="28" t="str">
        <x:v>Гипотеза / практическая</x:v>
      </x:c>
      <x:c r="K220" s="28" t="str">
        <x:v>Таблица сочетания(1).pdf</x:v>
      </x:c>
      <x:c r="L220" s="28" t="str">
        <x:v>Таблица сочетания(1).pdf: 12</x:v>
      </x:c>
    </x:row>
    <x:row r="221" ht="64" customHeight="1">
      <x:c r="A221" s="28" t="str">
        <x:v>NCT-0301</x:v>
      </x:c>
      <x:c r="B221" s="28" t="str">
        <x:v>макадамия</x:v>
      </x:c>
      <x:c r="C221" s="28" t="str">
        <x:v>кайенский перец</x:v>
      </x:c>
      <x:c r="D221" s="28" t="str">
        <x:v>Специи</x:v>
      </x:c>
      <x:c r="E221" s="28" t="str">
        <x:v>сенсорная комплементарность</x:v>
      </x:c>
      <x:c r="F221" s="28" t="str">
        <x:v>Макадамия имеет профиль «сливочный, маслянистый, сладко-ореховый и мягко-жареный». Партнёр «кайенский перец»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21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221" s="28" t="str">
        <x:v>аллерген; высокая энергетическая плотность и прогоркание</x:v>
      </x:c>
      <x:c r="I221" s="28" t="str">
        <x:v>пралине, паста, выпечка, гарнир, соус, молочный или коктейльный компонент с кайенский перец</x:v>
      </x:c>
      <x:c r="J221" s="28" t="str">
        <x:v>Гипотеза / практическая</x:v>
      </x:c>
      <x:c r="K221" s="28" t="str">
        <x:v>Таблица сочетания(1).pdf</x:v>
      </x:c>
      <x:c r="L221" s="28" t="str">
        <x:v>Таблица сочетания(1).pdf: 12</x:v>
      </x:c>
    </x:row>
    <x:row r="222" ht="64" customHeight="1">
      <x:c r="A222" s="28" t="str">
        <x:v>NCT-0302</x:v>
      </x:c>
      <x:c r="B222" s="28" t="str">
        <x:v>макадамия</x:v>
      </x:c>
      <x:c r="C222" s="28" t="str">
        <x:v>киви</x:v>
      </x:c>
      <x:c r="D222" s="28" t="str">
        <x:v>Фрукты и ягоды</x:v>
      </x:c>
      <x:c r="E222" s="28" t="str">
        <x:v>общие ароматические соединения, контраст кислоты и жирной/горькой матрицы</x:v>
      </x:c>
      <x:c r="F222" s="28" t="str">
        <x:v>Макадамия имеет профиль «сливочный, маслянистый, сладко-ореховый и мягко-жареный». Партнёр «киви»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222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222" s="28" t="str">
        <x:v>аллерген; высокая энергетическая плотность и прогоркание; избыток кислоты может сделать чай или кофе резкими и разрушить молочную эмульсию</x:v>
      </x:c>
      <x:c r="I222" s="28" t="str">
        <x:v>пралине, паста, выпечка, гарнир, соус, молочный или коктейльный компонент с киви</x:v>
      </x:c>
      <x:c r="J222" s="28" t="str">
        <x:v>Гипотеза / практическая</x:v>
      </x:c>
      <x:c r="K222" s="28" t="str">
        <x:v>Таблица сочетания(1).pdf</x:v>
      </x:c>
      <x:c r="L222" s="28" t="str">
        <x:v>Таблица сочетания(1).pdf: 10</x:v>
      </x:c>
    </x:row>
    <x:row r="223" ht="64" customHeight="1">
      <x:c r="A223" s="28" t="str">
        <x:v>NCT-0303</x:v>
      </x:c>
      <x:c r="B223" s="28" t="str">
        <x:v>макадамия</x:v>
      </x:c>
      <x:c r="C223" s="28" t="str">
        <x:v>кленовый сироп</x:v>
      </x:c>
      <x:c r="D223" s="28" t="str">
        <x:v>Выпечка, сахара и десерты</x:v>
      </x:c>
      <x:c r="E223" s="28" t="str">
        <x:v>общие ароматические соединения, жареная химия и реакции Майяра</x:v>
      </x:c>
      <x:c r="F223" s="28" t="str">
        <x:v>Макадамия имеет профиль «сливочный, маслянистый, сладко-ореховый и мягко-жареный».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пиразины, фураны.</x:v>
      </x:c>
      <x:c r="G223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223" s="28" t="str">
        <x:v>аллерген; высокая энергетическая плотность и прогоркание</x:v>
      </x:c>
      <x:c r="I223" s="28" t="str">
        <x:v>пралине, паста, выпечка, гарнир, соус, молочный или коктейльный компонент с кленовый сироп</x:v>
      </x:c>
      <x:c r="J223" s="28" t="str">
        <x:v>Гипотеза / практическая</x:v>
      </x:c>
      <x:c r="K223" s="28" t="str">
        <x:v>Таблица сочетания(1).pdf</x:v>
      </x:c>
      <x:c r="L223" s="28" t="str">
        <x:v>Таблица сочетания(1).pdf: 12</x:v>
      </x:c>
    </x:row>
    <x:row r="224" ht="64" customHeight="1">
      <x:c r="A224" s="28" t="str">
        <x:v>NCT-0304</x:v>
      </x:c>
      <x:c r="B224" s="28" t="str">
        <x:v>макадамия</x:v>
      </x:c>
      <x:c r="C224" s="28" t="str">
        <x:v>клубника</x:v>
      </x:c>
      <x:c r="D224" s="28" t="str">
        <x:v>Прочее</x:v>
      </x:c>
      <x:c r="E224" s="28" t="str">
        <x:v>сенсорная комплементарность</x:v>
      </x:c>
      <x:c r="F224" s="28" t="str">
        <x:v>Макадамия имеет профиль «сливочный, маслянистый, сладко-ореховый и мягко-жареный». Партнёр «клубника» относится к группе «Прочее» и даёт зелёный, карамельный, фруктовый.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24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224" s="28" t="str">
        <x:v>аллерген; высокая энергетическая плотность и прогоркание</x:v>
      </x:c>
      <x:c r="I224" s="28" t="str">
        <x:v>пралине, паста, выпечка, гарнир, соус, молочный или коктейльный компонент с клубника</x:v>
      </x:c>
      <x:c r="J224" s="28" t="str">
        <x:v>Гипотеза / практическая</x:v>
      </x:c>
      <x:c r="K224" s="28" t="str">
        <x:v>Таблица сочетания(1).pdf</x:v>
      </x:c>
      <x:c r="L224" s="28" t="str">
        <x:v>Таблица сочетания(1).pdf: 12</x:v>
      </x:c>
    </x:row>
    <x:row r="225" ht="64" customHeight="1">
      <x:c r="A225" s="28" t="str">
        <x:v>NCT-0305</x:v>
      </x:c>
      <x:c r="B225" s="28" t="str">
        <x:v>макадамия</x:v>
      </x:c>
      <x:c r="C225" s="28" t="str">
        <x:v>кумин (зира)</x:v>
      </x:c>
      <x:c r="D225" s="28" t="str">
        <x:v>Прочее</x:v>
      </x:c>
      <x:c r="E225" s="28" t="str">
        <x:v>сенсорная комплементарность</x:v>
      </x:c>
      <x:c r="F225" s="28" t="str">
        <x:v>Макадамия имеет профиль «сливочный, маслянистый, сладко-ореховый и мягко-жареный». Партнёр «кумин (зира)»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25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225" s="28" t="str">
        <x:v>аллерген; высокая энергетическая плотность и прогоркание</x:v>
      </x:c>
      <x:c r="I225" s="28" t="str">
        <x:v>пралине, паста, выпечка, гарнир, соус, молочный или коктейльный компонент с кумин (зира)</x:v>
      </x:c>
      <x:c r="J225" s="28" t="str">
        <x:v>Гипотеза / практическая</x:v>
      </x:c>
      <x:c r="K225" s="28" t="str">
        <x:v>Таблица сочетания(1).pdf</x:v>
      </x:c>
      <x:c r="L225" s="28" t="str">
        <x:v>Таблица сочетания(1).pdf: 12</x:v>
      </x:c>
    </x:row>
    <x:row r="226" ht="64" customHeight="1">
      <x:c r="A226" s="28" t="str">
        <x:v>NCT-0306</x:v>
      </x:c>
      <x:c r="B226" s="28" t="str">
        <x:v>макадамия</x:v>
      </x:c>
      <x:c r="C226" s="28" t="str">
        <x:v>маракуйя</x:v>
      </x:c>
      <x:c r="D226" s="28" t="str">
        <x:v>Прочее</x:v>
      </x:c>
      <x:c r="E226" s="28" t="str">
        <x:v>сенсорная комплементарность</x:v>
      </x:c>
      <x:c r="F226" s="28" t="str">
        <x:v>Макадамия имеет профиль «сливочный, маслянистый, сладко-ореховый и мягко-жареный». Партнёр «маракуйя»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26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226" s="28" t="str">
        <x:v>аллерген; высокая энергетическая плотность и прогоркание</x:v>
      </x:c>
      <x:c r="I226" s="28" t="str">
        <x:v>пралине, паста, выпечка, гарнир, соус, молочный или коктейльный компонент с маракуйя</x:v>
      </x:c>
      <x:c r="J226" s="28" t="str">
        <x:v>Гипотеза / практическая</x:v>
      </x:c>
      <x:c r="K226" s="28" t="str">
        <x:v>Таблица сочетания(1).pdf</x:v>
      </x:c>
      <x:c r="L226" s="28" t="str">
        <x:v>Таблица сочетания(1).pdf: 15</x:v>
      </x:c>
    </x:row>
    <x:row r="227" ht="64" customHeight="1">
      <x:c r="A227" s="28" t="str">
        <x:v>NCT-0307</x:v>
      </x:c>
      <x:c r="B227" s="28" t="str">
        <x:v>макадамия</x:v>
      </x:c>
      <x:c r="C227" s="28" t="str">
        <x:v>мята</x:v>
      </x:c>
      <x:c r="D227" s="28" t="str">
        <x:v>Травы, цветы и листья</x:v>
      </x:c>
      <x:c r="E227" s="28" t="str">
        <x:v>сенсорная комплементарность</x:v>
      </x:c>
      <x:c r="F227" s="28" t="str">
        <x:v>Макадамия имеет профиль «сливочный, маслянистый, сладко-ореховый и мягко-жареный». Партнёр «мята» относится к группе «Травы, цветы и листья» и даёт зелёный, холодящий.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27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227" s="28" t="str">
        <x:v>аллерген; высокая энергетическая плотность и прогоркание</x:v>
      </x:c>
      <x:c r="I227" s="28" t="str">
        <x:v>пралине, паста, выпечка, гарнир, соус, молочный или коктейльный компонент с мята</x:v>
      </x:c>
      <x:c r="J227" s="28" t="str">
        <x:v>Гипотеза / практическая</x:v>
      </x:c>
      <x:c r="K227" s="28" t="str">
        <x:v>Таблица сочетания(1).pdf</x:v>
      </x:c>
      <x:c r="L227" s="28" t="str">
        <x:v>Таблица сочетания(1).pdf: 12</x:v>
      </x:c>
    </x:row>
    <x:row r="228" ht="64" customHeight="1">
      <x:c r="A228" s="28" t="str">
        <x:v>NCT-0308</x:v>
      </x:c>
      <x:c r="B228" s="28" t="str">
        <x:v>макадамия</x:v>
      </x:c>
      <x:c r="C228" s="28" t="str">
        <x:v>папайя</x:v>
      </x:c>
      <x:c r="D228" s="28" t="str">
        <x:v>Прочее</x:v>
      </x:c>
      <x:c r="E228" s="28" t="str">
        <x:v>сенсорная комплементарность</x:v>
      </x:c>
      <x:c r="F228" s="28" t="str">
        <x:v>Макадамия имеет профиль «сливочный, маслянистый, сладко-ореховый и мягко-жареный». Партнёр «папайя»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28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228" s="28" t="str">
        <x:v>аллерген; высокая энергетическая плотность и прогоркание</x:v>
      </x:c>
      <x:c r="I228" s="28" t="str">
        <x:v>пралине, паста, выпечка, гарнир, соус, молочный или коктейльный компонент с папайя</x:v>
      </x:c>
      <x:c r="J228" s="28" t="str">
        <x:v>Гипотеза / практическая</x:v>
      </x:c>
      <x:c r="K228" s="28" t="str">
        <x:v>Таблица сочетания(1).pdf</x:v>
      </x:c>
      <x:c r="L228" s="28" t="str">
        <x:v>Таблица сочетания(1).pdf: 15</x:v>
      </x:c>
    </x:row>
    <x:row r="229" ht="64" customHeight="1">
      <x:c r="A229" s="28" t="str">
        <x:v>NCT-0309</x:v>
      </x:c>
      <x:c r="B229" s="28" t="str">
        <x:v>макадамия</x:v>
      </x:c>
      <x:c r="C229" s="28" t="str">
        <x:v>персик</x:v>
      </x:c>
      <x:c r="D229" s="28" t="str">
        <x:v>Фрукты и ягоды</x:v>
      </x:c>
      <x:c r="E229" s="28" t="str">
        <x:v>общие ароматические соединения, контраст кислоты и жирной/горькой матрицы</x:v>
      </x:c>
      <x:c r="F229" s="28" t="str">
        <x:v>Макадамия имеет профиль «сливочный, маслянистый, сладко-ореховый и мягко-жареный». Партнёр «персик» относится к группе «Фрукты и ягоды» и даёт лактонный, фруктовый, цветочный. Молекулярный мост создают лактоны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лактоны.</x:v>
      </x:c>
      <x:c r="G229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229" s="28" t="str">
        <x:v>аллерген; высокая энергетическая плотность и прогоркание; избыток кислоты может сделать чай или кофе резкими и разрушить молочную эмульсию</x:v>
      </x:c>
      <x:c r="I229" s="28" t="str">
        <x:v>пралине, паста, выпечка, гарнир, соус, молочный или коктейльный компонент с персик</x:v>
      </x:c>
      <x:c r="J229" s="28" t="str">
        <x:v>Гипотеза / практическая</x:v>
      </x:c>
      <x:c r="K229" s="28" t="str">
        <x:v>Таблица сочетания(1).pdf</x:v>
      </x:c>
      <x:c r="L229" s="28" t="str">
        <x:v>Таблица сочетания(1).pdf: 12</x:v>
      </x:c>
    </x:row>
    <x:row r="230" ht="64" customHeight="1">
      <x:c r="A230" s="28" t="str">
        <x:v>NCT-0310</x:v>
      </x:c>
      <x:c r="B230" s="28" t="str">
        <x:v>макадамия</x:v>
      </x:c>
      <x:c r="C230" s="28" t="str">
        <x:v>слива</x:v>
      </x:c>
      <x:c r="D230" s="28" t="str">
        <x:v>Фрукты и ягоды</x:v>
      </x:c>
      <x:c r="E230" s="28" t="str">
        <x:v>общие ароматические соединения, контраст кислоты и жирной/горькой матрицы</x:v>
      </x:c>
      <x:c r="F230" s="28" t="str">
        <x:v>Макадамия имеет профиль «сливочный, маслянистый, сладко-ореховый и мягко-жареный». Партнёр «слива»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230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230" s="28" t="str">
        <x:v>аллерген; высокая энергетическая плотность и прогоркание; избыток кислоты может сделать чай или кофе резкими и разрушить молочную эмульсию</x:v>
      </x:c>
      <x:c r="I230" s="28" t="str">
        <x:v>пралине, паста, выпечка, гарнир, соус, молочный или коктейльный компонент с слива</x:v>
      </x:c>
      <x:c r="J230" s="28" t="str">
        <x:v>Гипотеза / практическая</x:v>
      </x:c>
      <x:c r="K230" s="28" t="str">
        <x:v>Таблица сочетания(1).pdf</x:v>
      </x:c>
      <x:c r="L230" s="28" t="str">
        <x:v>Таблица сочетания(1).pdf: 12</x:v>
      </x:c>
    </x:row>
    <x:row r="231" ht="64" customHeight="1">
      <x:c r="A231" s="28" t="str">
        <x:v>NCT-0311</x:v>
      </x:c>
      <x:c r="B231" s="28" t="str">
        <x:v>миндаль</x:v>
      </x:c>
      <x:c r="C231" s="28" t="str">
        <x:v>baechu kimchi</x:v>
      </x:c>
      <x:c r="D231" s="28" t="str">
        <x:v>Ферментированные продукты и соусы</x:v>
      </x:c>
      <x:c r="E231" s="28" t="str">
        <x:v>общие ароматические соединения, пересечение ароматических семейств, солёно-умами контраст</x:v>
      </x:c>
      <x:c r="F231" s="28" t="str">
        <x:v>Миндаль имеет профиль «ореховый, сладкий, марципановый, слегка зелёный; после обжарки — карамельный и жареный». Партнёр «baechu kimchi»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23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31" s="28" t="str">
        <x:v>аллерген; быстро прогоркает после помола; горький миндаль и ядра косточковых не взаимозаменяемы</x:v>
      </x:c>
      <x:c r="I231" s="28" t="str">
        <x:v>пралине, паста, выпечка, гарнир, соус, молочный или коктейльный компонент с baechu kimchi</x:v>
      </x:c>
      <x:c r="J231" s="28" t="str">
        <x:v>Средняя</x:v>
      </x:c>
      <x:c r="K231" s="28" t="str">
        <x:v>The Art &amp; Science of Foodpairing.pdf</x:v>
      </x:c>
      <x:c r="L231" s="28" t="str">
        <x:v>The Art &amp; Science of Foodpairing.pdf: 305</x:v>
      </x:c>
    </x:row>
    <x:row r="232" ht="64" customHeight="1">
      <x:c r="A232" s="28" t="str">
        <x:v>NCT-0312</x:v>
      </x:c>
      <x:c r="B232" s="28" t="str">
        <x:v>миндаль</x:v>
      </x:c>
      <x:c r="C232" s="28" t="str">
        <x:v>brie and camembert</x:v>
      </x:c>
      <x:c r="D232" s="28" t="str">
        <x:v>Молочные продукты и сыры</x:v>
      </x:c>
      <x:c r="E232" s="28" t="str">
        <x:v>жировая экстракция и связывание полифенолов белком</x:v>
      </x:c>
      <x:c r="F232" s="28" t="str">
        <x:v>Миндаль имеет профиль «ореховый, сладкий, марципановый, слегка зелёный; после обжарки — карамельный и жареный». Партнёр «brie and camembert»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3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32" s="28" t="str">
        <x:v>аллерген; быстро прогоркает после помола; горький миндаль и ядра косточковых не взаимозаменяемы; жир способен приглушить тонкую ароматику; белок связывает полифенолы</x:v>
      </x:c>
      <x:c r="I232" s="28" t="str">
        <x:v>пралине, паста, выпечка, гарнир, соус, молочный или коктейльный компонент с brie and camembert</x:v>
      </x:c>
      <x:c r="J232" s="28" t="str">
        <x:v>Средняя</x:v>
      </x:c>
      <x:c r="K232" s="28" t="str">
        <x:v>The Art &amp; Science of Foodpairing.pdf</x:v>
      </x:c>
      <x:c r="L232" s="28" t="str">
        <x:v>The Art &amp; Science of Foodpairing.pdf: 336</x:v>
      </x:c>
    </x:row>
    <x:row r="233" ht="64" customHeight="1">
      <x:c r="A233" s="28" t="str">
        <x:v>NCT-0313</x:v>
      </x:c>
      <x:c r="B233" s="28" t="str">
        <x:v>миндаль</x:v>
      </x:c>
      <x:c r="C233" s="28" t="str">
        <x:v>carrot</x:v>
      </x:c>
      <x:c r="D233" s="28" t="str">
        <x:v>Овощи, бобовые и грибы</x:v>
      </x:c>
      <x:c r="E233" s="28" t="str">
        <x:v>сенсорная комплементарность</x:v>
      </x:c>
      <x:c r="F233" s="28" t="str">
        <x:v>Миндаль имеет профиль «ореховый, сладкий, марципановый, слегка зелёный; после обжарки — карамельный и жареный». Партнёр «carrot»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3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33" s="28" t="str">
        <x:v>аллерген; быстро прогоркает после помола; горький миндаль и ядра косточковых не взаимозаменяемы</x:v>
      </x:c>
      <x:c r="I233" s="28" t="str">
        <x:v>пралине, паста, выпечка, гарнир, соус, молочный или коктейльный компонент с carrot</x:v>
      </x:c>
      <x:c r="J233" s="28" t="str">
        <x:v>Средняя</x:v>
      </x:c>
      <x:c r="K233" s="28" t="str">
        <x:v>The Art &amp; Science of Foodpairing.pdf</x:v>
      </x:c>
      <x:c r="L233" s="28" t="str">
        <x:v>The Art &amp; Science of Foodpairing.pdf: 232</x:v>
      </x:c>
    </x:row>
    <x:row r="234" ht="64" customHeight="1">
      <x:c r="A234" s="28" t="str">
        <x:v>NCT-0314</x:v>
      </x:c>
      <x:c r="B234" s="28" t="str">
        <x:v>миндаль</x:v>
      </x:c>
      <x:c r="C234" s="28" t="str">
        <x:v>chilli peppers</x:v>
      </x:c>
      <x:c r="D234" s="28" t="str">
        <x:v>Специи</x:v>
      </x:c>
      <x:c r="E234" s="28" t="str">
        <x:v>сенсорная комплементарность</x:v>
      </x:c>
      <x:c r="F234" s="28" t="str">
        <x:v>Миндаль имеет профиль «ореховый, сладкий, марципановый, слегка зелёный; после обжарки — карамельный и жареный». Партнёр «chilli peppers»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3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34" s="28" t="str">
        <x:v>аллерген; быстро прогоркает после помола; горький миндаль и ядра косточковых не взаимозаменяемы</x:v>
      </x:c>
      <x:c r="I234" s="28" t="str">
        <x:v>пралине, паста, выпечка, гарнир, соус, молочный или коктейльный компонент с chilli peppers</x:v>
      </x:c>
      <x:c r="J234" s="28" t="str">
        <x:v>Средняя</x:v>
      </x:c>
      <x:c r="K234" s="28" t="str">
        <x:v>The Art &amp; Science of Foodpairing.pdf</x:v>
      </x:c>
      <x:c r="L234" s="28" t="str">
        <x:v>The Art &amp; Science of Foodpairing.pdf: 94</x:v>
      </x:c>
    </x:row>
    <x:row r="235" ht="64" customHeight="1">
      <x:c r="A235" s="28" t="str">
        <x:v>NCT-0315</x:v>
      </x:c>
      <x:c r="B235" s="28" t="str">
        <x:v>миндаль</x:v>
      </x:c>
      <x:c r="C235" s="28" t="str">
        <x:v>cognac</x:v>
      </x:c>
      <x:c r="D235" s="28" t="str">
        <x:v>Алкогольные напитки</x:v>
      </x:c>
      <x:c r="E235" s="28" t="str">
        <x:v>сенсорная комплементарность</x:v>
      </x:c>
      <x:c r="F235" s="28" t="str">
        <x:v>Миндаль имеет профиль «ореховый, сладкий, марципановый, слегка зелёный; после обжарки — карамельный и жареный». Партнёр «cognac» относится к группе «Алкогольные напитки» и даёт спиртовой, фруктовый или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3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35" s="28" t="str">
        <x:v>аллерген; быстро прогоркает после помола; горький миндаль и ядра косточковых не взаимозаменяемы</x:v>
      </x:c>
      <x:c r="I235" s="28" t="str">
        <x:v>пралине, паста, выпечка, гарнир, соус, молочный или коктейльный компонент с cognac</x:v>
      </x:c>
      <x:c r="J235" s="28" t="str">
        <x:v>Средняя</x:v>
      </x:c>
      <x:c r="K235" s="28" t="str">
        <x:v>The Art &amp; Science of Foodpairing.pdf</x:v>
      </x:c>
      <x:c r="L235" s="28" t="str">
        <x:v>The Art &amp; Science of Foodpairing.pdf: 123</x:v>
      </x:c>
    </x:row>
    <x:row r="236" ht="64" customHeight="1">
      <x:c r="A236" s="28" t="str">
        <x:v>NCT-0316</x:v>
      </x:c>
      <x:c r="B236" s="28" t="str">
        <x:v>миндаль</x:v>
      </x:c>
      <x:c r="C236" s="28" t="str">
        <x:v>duck</x:v>
      </x:c>
      <x:c r="D236" s="28" t="str">
        <x:v>Мясо и птица</x:v>
      </x:c>
      <x:c r="E236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236" s="28" t="str">
        <x:v>Миндаль имеет профиль «ореховый, сладкий, марципановый, слегка зелёный; после обжарки — карамельный и жареный». Партнёр «duck»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23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36" s="28" t="str">
        <x:v>аллерген; быстро прогоркает после помола; горький миндаль и ядра косточковых не взаимозаменяемы</x:v>
      </x:c>
      <x:c r="I236" s="28" t="str">
        <x:v>пралине, паста, выпечка, гарнир, соус, молочный или коктейльный компонент с duck</x:v>
      </x:c>
      <x:c r="J236" s="28" t="str">
        <x:v>Высокая</x:v>
      </x:c>
      <x:c r="K236" s="28" t="str">
        <x:v>The Art &amp; Science of Foodpairing.pdf</x:v>
      </x:c>
      <x:c r="L236" s="28" t="str">
        <x:v>The Art &amp; Science of Foodpairing.pdf: 346</x:v>
      </x:c>
    </x:row>
    <x:row r="237" ht="64" customHeight="1">
      <x:c r="A237" s="28" t="str">
        <x:v>NCT-0317</x:v>
      </x:c>
      <x:c r="B237" s="28" t="str">
        <x:v>миндаль</x:v>
      </x:c>
      <x:c r="C237" s="28" t="str">
        <x:v>абрикос</x:v>
      </x:c>
      <x:c r="D237" s="28" t="str">
        <x:v>Фрукты и ягоды</x:v>
      </x:c>
      <x:c r="E237" s="28" t="str">
        <x:v>общие ароматические соединения, контраст кислоты и жирной/горькой матрицы</x:v>
      </x:c>
      <x:c r="F237" s="28" t="str">
        <x:v>Миндаль имеет профиль «ореховый, сладкий, марципановый, слегка зелёный; после обжарки — карамельный и жареный». Партнёр «абрикос» относится к группе «Фрукты и ягоды» и даёт лактонный, миндальный, фруктовый. Молекулярный мост создают бензальдегид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бензальдегид.</x:v>
      </x:c>
      <x:c r="G23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37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37" s="28" t="str">
        <x:v>пралине, паста, выпечка, гарнир, соус, молочный или коктейльный компонент с абрикос</x:v>
      </x:c>
      <x:c r="J237" s="28" t="str">
        <x:v>Высокая</x:v>
      </x:c>
      <x:c r="K237" s="28" t="str">
        <x:v>Таблица сочетания(1).pdf | Тезариус вкусов (Ники Сегнит)(1).pdf</x:v>
      </x:c>
      <x:c r="L237" s="28" t="str">
        <x:v>Таблица сочетания(1).pdf: 1; Тезариус вкусов (Ники Сегнит)(1).pdf: 641, 743</x:v>
      </x:c>
    </x:row>
    <x:row r="238" ht="64" customHeight="1">
      <x:c r="A238" s="28" t="str">
        <x:v>NCT-0318</x:v>
      </x:c>
      <x:c r="B238" s="28" t="str">
        <x:v>миндаль</x:v>
      </x:c>
      <x:c r="C238" s="28" t="str">
        <x:v>агава</x:v>
      </x:c>
      <x:c r="D238" s="28" t="str">
        <x:v>Прочее</x:v>
      </x:c>
      <x:c r="E238" s="28" t="str">
        <x:v>сенсорная комплементарность</x:v>
      </x:c>
      <x:c r="F238" s="28" t="str">
        <x:v>Миндаль имеет профиль «ореховый, сладкий, марципановый, слегка зелёный; после обжарки — карамельный и жареный». Партнёр «агава»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3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38" s="28" t="str">
        <x:v>аллерген; быстро прогоркает после помола; горький миндаль и ядра косточковых не взаимозаменяемы</x:v>
      </x:c>
      <x:c r="I238" s="28" t="str">
        <x:v>пралине, паста, выпечка, гарнир, соус, молочный или коктейльный компонент с агава</x:v>
      </x:c>
      <x:c r="J238" s="28" t="str">
        <x:v>Гипотеза / практическая</x:v>
      </x:c>
      <x:c r="K238" s="28" t="str">
        <x:v>Таблица сочетания(1).pdf</x:v>
      </x:c>
      <x:c r="L238" s="28" t="str">
        <x:v>Таблица сочетания(1).pdf: 1</x:v>
      </x:c>
    </x:row>
    <x:row r="239" ht="64" customHeight="1">
      <x:c r="A239" s="28" t="str">
        <x:v>NCT-0319</x:v>
      </x:c>
      <x:c r="B239" s="28" t="str">
        <x:v>миндаль</x:v>
      </x:c>
      <x:c r="C239" s="28" t="str">
        <x:v>айва</x:v>
      </x:c>
      <x:c r="D239" s="28" t="str">
        <x:v>Прочее</x:v>
      </x:c>
      <x:c r="E239" s="28" t="str">
        <x:v>сенсорная комплементарность</x:v>
      </x:c>
      <x:c r="F239" s="28" t="str">
        <x:v>Миндаль имеет профиль «ореховый, сладкий, марципановый, слегка зелёный; после обжарки — карамельный и жареный». Партнёр «айва»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3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39" s="28" t="str">
        <x:v>аллерген; быстро прогоркает после помола; горький миндаль и ядра косточковых не взаимозаменяемы</x:v>
      </x:c>
      <x:c r="I239" s="28" t="str">
        <x:v>пралине, паста, выпечка, гарнир, соус, молочный или коктейльный компонент с айва</x:v>
      </x:c>
      <x:c r="J239" s="28" t="str">
        <x:v>Гипотеза / практическая</x:v>
      </x:c>
      <x:c r="K239" s="28" t="str">
        <x:v>Таблица сочетания(1).pdf</x:v>
      </x:c>
      <x:c r="L239" s="28" t="str">
        <x:v>Таблица сочетания(1).pdf: 18</x:v>
      </x:c>
    </x:row>
    <x:row r="240" ht="64" customHeight="1">
      <x:c r="A240" s="28" t="str">
        <x:v>NCT-0320</x:v>
      </x:c>
      <x:c r="B240" s="28" t="str">
        <x:v>миндаль</x:v>
      </x:c>
      <x:c r="C240" s="28" t="str">
        <x:v>ананас</x:v>
      </x:c>
      <x:c r="D240" s="28" t="str">
        <x:v>Прочее</x:v>
      </x:c>
      <x:c r="E240" s="28" t="str">
        <x:v>сенсорная комплементарность</x:v>
      </x:c>
      <x:c r="F240" s="28" t="str">
        <x:v>Миндаль имеет профиль «ореховый, сладкий, марципановый, слегка зелёный; после обжарки — карамельный и жареный». Партнёр «ананас»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0" s="28" t="str">
        <x:v>аллерген; быстро прогоркает после помола; горький миндаль и ядра косточковых не взаимозаменяемы</x:v>
      </x:c>
      <x:c r="I240" s="28" t="str">
        <x:v>пралине, паста, выпечка, гарнир, соус, молочный или коктейльный компонент с ананас</x:v>
      </x:c>
      <x:c r="J240" s="28" t="str">
        <x:v>Гипотеза / практическая</x:v>
      </x:c>
      <x:c r="K240" s="28" t="str">
        <x:v>Таблица сочетания(1).pdf</x:v>
      </x:c>
      <x:c r="L240" s="28" t="str">
        <x:v>Таблица сочетания(1).pdf: 17</x:v>
      </x:c>
    </x:row>
    <x:row r="241" ht="64" customHeight="1">
      <x:c r="A241" s="28" t="str">
        <x:v>NCT-0321</x:v>
      </x:c>
      <x:c r="B241" s="28" t="str">
        <x:v>миндаль</x:v>
      </x:c>
      <x:c r="C241" s="28" t="str">
        <x:v>анис</x:v>
      </x:c>
      <x:c r="D241" s="28" t="str">
        <x:v>Прочее</x:v>
      </x:c>
      <x:c r="E241" s="28" t="str">
        <x:v>сенсорная комплементарность</x:v>
      </x:c>
      <x:c r="F241" s="28" t="str">
        <x:v>Миндаль имеет профиль «ореховый, сладкий, марципановый, слегка зелёный; после обжарки — карамельный и жареный». Партнёр «анис»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1" s="28" t="str">
        <x:v>аллерген; быстро прогоркает после помола; горький миндаль и ядра косточковых не взаимозаменяемы</x:v>
      </x:c>
      <x:c r="I241" s="28" t="str">
        <x:v>пралине, паста, выпечка, гарнир, соус, молочный или коктейльный компонент с анис</x:v>
      </x:c>
      <x:c r="J241" s="28" t="str">
        <x:v>Средняя</x:v>
      </x:c>
      <x:c r="K241" s="28" t="str">
        <x:v>Тезариус вкусов (Ники Сегнит)(1).pdf</x:v>
      </x:c>
      <x:c r="L241" s="28" t="str">
        <x:v>Тезариус вкусов (Ники Сегнит)(1).pdf: 485, 642</x:v>
      </x:c>
    </x:row>
    <x:row r="242" ht="64" customHeight="1">
      <x:c r="A242" s="28" t="str">
        <x:v>NCT-0322</x:v>
      </x:c>
      <x:c r="B242" s="28" t="str">
        <x:v>миндаль</x:v>
      </x:c>
      <x:c r="C242" s="28" t="str">
        <x:v>апельсин</x:v>
      </x:c>
      <x:c r="D242" s="28" t="str">
        <x:v>Фрукты и ягоды</x:v>
      </x:c>
      <x:c r="E242" s="28" t="str">
        <x:v>контраст кислоты и жирной/горькой матрицы</x:v>
      </x:c>
      <x:c r="F242" s="28" t="str">
        <x:v>Миндаль имеет профиль «ореховый, сладкий, марципановый, слегка зелёный; после обжарки — карамельный и жареный». Партнёр «апельсин»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2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42" s="28" t="str">
        <x:v>пралине, паста, выпечка, гарнир, соус, молочный или коктейльный компонент с апельсин</x:v>
      </x:c>
      <x:c r="J242" s="28" t="str">
        <x:v>Средняя</x:v>
      </x:c>
      <x:c r="K242" s="28" t="str">
        <x:v>Тезариус вкусов (Ники Сегнит)(1).pdf</x:v>
      </x:c>
      <x:c r="L242" s="28" t="str">
        <x:v>Тезариус вкусов (Ники Сегнит)(1).pdf: 642, 777</x:v>
      </x:c>
    </x:row>
    <x:row r="243" ht="64" customHeight="1">
      <x:c r="A243" s="28" t="str">
        <x:v>NCT-0323</x:v>
      </x:c>
      <x:c r="B243" s="28" t="str">
        <x:v>миндаль</x:v>
      </x:c>
      <x:c r="C243" s="28" t="str">
        <x:v>бадьян</x:v>
      </x:c>
      <x:c r="D243" s="28" t="str">
        <x:v>Прочее</x:v>
      </x:c>
      <x:c r="E243" s="28" t="str">
        <x:v>сенсорная комплементарность</x:v>
      </x:c>
      <x:c r="F243" s="28" t="str">
        <x:v>Миндаль имеет профиль «ореховый, сладкий, марципановый, слегка зелёный; после обжарки — карамельный и жареный». Партнёр «бадьян»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3" s="28" t="str">
        <x:v>аллерген; быстро прогоркает после помола; горький миндаль и ядра косточковых не взаимозаменяемы</x:v>
      </x:c>
      <x:c r="I243" s="28" t="str">
        <x:v>пралине, паста, выпечка, гарнир, соус, молочный или коктейльный компонент с бадьян</x:v>
      </x:c>
      <x:c r="J243" s="28" t="str">
        <x:v>Гипотеза / практическая</x:v>
      </x:c>
      <x:c r="K243" s="28" t="str">
        <x:v>Таблица сочетания(1).pdf</x:v>
      </x:c>
      <x:c r="L243" s="28" t="str">
        <x:v>Таблица сочетания(1).pdf: 20</x:v>
      </x:c>
    </x:row>
    <x:row r="244" ht="64" customHeight="1">
      <x:c r="A244" s="28" t="str">
        <x:v>NCT-0324</x:v>
      </x:c>
      <x:c r="B244" s="28" t="str">
        <x:v>миндаль</x:v>
      </x:c>
      <x:c r="C244" s="28" t="str">
        <x:v>базилик</x:v>
      </x:c>
      <x:c r="D244" s="28" t="str">
        <x:v>Травы, цветы и листья</x:v>
      </x:c>
      <x:c r="E244" s="28" t="str">
        <x:v>сенсорная комплементарность</x:v>
      </x:c>
      <x:c r="F244" s="28" t="str">
        <x:v>Миндаль имеет профиль «ореховый, сладкий, марципановый, слегка зелёный; после обжарки — карамельный и жареный». Партнёр «базилик»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4" s="28" t="str">
        <x:v>аллерген; быстро прогоркает после помола; горький миндаль и ядра косточковых не взаимозаменяемы</x:v>
      </x:c>
      <x:c r="I244" s="28" t="str">
        <x:v>пралине, паста, выпечка, гарнир, соус, молочный или коктейльный компонент с базилик</x:v>
      </x:c>
      <x:c r="J244" s="28" t="str">
        <x:v>Гипотеза / практическая</x:v>
      </x:c>
      <x:c r="K244" s="28" t="str">
        <x:v>Таблица сочетания(1).pdf</x:v>
      </x:c>
      <x:c r="L244" s="28" t="str">
        <x:v>Таблица сочетания(1).pdf: 1</x:v>
      </x:c>
    </x:row>
    <x:row r="245" ht="64" customHeight="1">
      <x:c r="A245" s="28" t="str">
        <x:v>NCT-0325</x:v>
      </x:c>
      <x:c r="B245" s="28" t="str">
        <x:v>миндаль</x:v>
      </x:c>
      <x:c r="C245" s="28" t="str">
        <x:v>банан</x:v>
      </x:c>
      <x:c r="D245" s="28" t="str">
        <x:v>Фрукты и ягоды</x:v>
      </x:c>
      <x:c r="E245" s="28" t="str">
        <x:v>контраст кислоты и жирной/горькой матрицы</x:v>
      </x:c>
      <x:c r="F245" s="28" t="str">
        <x:v>Миндаль имеет профиль «ореховый, сладкий, марципановый, слегка зелёный; после обжарки — карамельный и жареный».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5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45" s="28" t="str">
        <x:v>пралине, паста, выпечка, гарнир, соус, молочный или коктейльный компонент с банан</x:v>
      </x:c>
      <x:c r="J245" s="28" t="str">
        <x:v>Высокая</x:v>
      </x:c>
      <x:c r="K245" s="28" t="str">
        <x:v>The Art &amp; Science of Foodpairing.pdf | Тезариус вкусов (Ники Сегнит)(1).pdf</x:v>
      </x:c>
      <x:c r="L245" s="28" t="str">
        <x:v>The Art &amp; Science of Foodpairing.pdf: 342, 343; Тезариус вкусов (Ники Сегнит)(1).pdf: 642, 733</x:v>
      </x:c>
    </x:row>
    <x:row r="246" ht="64" customHeight="1">
      <x:c r="A246" s="28" t="str">
        <x:v>NCT-0326</x:v>
      </x:c>
      <x:c r="B246" s="28" t="str">
        <x:v>миндаль</x:v>
      </x:c>
      <x:c r="C246" s="28" t="str">
        <x:v>баранина</x:v>
      </x:c>
      <x:c r="D246" s="28" t="str">
        <x:v>Мясо и птица</x:v>
      </x:c>
      <x:c r="E246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246" s="28" t="str">
        <x:v>Миндаль имеет профиль «ореховый, сладкий, марципановый, слегка зелёный; после обжарки — карамельный и жареный». Партнёр «баранина»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24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6" s="28" t="str">
        <x:v>аллерген; быстро прогоркает после помола; горький миндаль и ядра косточковых не взаимозаменяемы</x:v>
      </x:c>
      <x:c r="I246" s="28" t="str">
        <x:v>пралине, паста, выпечка, гарнир, соус, молочный или коктейльный компонент с баранина</x:v>
      </x:c>
      <x:c r="J246" s="28" t="str">
        <x:v>Средняя</x:v>
      </x:c>
      <x:c r="K246" s="28" t="str">
        <x:v>Тезариус вкусов (Ники Сегнит)(1).pdf</x:v>
      </x:c>
      <x:c r="L246" s="28" t="str">
        <x:v>Тезариус вкусов (Ники Сегнит)(1).pdf: 130, 642</x:v>
      </x:c>
    </x:row>
    <x:row r="247" ht="64" customHeight="1">
      <x:c r="A247" s="28" t="str">
        <x:v>NCT-0327</x:v>
      </x:c>
      <x:c r="B247" s="28" t="str">
        <x:v>миндаль</x:v>
      </x:c>
      <x:c r="C247" s="28" t="str">
        <x:v>белый шоколад</x:v>
      </x:c>
      <x:c r="D247" s="28" t="str">
        <x:v>Какао и шоколад</x:v>
      </x:c>
      <x:c r="E247" s="28" t="str">
        <x:v>жареная химия и реакции Майяра</x:v>
      </x:c>
      <x:c r="F247" s="28" t="str">
        <x:v>Миндаль имеет профиль «ореховый, сладкий, марципановый, слегка зелёный; после обжарки — карамельный и жареный». Партнёр «белый шоколад» относится к группе «Какао и шоколад» и даёт сливочный, ванильный, карамельный и маслянистый без выраженного какаового жареного профиля.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7" s="28" t="str">
        <x:v>аллерген; быстро прогоркает после помола; горький миндаль и ядра косточковых не взаимозаменяемы</x:v>
      </x:c>
      <x:c r="I247" s="28" t="str">
        <x:v>пралине, паста, выпечка, гарнир, соус, молочный или коктейльный компонент с белый шоколад</x:v>
      </x:c>
      <x:c r="J247" s="28" t="str">
        <x:v>Средняя</x:v>
      </x:c>
      <x:c r="K247" s="28" t="str">
        <x:v>Тезариус вкусов (Ники Сегнит)(1).pdf</x:v>
      </x:c>
      <x:c r="L247" s="28" t="str">
        <x:v>Тезариус вкусов (Ники Сегнит)(1).pdf: 642, 925</x:v>
      </x:c>
    </x:row>
    <x:row r="248" ht="64" customHeight="1">
      <x:c r="A248" s="28" t="str">
        <x:v>NCT-0328</x:v>
      </x:c>
      <x:c r="B248" s="28" t="str">
        <x:v>миндаль</x:v>
      </x:c>
      <x:c r="C248" s="28" t="str">
        <x:v>ваниль</x:v>
      </x:c>
      <x:c r="D248" s="28" t="str">
        <x:v>Специи</x:v>
      </x:c>
      <x:c r="E248" s="28" t="str">
        <x:v>сенсорная комплементарность</x:v>
      </x:c>
      <x:c r="F248" s="28" t="str">
        <x:v>Миндаль имеет профиль «ореховый, сладкий, марципановый, слегка зелёный; после обжарки — карамельный и жареный».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8" s="28" t="str">
        <x:v>аллерген; быстро прогоркает после помола; горький миндаль и ядра косточковых не взаимозаменяемы</x:v>
      </x:c>
      <x:c r="I248" s="28" t="str">
        <x:v>пралине, паста, выпечка, гарнир, соус, молочный или коктейльный компонент с ваниль</x:v>
      </x:c>
      <x:c r="J248" s="28" t="str">
        <x:v>Гипотеза / практическая</x:v>
      </x:c>
      <x:c r="K248" s="28" t="str">
        <x:v>Таблица сочетания(1).pdf</x:v>
      </x:c>
      <x:c r="L248" s="28" t="str">
        <x:v>Таблица сочетания(1).pdf: 21</x:v>
      </x:c>
    </x:row>
    <x:row r="249" ht="64" customHeight="1">
      <x:c r="A249" s="28" t="str">
        <x:v>NCT-0329</x:v>
      </x:c>
      <x:c r="B249" s="28" t="str">
        <x:v>миндаль</x:v>
      </x:c>
      <x:c r="C249" s="28" t="str">
        <x:v>виноград</x:v>
      </x:c>
      <x:c r="D249" s="28" t="str">
        <x:v>Алкогольные напитки</x:v>
      </x:c>
      <x:c r="E249" s="28" t="str">
        <x:v>сенсорная комплементарность</x:v>
      </x:c>
      <x:c r="F249" s="28" t="str">
        <x:v>Миндаль имеет профиль «ореховый, сладкий, марципановый, слегка зелёный; после обжарки — карамельный и жареный». Партнёр «виноград» относится к группе «Алкогольные напитки» и даёт спиртовой, фруктовый или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4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49" s="28" t="str">
        <x:v>аллерген; быстро прогоркает после помола; горький миндаль и ядра косточковых не взаимозаменяемы</x:v>
      </x:c>
      <x:c r="I249" s="28" t="str">
        <x:v>пралине, паста, выпечка, гарнир, соус, молочный или коктейльный компонент с виноград</x:v>
      </x:c>
      <x:c r="J249" s="28" t="str">
        <x:v>Средняя</x:v>
      </x:c>
      <x:c r="K249" s="28" t="str">
        <x:v>Тезариус вкусов (Ники Сегнит)(1).pdf</x:v>
      </x:c>
      <x:c r="L249" s="28" t="str">
        <x:v>Тезариус вкусов (Ники Сегнит)(1).pdf: 642, 667</x:v>
      </x:c>
    </x:row>
    <x:row r="250" ht="64" customHeight="1">
      <x:c r="A250" s="28" t="str">
        <x:v>NCT-0330</x:v>
      </x:c>
      <x:c r="B250" s="28" t="str">
        <x:v>миндаль</x:v>
      </x:c>
      <x:c r="C250" s="28" t="str">
        <x:v>вишня</x:v>
      </x:c>
      <x:c r="D250" s="28" t="str">
        <x:v>Фрукты и ягоды</x:v>
      </x:c>
      <x:c r="E250" s="28" t="str">
        <x:v>общие ароматические соединения, контраст кислоты и жирной/горькой матрицы</x:v>
      </x:c>
      <x:c r="F250" s="28" t="str">
        <x:v>Миндаль имеет профиль «ореховый, сладкий, марципановый, слегка зелёный; после обжарки — карамельный и жареный». Партнёр «вишня» относится к группе «Фрукты и ягоды» и даёт миндальный, фруктовый. Молекулярный мост создают бензальдегид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бензальдегид.</x:v>
      </x:c>
      <x:c r="G25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50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50" s="28" t="str">
        <x:v>пралине, паста, выпечка, гарнир, соус, молочный или коктейльный компонент с вишня</x:v>
      </x:c>
      <x:c r="J250" s="28" t="str">
        <x:v>Высокая</x:v>
      </x:c>
      <x:c r="K250" s="28" t="str">
        <x:v>Таблица сочетания(1).pdf | Тезариус вкусов (Ники Сегнит)(1).pdf</x:v>
      </x:c>
      <x:c r="L250" s="28" t="str">
        <x:v>Таблица сочетания(1).pdf: 1; Тезариус вкусов (Ники Сегнит)(1).pdf: 642, 655</x:v>
      </x:c>
    </x:row>
    <x:row r="251" ht="64" customHeight="1">
      <x:c r="A251" s="28" t="str">
        <x:v>NCT-0331</x:v>
      </x:c>
      <x:c r="B251" s="28" t="str">
        <x:v>миндаль</x:v>
      </x:c>
      <x:c r="C251" s="28" t="str">
        <x:v>голубика</x:v>
      </x:c>
      <x:c r="D251" s="28" t="str">
        <x:v>Прочее</x:v>
      </x:c>
      <x:c r="E251" s="28" t="str">
        <x:v>сенсорная комплементарность</x:v>
      </x:c>
      <x:c r="F251" s="28" t="str">
        <x:v>Миндаль имеет профиль «ореховый, сладкий, марципановый, слегка зелёный; после обжарки — карамельный и жареный». Партнёр «голубика»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5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51" s="28" t="str">
        <x:v>аллерген; быстро прогоркает после помола; горький миндаль и ядра косточковых не взаимозаменяемы</x:v>
      </x:c>
      <x:c r="I251" s="28" t="str">
        <x:v>пралине, паста, выпечка, гарнир, соус, молочный или коктейльный компонент с голубика</x:v>
      </x:c>
      <x:c r="J251" s="28" t="str">
        <x:v>Гипотеза / практическая</x:v>
      </x:c>
      <x:c r="K251" s="28" t="str">
        <x:v>Таблица сочетания(1).pdf</x:v>
      </x:c>
      <x:c r="L251" s="28" t="str">
        <x:v>Таблица сочетания(1).pdf: 3</x:v>
      </x:c>
    </x:row>
    <x:row r="252" ht="64" customHeight="1">
      <x:c r="A252" s="28" t="str">
        <x:v>NCT-0332</x:v>
      </x:c>
      <x:c r="B252" s="28" t="str">
        <x:v>миндаль</x:v>
      </x:c>
      <x:c r="C252" s="28" t="str">
        <x:v>груша</x:v>
      </x:c>
      <x:c r="D252" s="28" t="str">
        <x:v>Фрукты и ягоды</x:v>
      </x:c>
      <x:c r="E252" s="28" t="str">
        <x:v>контраст кислоты и жирной/горькой матрицы</x:v>
      </x:c>
      <x:c r="F252" s="28" t="str">
        <x:v>Миндаль имеет профиль «ореховый, сладкий, марципановый, слегка зелёный; после обжарки — карамельный и жареный». Партнёр «груша»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5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52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52" s="28" t="str">
        <x:v>пралине, паста, выпечка, гарнир, соус, молочный или коктейльный компонент с груша</x:v>
      </x:c>
      <x:c r="J252" s="28" t="str">
        <x:v>Высокая</x:v>
      </x:c>
      <x:c r="K252" s="28" t="str">
        <x:v>The Art &amp; Science of Foodpairing.pdf | Таблица сочетания(1).pdf | Тезариус вкусов (Ники Сегнит)(1).pdf</x:v>
      </x:c>
      <x:c r="L252" s="28" t="str">
        <x:v>The Art &amp; Science of Foodpairing.pdf: 350; Таблица сочетания(1).pdf: 16; Тезариус вкусов (Ники Сегнит)(1).pdf: 642, 725</x:v>
      </x:c>
    </x:row>
    <x:row r="253" ht="64" customHeight="1">
      <x:c r="A253" s="28" t="str">
        <x:v>NCT-0333</x:v>
      </x:c>
      <x:c r="B253" s="28" t="str">
        <x:v>миндаль</x:v>
      </x:c>
      <x:c r="C253" s="28" t="str">
        <x:v>дыня</x:v>
      </x:c>
      <x:c r="D253" s="28" t="str">
        <x:v>Фрукты и ягоды</x:v>
      </x:c>
      <x:c r="E253" s="28" t="str">
        <x:v>контраст кислоты и жирной/горькой матрицы</x:v>
      </x:c>
      <x:c r="F253" s="28" t="str">
        <x:v>Миндаль имеет профиль «ореховый, сладкий, марципановый, слегка зелёный; после обжарки — карамельный и жареный». Партнёр «дыня»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5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53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53" s="28" t="str">
        <x:v>пралине, паста, выпечка, гарнир, соус, молочный или коктейльный компонент с дыня</x:v>
      </x:c>
      <x:c r="J253" s="28" t="str">
        <x:v>Средняя</x:v>
      </x:c>
      <x:c r="K253" s="28" t="str">
        <x:v>Тезариус вкусов (Ники Сегнит)(1).pdf</x:v>
      </x:c>
      <x:c r="L253" s="28" t="str">
        <x:v>Тезариус вкусов (Ники Сегнит)(1).pdf: 642, 739</x:v>
      </x:c>
    </x:row>
    <x:row r="254" ht="64" customHeight="1">
      <x:c r="A254" s="28" t="str">
        <x:v>NCT-0334</x:v>
      </x:c>
      <x:c r="B254" s="28" t="str">
        <x:v>миндаль</x:v>
      </x:c>
      <x:c r="C254" s="28" t="str">
        <x:v>ежевика</x:v>
      </x:c>
      <x:c r="D254" s="28" t="str">
        <x:v>Прочее</x:v>
      </x:c>
      <x:c r="E254" s="28" t="str">
        <x:v>сенсорная комплементарность</x:v>
      </x:c>
      <x:c r="F254" s="28" t="str">
        <x:v>Миндаль имеет профиль «ореховый, сладкий, марципановый, слегка зелёный; после обжарки — карамельный и жареный». Партнёр «ежевика»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5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54" s="28" t="str">
        <x:v>аллерген; быстро прогоркает после помола; горький миндаль и ядра косточковых не взаимозаменяемы</x:v>
      </x:c>
      <x:c r="I254" s="28" t="str">
        <x:v>пралине, паста, выпечка, гарнир, соус, молочный или коктейльный компонент с ежевика</x:v>
      </x:c>
      <x:c r="J254" s="28" t="str">
        <x:v>Средняя</x:v>
      </x:c>
      <x:c r="K254" s="28" t="str">
        <x:v>Тезариус вкусов (Ники Сегнит)(1).pdf</x:v>
      </x:c>
      <x:c r="L254" s="28" t="str">
        <x:v>Тезариус вкусов (Ники Сегнит)(1).pdf: 642, 882</x:v>
      </x:c>
    </x:row>
    <x:row r="255" ht="64" customHeight="1">
      <x:c r="A255" s="28" t="str">
        <x:v>NCT-0335</x:v>
      </x:c>
      <x:c r="B255" s="28" t="str">
        <x:v>миндаль</x:v>
      </x:c>
      <x:c r="C255" s="28" t="str">
        <x:v>жасмин</x:v>
      </x:c>
      <x:c r="D255" s="28" t="str">
        <x:v>Травы, цветы и листья</x:v>
      </x:c>
      <x:c r="E255" s="28" t="str">
        <x:v>сенсорная комплементарность</x:v>
      </x:c>
      <x:c r="F255" s="28" t="str">
        <x:v>Миндаль имеет профиль «ореховый, сладкий, марципановый, слегка зелёный; после обжарки — карамельный и жареный». Партнёр «жасмин» относится к группе «Травы, цветы и листья» и даёт животный,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5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55" s="28" t="str">
        <x:v>аллерген; быстро прогоркает после помола; горький миндаль и ядра косточковых не взаимозаменяемы</x:v>
      </x:c>
      <x:c r="I255" s="28" t="str">
        <x:v>пралине, паста, выпечка, гарнир, соус, молочный или коктейльный компонент с жасмин</x:v>
      </x:c>
      <x:c r="J255" s="28" t="str">
        <x:v>Средняя</x:v>
      </x:c>
      <x:c r="K255" s="28" t="str">
        <x:v>The Art &amp; Science of Foodpairing.pdf</x:v>
      </x:c>
      <x:c r="L255" s="28" t="str">
        <x:v>The Art &amp; Science of Foodpairing.pdf: 210</x:v>
      </x:c>
    </x:row>
    <x:row r="256" ht="64" customHeight="1">
      <x:c r="A256" s="28" t="str">
        <x:v>NCT-0336</x:v>
      </x:c>
      <x:c r="B256" s="28" t="str">
        <x:v>миндаль</x:v>
      </x:c>
      <x:c r="C256" s="28" t="str">
        <x:v>жирная рыба</x:v>
      </x:c>
      <x:c r="D256" s="28" t="str">
        <x:v>Рыба и морепродукты</x:v>
      </x:c>
      <x:c r="E256" s="28" t="str">
        <x:v>солёно-умами контраст</x:v>
      </x:c>
      <x:c r="F256" s="28" t="str">
        <x:v>Миндаль имеет профиль «ореховый, сладкий, марципановый, слегка зелёный; после обжарки — карамельный и жареный». Партнёр «жирная рыба»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5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56" s="28" t="str">
        <x:v>аллерген; быстро прогоркает после помола; горький миндаль и ядра косточковых не взаимозаменяемы; малейшая прогорклость ореха или шоколада усиливает неприятные рыбные оттенки</x:v>
      </x:c>
      <x:c r="I256" s="28" t="str">
        <x:v>пралине, паста, выпечка, гарнир, соус, молочный или коктейльный компонент с жирная рыба</x:v>
      </x:c>
      <x:c r="J256" s="28" t="str">
        <x:v>Средняя</x:v>
      </x:c>
      <x:c r="K256" s="28" t="str">
        <x:v>Тезариус вкусов (Ники Сегнит)(1).pdf</x:v>
      </x:c>
      <x:c r="L256" s="28" t="str">
        <x:v>Тезариус вкусов (Ники Сегнит)(1).pdf: 415, 643</x:v>
      </x:c>
    </x:row>
    <x:row r="257" ht="64" customHeight="1">
      <x:c r="A257" s="28" t="str">
        <x:v>NCT-0337</x:v>
      </x:c>
      <x:c r="B257" s="28" t="str">
        <x:v>миндаль</x:v>
      </x:c>
      <x:c r="C257" s="28" t="str">
        <x:v>имбирь</x:v>
      </x:c>
      <x:c r="D257" s="28" t="str">
        <x:v>Специи</x:v>
      </x:c>
      <x:c r="E257" s="28" t="str">
        <x:v>сенсорная комплементарность</x:v>
      </x:c>
      <x:c r="F257" s="28" t="str">
        <x:v>Миндаль имеет профиль «ореховый, сладкий, марципановый, слегка зелёный; после обжарки — карамельный и жареный». Партнёр «имбирь» относится к группе «Специи» и даёт пряный, тёплый,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5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57" s="28" t="str">
        <x:v>аллерген; быстро прогоркает после помола; горький миндаль и ядра косточковых не взаимозаменяемы</x:v>
      </x:c>
      <x:c r="I257" s="28" t="str">
        <x:v>пралине, паста, выпечка, гарнир, соус, молочный или коктейльный компонент с имбирь</x:v>
      </x:c>
      <x:c r="J257" s="28" t="str">
        <x:v>Высокая</x:v>
      </x:c>
      <x:c r="K257" s="28" t="str">
        <x:v>Таблица сочетания(1).pdf | Тезариус вкусов (Ники Сегнит)(1).pdf</x:v>
      </x:c>
      <x:c r="L257" s="28" t="str">
        <x:v>Таблица сочетания(1).pdf: 8; Тезариус вкусов (Ники Сегнит)(1).pdf: 643, 818</x:v>
      </x:c>
    </x:row>
    <x:row r="258" ht="64" customHeight="1">
      <x:c r="A258" s="28" t="str">
        <x:v>NCT-0338</x:v>
      </x:c>
      <x:c r="B258" s="28" t="str">
        <x:v>миндаль</x:v>
      </x:c>
      <x:c r="C258" s="28" t="str">
        <x:v>инжир</x:v>
      </x:c>
      <x:c r="D258" s="28" t="str">
        <x:v>Фрукты и ягоды</x:v>
      </x:c>
      <x:c r="E258" s="28" t="str">
        <x:v>контраст кислоты и жирной/горькой матрицы</x:v>
      </x:c>
      <x:c r="F258" s="28" t="str">
        <x:v>Миндаль имеет профиль «ореховый, сладкий, марципановый, слегка зелёный; после обжарки — карамельный и жареный». Партнёр «инжир»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5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58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58" s="28" t="str">
        <x:v>пралине, паста, выпечка, гарнир, соус, молочный или коктейльный компонент с инжир</x:v>
      </x:c>
      <x:c r="J258" s="28" t="str">
        <x:v>Высокая</x:v>
      </x:c>
      <x:c r="K258" s="28" t="str">
        <x:v>Таблица сочетания(1).pdf | Тезариус вкусов (Ники Сегнит)(1).pdf</x:v>
      </x:c>
      <x:c r="L258" s="28" t="str">
        <x:v>Таблица сочетания(1).pdf: 1; Тезариус вкусов (Ники Сегнит)(1).pdf: 644, 894</x:v>
      </x:c>
    </x:row>
    <x:row r="259" ht="64" customHeight="1">
      <x:c r="A259" s="28" t="str">
        <x:v>NCT-0339</x:v>
      </x:c>
      <x:c r="B259" s="28" t="str">
        <x:v>миндаль</x:v>
      </x:c>
      <x:c r="C259" s="28" t="str">
        <x:v>карамель</x:v>
      </x:c>
      <x:c r="D259" s="28" t="str">
        <x:v>Выпечка, сахара и десерты</x:v>
      </x:c>
      <x:c r="E259" s="28" t="str">
        <x:v>общие ароматические соединения, пересечение ароматических семейств, жареная химия и реакции Майяра</x:v>
      </x:c>
      <x:c r="F259" s="28" t="str">
        <x:v>Миндаль имеет профиль «ореховый, сладкий, марципановый, слегка зелёный; после обжарки — карамельный и жареный». Партнёр «карамель» относится к группе «Выпечка, сахара и десерты» и даёт жареный, карамельный. Молекулярный мост создают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фураны.</x:v>
      </x:c>
      <x:c r="G25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59" s="28" t="str">
        <x:v>аллерген; быстро прогоркает после помола; горький миндаль и ядра косточковых не взаимозаменяемы</x:v>
      </x:c>
      <x:c r="I259" s="28" t="str">
        <x:v>пралине, паста, выпечка, гарнир, соус, молочный или коктейльный компонент с карамель</x:v>
      </x:c>
      <x:c r="J259" s="28" t="str">
        <x:v>Гипотеза / практическая</x:v>
      </x:c>
      <x:c r="K259" s="28" t="str">
        <x:v>Таблица сочетания(1).pdf</x:v>
      </x:c>
      <x:c r="L259" s="28" t="str">
        <x:v>Таблица сочетания(1).pdf: 1, 3</x:v>
      </x:c>
    </x:row>
    <x:row r="260" ht="64" customHeight="1">
      <x:c r="A260" s="28" t="str">
        <x:v>NCT-0340</x:v>
      </x:c>
      <x:c r="B260" s="28" t="str">
        <x:v>миндаль</x:v>
      </x:c>
      <x:c r="C260" s="28" t="str">
        <x:v>кардамон</x:v>
      </x:c>
      <x:c r="D260" s="28" t="str">
        <x:v>Специи</x:v>
      </x:c>
      <x:c r="E260" s="28" t="str">
        <x:v>сенсорная комплементарность</x:v>
      </x:c>
      <x:c r="F260" s="28" t="str">
        <x:v>Миндаль имеет профиль «ореховый, сладкий, марципановый, слегка зелёный; после обжарки — карамельный и жареный». Партнёр «кардамон» относится к группе «Специи» и даёт камфорный, цветочный,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6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60" s="28" t="str">
        <x:v>аллерген; быстро прогоркает после помола; горький миндаль и ядра косточковых не взаимозаменяемы</x:v>
      </x:c>
      <x:c r="I260" s="28" t="str">
        <x:v>пралине, паста, выпечка, гарнир, соус, молочный или коктейльный компонент с кардамон</x:v>
      </x:c>
      <x:c r="J260" s="28" t="str">
        <x:v>Высокая</x:v>
      </x:c>
      <x:c r="K260" s="28" t="str">
        <x:v>Таблица сочетания(1).pdf | Тезариус вкусов (Ники Сегнит)(1).pdf</x:v>
      </x:c>
      <x:c r="L260" s="28" t="str">
        <x:v>Таблица сочетания(1).pdf: 1; Тезариус вкусов (Ники Сегнит)(1).pdf: 644, 829</x:v>
      </x:c>
    </x:row>
    <x:row r="261" ht="64" customHeight="1">
      <x:c r="A261" s="28" t="str">
        <x:v>NCT-0341</x:v>
      </x:c>
      <x:c r="B261" s="28" t="str">
        <x:v>миндаль</x:v>
      </x:c>
      <x:c r="C261" s="28" t="str">
        <x:v>кедровый орех</x:v>
      </x:c>
      <x:c r="D261" s="28" t="str">
        <x:v>Орехи и семена</x:v>
      </x:c>
      <x:c r="E261" s="28" t="str">
        <x:v>общие ароматические соединения, пересечение ароматических семейств, жареная химия и реакции Майяра</x:v>
      </x:c>
      <x:c r="F261" s="28" t="str">
        <x:v>Миндаль имеет профиль «ореховый, сладкий, марципановый, слегка зелёный; после обжарки — карамельный и жареный». Партнёр «кедровый орех» относится к группе «Орехи и семена» и даёт смолистый, сливочный, зелёный и ореховый.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пиразины.</x:v>
      </x:c>
      <x:c r="G26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61" s="28" t="str">
        <x:v>аллерген; быстро прогоркает после помола; горький миндаль и ядра косточковых не взаимозаменяемы</x:v>
      </x:c>
      <x:c r="I261" s="28" t="str">
        <x:v>пралине, паста, выпечка, гарнир, соус, молочный или коктейльный компонент с кедровый орех</x:v>
      </x:c>
      <x:c r="J261" s="28" t="str">
        <x:v>Гипотеза / практическая</x:v>
      </x:c>
      <x:c r="K261" s="28" t="str">
        <x:v>Таблица сочетания(1).pdf</x:v>
      </x:c>
      <x:c r="L261" s="28" t="str">
        <x:v>Таблица сочетания(1).pdf: 16</x:v>
      </x:c>
    </x:row>
    <x:row r="262" ht="64" customHeight="1">
      <x:c r="A262" s="28" t="str">
        <x:v>NCT-0342</x:v>
      </x:c>
      <x:c r="B262" s="28" t="str">
        <x:v>миндаль</x:v>
      </x:c>
      <x:c r="C262" s="28" t="str">
        <x:v>кленовый сироп</x:v>
      </x:c>
      <x:c r="D262" s="28" t="str">
        <x:v>Выпечка, сахара и десерты</x:v>
      </x:c>
      <x:c r="E262" s="28" t="str">
        <x:v>общие ароматические соединения, пересечение ароматических семейств, жареная химия и реакции Майяра</x:v>
      </x:c>
      <x:c r="F262" s="28" t="str">
        <x:v>Миндаль имеет профиль «ореховый, сладкий, марципановый, слегка зелёный; после обжарки — карамельный и жареный».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26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62" s="28" t="str">
        <x:v>аллерген; быстро прогоркает после помола; горький миндаль и ядра косточковых не взаимозаменяемы</x:v>
      </x:c>
      <x:c r="I262" s="28" t="str">
        <x:v>пралине, паста, выпечка, гарнир, соус, молочный или коктейльный компонент с кленовый сироп</x:v>
      </x:c>
      <x:c r="J262" s="28" t="str">
        <x:v>Гипотеза / практическая</x:v>
      </x:c>
      <x:c r="K262" s="28" t="str">
        <x:v>Таблица сочетания(1).pdf</x:v>
      </x:c>
      <x:c r="L262" s="28" t="str">
        <x:v>Таблица сочетания(1).pdf: 13</x:v>
      </x:c>
    </x:row>
    <x:row r="263" ht="64" customHeight="1">
      <x:c r="A263" s="28" t="str">
        <x:v>NCT-0343</x:v>
      </x:c>
      <x:c r="B263" s="28" t="str">
        <x:v>миндаль</x:v>
      </x:c>
      <x:c r="C263" s="28" t="str">
        <x:v>клубника</x:v>
      </x:c>
      <x:c r="D263" s="28" t="str">
        <x:v>Прочее</x:v>
      </x:c>
      <x:c r="E263" s="28" t="str">
        <x:v>сенсорная комплементарность</x:v>
      </x:c>
      <x:c r="F263" s="28" t="str">
        <x:v>Миндаль имеет профиль «ореховый, сладкий, марципановый, слегка зелёный; после обжарки — карамельный и жареный». Партнёр «клубника» относится к группе «Прочее» и даёт зелёный, карамельный, фруктовый.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6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63" s="28" t="str">
        <x:v>аллерген; быстро прогоркает после помола; горький миндаль и ядра косточковых не взаимозаменяемы</x:v>
      </x:c>
      <x:c r="I263" s="28" t="str">
        <x:v>пралине, паста, выпечка, гарнир, соус, молочный или коктейльный компонент с клубника</x:v>
      </x:c>
      <x:c r="J263" s="28" t="str">
        <x:v>Высокая</x:v>
      </x:c>
      <x:c r="K263" s="28" t="str">
        <x:v>Таблица сочетания(1).pdf | Тезариус вкусов (Ники Сегнит)(1).pdf</x:v>
      </x:c>
      <x:c r="L263" s="28" t="str">
        <x:v>Таблица сочетания(1).pdf: 20; Тезариус вкусов (Ники Сегнит)(1).pdf: 644, 696</x:v>
      </x:c>
    </x:row>
    <x:row r="264" ht="64" customHeight="1">
      <x:c r="A264" s="28" t="str">
        <x:v>NCT-0344</x:v>
      </x:c>
      <x:c r="B264" s="28" t="str">
        <x:v>миндаль</x:v>
      </x:c>
      <x:c r="C264" s="28" t="str">
        <x:v>клюква</x:v>
      </x:c>
      <x:c r="D264" s="28" t="str">
        <x:v>Прочее</x:v>
      </x:c>
      <x:c r="E264" s="28" t="str">
        <x:v>сенсорная комплементарность</x:v>
      </x:c>
      <x:c r="F264" s="28" t="str">
        <x:v>Миндаль имеет профиль «ореховый, сладкий, марципановый, слегка зелёный; после обжарки — карамельный и жареный». Партнёр «клюква»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6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64" s="28" t="str">
        <x:v>аллерген; быстро прогоркает после помола; горький миндаль и ядра косточковых не взаимозаменяемы</x:v>
      </x:c>
      <x:c r="I264" s="28" t="str">
        <x:v>пралине, паста, выпечка, гарнир, соус, молочный или коктейльный компонент с клюква</x:v>
      </x:c>
      <x:c r="J264" s="28" t="str">
        <x:v>Гипотеза / практическая</x:v>
      </x:c>
      <x:c r="K264" s="28" t="str">
        <x:v>Таблица сочетания(1).pdf</x:v>
      </x:c>
      <x:c r="L264" s="28" t="str">
        <x:v>Таблица сочетания(1).pdf: 6</x:v>
      </x:c>
    </x:row>
    <x:row r="265" ht="64" customHeight="1">
      <x:c r="A265" s="28" t="str">
        <x:v>NCT-0345</x:v>
      </x:c>
      <x:c r="B265" s="28" t="str">
        <x:v>миндаль</x:v>
      </x:c>
      <x:c r="C265" s="28" t="str">
        <x:v>кокос</x:v>
      </x:c>
      <x:c r="D265" s="28" t="str">
        <x:v>Прочее</x:v>
      </x:c>
      <x:c r="E265" s="28" t="str">
        <x:v>сенсорная комплементарность</x:v>
      </x:c>
      <x:c r="F265" s="28" t="str">
        <x:v>Миндаль имеет профиль «ореховый, сладкий, марципановый, слегка зелёный; после обжарки — карамельный и жареный». Партнёр «кокос» относится к группе «Прочее» и даёт лактонный, сливочный.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6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65" s="28" t="str">
        <x:v>аллерген; быстро прогоркает после помола; горький миндаль и ядра косточковых не взаимозаменяемы</x:v>
      </x:c>
      <x:c r="I265" s="28" t="str">
        <x:v>пралине, паста, выпечка, гарнир, соус, молочный или коктейльный компонент с кокос</x:v>
      </x:c>
      <x:c r="J265" s="28" t="str">
        <x:v>Высокая</x:v>
      </x:c>
      <x:c r="K265" s="28" t="str">
        <x:v>The Art &amp; Science of Foodpairing.pdf | Тезариус вкусов (Ники Сегнит)(1).pdf</x:v>
      </x:c>
      <x:c r="L265" s="28" t="str">
        <x:v>The Art &amp; Science of Foodpairing.pdf: 134, 135; Тезариус вкусов (Ники Сегнит)(1).pdf: 644, 759</x:v>
      </x:c>
    </x:row>
    <x:row r="266" ht="64" customHeight="1">
      <x:c r="A266" s="28" t="str">
        <x:v>NCT-0346</x:v>
      </x:c>
      <x:c r="B266" s="28" t="str">
        <x:v>миндаль</x:v>
      </x:c>
      <x:c r="C266" s="28" t="str">
        <x:v>корица</x:v>
      </x:c>
      <x:c r="D266" s="28" t="str">
        <x:v>Специи</x:v>
      </x:c>
      <x:c r="E266" s="28" t="str">
        <x:v>сенсорная комплементарность</x:v>
      </x:c>
      <x:c r="F266" s="28" t="str">
        <x:v>Миндаль имеет профиль «ореховый, сладкий, марципановый, слегка зелёный; после обжарки — карамельный и жареный». Партнёр «корица» относится к группе «Специи» и даёт древесный, пряный.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6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66" s="28" t="str">
        <x:v>аллерген; быстро прогоркает после помола; горький миндаль и ядра косточковых не взаимозаменяемы</x:v>
      </x:c>
      <x:c r="I266" s="28" t="str">
        <x:v>пралине, паста, выпечка, гарнир, соус, молочный или коктейльный компонент с корица</x:v>
      </x:c>
      <x:c r="J266" s="28" t="str">
        <x:v>Высокая</x:v>
      </x:c>
      <x:c r="K266" s="28" t="str">
        <x:v>Таблица сочетания(1).pdf | Тезариус вкусов (Ники Сегнит)(1).pdf</x:v>
      </x:c>
      <x:c r="L266" s="28" t="str">
        <x:v>Таблица сочетания(1).pdf: 1, 5; Тезариус вкусов (Ники Сегнит)(1).pdf: 577</x:v>
      </x:c>
    </x:row>
    <x:row r="267" ht="64" customHeight="1">
      <x:c r="A267" s="28" t="str">
        <x:v>NCT-0347</x:v>
      </x:c>
      <x:c r="B267" s="28" t="str">
        <x:v>миндаль</x:v>
      </x:c>
      <x:c r="C267" s="28" t="str">
        <x:v>кофе</x:v>
      </x:c>
      <x:c r="D267" s="28" t="str">
        <x:v>Кофе</x:v>
      </x:c>
      <x:c r="E267" s="28" t="str">
        <x:v>общие ароматические соединения, пересечение ароматических семейств, жареная химия и реакции Майяра</x:v>
      </x:c>
      <x:c r="F267" s="28" t="str">
        <x:v>Миндаль имеет профиль «ореховый, сладкий, марципановый, слегка зелёный; после обжарки — карамельный и жареный».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ореховый; пиразины, фураны.</x:v>
      </x:c>
      <x:c r="G26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67" s="28" t="str">
        <x:v>аллерген; быстро прогоркает после помола; горький миндаль и ядра косточковых не взаимозаменяемы</x:v>
      </x:c>
      <x:c r="I267" s="28" t="str">
        <x:v>пралине, паста, выпечка, гарнир, соус, молочный или коктейльный компонент с кофе</x:v>
      </x:c>
      <x:c r="J267" s="28" t="str">
        <x:v>Высокая</x:v>
      </x:c>
      <x:c r="K267" s="28" t="str">
        <x:v>The Art &amp; Science of Foodpairing.pdf | Таблица сочетания(1).pdf | Тезариус вкусов (Ники Сегнит)(1).pdf</x:v>
      </x:c>
      <x:c r="L267" s="28" t="str">
        <x:v>The Art &amp; Science of Foodpairing.pdf: 297; Таблица сочетания(1).pdf: 1, 6; Тезариус вкусов (Ники Сегнит)(1).pdf: 47, 645</x:v>
      </x:c>
    </x:row>
    <x:row r="268" ht="64" customHeight="1">
      <x:c r="A268" s="28" t="str">
        <x:v>NCT-0348</x:v>
      </x:c>
      <x:c r="B268" s="28" t="str">
        <x:v>миндаль</x:v>
      </x:c>
      <x:c r="C268" s="28" t="str">
        <x:v>красный апельсин</x:v>
      </x:c>
      <x:c r="D268" s="28" t="str">
        <x:v>Фрукты и ягоды</x:v>
      </x:c>
      <x:c r="E268" s="28" t="str">
        <x:v>контраст кислоты и жирной/горькой матрицы</x:v>
      </x:c>
      <x:c r="F268" s="28" t="str">
        <x:v>Миндаль имеет профиль «ореховый, сладкий, марципановый, слегка зелёный; после обжарки — карамельный и жареный». Партнёр «красный 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6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68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68" s="28" t="str">
        <x:v>пралине, паста, выпечка, гарнир, соус, молочный или коктейльный компонент с красный апельсин</x:v>
      </x:c>
      <x:c r="J268" s="28" t="str">
        <x:v>Гипотеза / практическая</x:v>
      </x:c>
      <x:c r="K268" s="28" t="str">
        <x:v>Таблица сочетания(1).pdf</x:v>
      </x:c>
      <x:c r="L268" s="28" t="str">
        <x:v>Таблица сочетания(1).pdf: 3</x:v>
      </x:c>
    </x:row>
    <x:row r="269" ht="64" customHeight="1">
      <x:c r="A269" s="28" t="str">
        <x:v>NCT-0349</x:v>
      </x:c>
      <x:c r="B269" s="28" t="str">
        <x:v>миндаль</x:v>
      </x:c>
      <x:c r="C269" s="28" t="str">
        <x:v>лимон</x:v>
      </x:c>
      <x:c r="D269" s="28" t="str">
        <x:v>Фрукты и ягоды</x:v>
      </x:c>
      <x:c r="E269" s="28" t="str">
        <x:v>контраст кислоты и жирной/горькой матрицы</x:v>
      </x:c>
      <x:c r="F269" s="28" t="str">
        <x:v>Миндаль имеет профиль «ореховый, сладкий, марципановый, слегка зелёный; после обжарки — карамельный и жареный».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6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69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69" s="28" t="str">
        <x:v>пралине, паста, выпечка, гарнир, соус, молочный или коктейльный компонент с лимон</x:v>
      </x:c>
      <x:c r="J269" s="28" t="str">
        <x:v>Высокая</x:v>
      </x:c>
      <x:c r="K269" s="28" t="str">
        <x:v>Таблица сочетания(1).pdf | Тезариус вкусов (Ники Сегнит)(1).pdf</x:v>
      </x:c>
      <x:c r="L269" s="28" t="str">
        <x:v>Таблица сочетания(1).pdf: 11; Тезариус вкусов (Ники Сегнит)(1).pdf: 645, 805</x:v>
      </x:c>
    </x:row>
    <x:row r="270" ht="64" customHeight="1">
      <x:c r="A270" s="28" t="str">
        <x:v>NCT-0350</x:v>
      </x:c>
      <x:c r="B270" s="28" t="str">
        <x:v>миндаль</x:v>
      </x:c>
      <x:c r="C270" s="28" t="str">
        <x:v>листья кассии</x:v>
      </x:c>
      <x:c r="D270" s="28" t="str">
        <x:v>Прочее</x:v>
      </x:c>
      <x:c r="E270" s="28" t="str">
        <x:v>сенсорная комплементарность</x:v>
      </x:c>
      <x:c r="F270" s="28" t="str">
        <x:v>Миндаль имеет профиль «ореховый, сладкий, марципановый, слегка зелёный; после обжарки — карамельный и жареный». Партнёр «листья кассии»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7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70" s="28" t="str">
        <x:v>аллерген; быстро прогоркает после помола; горький миндаль и ядра косточковых не взаимозаменяемы</x:v>
      </x:c>
      <x:c r="I270" s="28" t="str">
        <x:v>пралине, паста, выпечка, гарнир, соус, молочный или коктейльный компонент с листья кассии</x:v>
      </x:c>
      <x:c r="J270" s="28" t="str">
        <x:v>Гипотеза / практическая</x:v>
      </x:c>
      <x:c r="K270" s="28" t="str">
        <x:v>Таблица сочетания(1).pdf</x:v>
      </x:c>
      <x:c r="L270" s="28" t="str">
        <x:v>Таблица сочетания(1).pdf: 1</x:v>
      </x:c>
    </x:row>
    <x:row r="271" ht="64" customHeight="1">
      <x:c r="A271" s="28" t="str">
        <x:v>NCT-0351</x:v>
      </x:c>
      <x:c r="B271" s="28" t="str">
        <x:v>миндаль</x:v>
      </x:c>
      <x:c r="C271" s="28" t="str">
        <x:v>малина</x:v>
      </x:c>
      <x:c r="D271" s="28" t="str">
        <x:v>Прочее</x:v>
      </x:c>
      <x:c r="E271" s="28" t="str">
        <x:v>сенсорная комплементарность</x:v>
      </x:c>
      <x:c r="F271" s="28" t="str">
        <x:v>Миндаль имеет профиль «ореховый, сладкий, марципановый, слегка зелёный; после обжарки — карамельный и жареный». Партнёр «малина» относится к группе «Прочее» и даёт цветочный, ягодный.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7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71" s="28" t="str">
        <x:v>аллерген; быстро прогоркает после помола; горький миндаль и ядра косточковых не взаимозаменяемы</x:v>
      </x:c>
      <x:c r="I271" s="28" t="str">
        <x:v>пралине, паста, выпечка, гарнир, соус, молочный или коктейльный компонент с малина</x:v>
      </x:c>
      <x:c r="J271" s="28" t="str">
        <x:v>Средняя</x:v>
      </x:c>
      <x:c r="K271" s="28" t="str">
        <x:v>Тезариус вкусов (Ники Сегнит)(1).pdf</x:v>
      </x:c>
      <x:c r="L271" s="28" t="str">
        <x:v>Тезариус вкусов (Ники Сегнит)(1).pdf: 646, 887</x:v>
      </x:c>
    </x:row>
    <x:row r="272" ht="64" customHeight="1">
      <x:c r="A272" s="28" t="str">
        <x:v>NCT-0352</x:v>
      </x:c>
      <x:c r="B272" s="28" t="str">
        <x:v>миндаль</x:v>
      </x:c>
      <x:c r="C272" s="28" t="str">
        <x:v>моллюски</x:v>
      </x:c>
      <x:c r="D272" s="28" t="str">
        <x:v>Прочее</x:v>
      </x:c>
      <x:c r="E272" s="28" t="str">
        <x:v>сенсорная комплементарность</x:v>
      </x:c>
      <x:c r="F272" s="28" t="str">
        <x:v>Миндаль имеет профиль «ореховый, сладкий, марципановый, слегка зелёный; после обжарки — карамельный и жареный». Партнёр «моллюски»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7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72" s="28" t="str">
        <x:v>аллерген; быстро прогоркает после помола; горький миндаль и ядра косточковых не взаимозаменяемы</x:v>
      </x:c>
      <x:c r="I272" s="28" t="str">
        <x:v>пралине, паста, выпечка, гарнир, соус, молочный или коктейльный компонент с моллюски</x:v>
      </x:c>
      <x:c r="J272" s="28" t="str">
        <x:v>Средняя</x:v>
      </x:c>
      <x:c r="K272" s="28" t="str">
        <x:v>Тезариус вкусов (Ники Сегнит)(1).pdf</x:v>
      </x:c>
      <x:c r="L272" s="28" t="str">
        <x:v>Тезариус вкусов (Ники Сегнит)(1).pdf: 373, 646</x:v>
      </x:c>
    </x:row>
    <x:row r="273" ht="64" customHeight="1">
      <x:c r="A273" s="28" t="str">
        <x:v>NCT-0353</x:v>
      </x:c>
      <x:c r="B273" s="28" t="str">
        <x:v>миндаль</x:v>
      </x:c>
      <x:c r="C273" s="28" t="str">
        <x:v>мускатный орех</x:v>
      </x:c>
      <x:c r="D273" s="28" t="str">
        <x:v>Орехи и семена</x:v>
      </x:c>
      <x:c r="E273" s="28" t="str">
        <x:v>пересечение ароматических семейств, жареная химия и реакции Майяра</x:v>
      </x:c>
      <x:c r="F273" s="28" t="str">
        <x:v>Миндаль имеет профиль «ореховый, сладкий, марципановый, слегка зелёный; после обжарки — карамельный и жареный».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механизм не следует сводить к одной общей молекуле.</x:v>
      </x:c>
      <x:c r="G27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73" s="28" t="str">
        <x:v>аллерген; быстро прогоркает после помола; горький миндаль и ядра косточковых не взаимозаменяемы</x:v>
      </x:c>
      <x:c r="I273" s="28" t="str">
        <x:v>пралине, паста, выпечка, гарнир, соус, молочный или коктейльный компонент с мускатный орех</x:v>
      </x:c>
      <x:c r="J273" s="28" t="str">
        <x:v>Гипотеза / практическая</x:v>
      </x:c>
      <x:c r="K273" s="28" t="str">
        <x:v>Таблица сочетания(1).pdf</x:v>
      </x:c>
      <x:c r="L273" s="28" t="str">
        <x:v>Таблица сочетания(1).pdf: 1</x:v>
      </x:c>
    </x:row>
    <x:row r="274" ht="64" customHeight="1">
      <x:c r="A274" s="28" t="str">
        <x:v>NCT-0354</x:v>
      </x:c>
      <x:c r="B274" s="28" t="str">
        <x:v>миндаль</x:v>
      </x:c>
      <x:c r="C274" s="28" t="str">
        <x:v>мёд</x:v>
      </x:c>
      <x:c r="D274" s="28" t="str">
        <x:v>Выпечка, сахара и десерты</x:v>
      </x:c>
      <x:c r="E274" s="28" t="str">
        <x:v>жареная химия и реакции Майяра</x:v>
      </x:c>
      <x:c r="F274" s="28" t="str">
        <x:v>Миндаль имеет профиль «ореховый, сладкий, марципановый, слегка зелёный; после обжарки — карамельный и жареный». Партнёр «мёд» относится к группе «Выпечка, сахара и десерты» и даёт медовый, цветочный.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7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74" s="28" t="str">
        <x:v>аллерген; быстро прогоркает после помола; горький миндаль и ядра косточковых не взаимозаменяемы</x:v>
      </x:c>
      <x:c r="I274" s="28" t="str">
        <x:v>пралине, паста, выпечка, гарнир, соус, молочный или коктейльный компонент с мёд</x:v>
      </x:c>
      <x:c r="J274" s="28" t="str">
        <x:v>Гипотеза / практическая</x:v>
      </x:c>
      <x:c r="K274" s="28" t="str">
        <x:v>Таблица сочетания(1).pdf</x:v>
      </x:c>
      <x:c r="L274" s="28" t="str">
        <x:v>Таблица сочетания(1).pdf: 1</x:v>
      </x:c>
    </x:row>
    <x:row r="275" ht="64" customHeight="1">
      <x:c r="A275" s="28" t="str">
        <x:v>NCT-0355</x:v>
      </x:c>
      <x:c r="B275" s="28" t="str">
        <x:v>миндаль</x:v>
      </x:c>
      <x:c r="C275" s="28" t="str">
        <x:v>нектарин</x:v>
      </x:c>
      <x:c r="D275" s="28" t="str">
        <x:v>Прочее</x:v>
      </x:c>
      <x:c r="E275" s="28" t="str">
        <x:v>сенсорная комплементарность</x:v>
      </x:c>
      <x:c r="F275" s="28" t="str">
        <x:v>Миндаль имеет профиль «ореховый, сладкий, марципановый, слегка зелёный; после обжарки — карамельный и жареный». Партнёр «нектарин»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7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75" s="28" t="str">
        <x:v>аллерген; быстро прогоркает после помола; горький миндаль и ядра косточковых не взаимозаменяемы</x:v>
      </x:c>
      <x:c r="I275" s="28" t="str">
        <x:v>пралине, паста, выпечка, гарнир, соус, молочный или коктейльный компонент с нектарин</x:v>
      </x:c>
      <x:c r="J275" s="28" t="str">
        <x:v>Гипотеза / практическая</x:v>
      </x:c>
      <x:c r="K275" s="28" t="str">
        <x:v>Таблица сочетания(1).pdf</x:v>
      </x:c>
      <x:c r="L275" s="28" t="str">
        <x:v>Таблица сочетания(1).pdf: 14</x:v>
      </x:c>
    </x:row>
    <x:row r="276" ht="64" customHeight="1">
      <x:c r="A276" s="28" t="str">
        <x:v>NCT-0356</x:v>
      </x:c>
      <x:c r="B276" s="28" t="str">
        <x:v>миндаль</x:v>
      </x:c>
      <x:c r="C276" s="28" t="str">
        <x:v>оливки</x:v>
      </x:c>
      <x:c r="D276" s="28" t="str">
        <x:v>Прочее</x:v>
      </x:c>
      <x:c r="E276" s="28" t="str">
        <x:v>сенсорная комплементарность</x:v>
      </x:c>
      <x:c r="F276" s="28" t="str">
        <x:v>Миндаль имеет профиль «ореховый, сладкий, марципановый, слегка зелёный; после обжарки — карамельный и жареный». Партнёр «оливки»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7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76" s="28" t="str">
        <x:v>аллерген; быстро прогоркает после помола; горький миндаль и ядра косточковых не взаимозаменяемы</x:v>
      </x:c>
      <x:c r="I276" s="28" t="str">
        <x:v>пралине, паста, выпечка, гарнир, соус, молочный или коктейльный компонент с оливки</x:v>
      </x:c>
      <x:c r="J276" s="28" t="str">
        <x:v>Средняя</x:v>
      </x:c>
      <x:c r="K276" s="28" t="str">
        <x:v>Тезариус вкусов (Ники Сегнит)(1).pdf</x:v>
      </x:c>
      <x:c r="L276" s="28" t="str">
        <x:v>Тезариус вкусов (Ники Сегнит)(1).pdf: 468, 646</x:v>
      </x:c>
    </x:row>
    <x:row r="277" ht="64" customHeight="1">
      <x:c r="A277" s="28" t="str">
        <x:v>NCT-0357</x:v>
      </x:c>
      <x:c r="B277" s="28" t="str">
        <x:v>миндаль</x:v>
      </x:c>
      <x:c r="C277" s="28" t="str">
        <x:v>оливковое масло</x:v>
      </x:c>
      <x:c r="D277" s="28" t="str">
        <x:v>Масла и жиры</x:v>
      </x:c>
      <x:c r="E277" s="28" t="str">
        <x:v>сенсорная комплементарность</x:v>
      </x:c>
      <x:c r="F277" s="28" t="str">
        <x:v>Миндаль имеет профиль «ореховый, сладкий, марципановый, слегка зелёный; после обжарки — карамельный и жареный». Партнёр «оливковое масло» относится к группе «Масла и жиры» и даёт жирный и мягкий.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7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77" s="28" t="str">
        <x:v>аллерген; быстро прогоркает после помола; горький миндаль и ядра косточковых не взаимозаменяемы</x:v>
      </x:c>
      <x:c r="I277" s="28" t="str">
        <x:v>пралине, паста, выпечка, гарнир, соус, молочный или коктейльный компонент с оливковое масло</x:v>
      </x:c>
      <x:c r="J277" s="28" t="str">
        <x:v>Средняя</x:v>
      </x:c>
      <x:c r="K277" s="28" t="str">
        <x:v>The Art &amp; Science of Foodpairing.pdf</x:v>
      </x:c>
      <x:c r="L277" s="28" t="str">
        <x:v>The Art &amp; Science of Foodpairing.pdf: 172</x:v>
      </x:c>
    </x:row>
    <x:row r="278" ht="64" customHeight="1">
      <x:c r="A278" s="28" t="str">
        <x:v>NCT-0358</x:v>
      </x:c>
      <x:c r="B278" s="28" t="str">
        <x:v>миндаль</x:v>
      </x:c>
      <x:c r="C278" s="28" t="str">
        <x:v>пармезан</x:v>
      </x:c>
      <x:c r="D278" s="28" t="str">
        <x:v>Прочее</x:v>
      </x:c>
      <x:c r="E278" s="28" t="str">
        <x:v>сенсорная комплементарность</x:v>
      </x:c>
      <x:c r="F278" s="28" t="str">
        <x:v>Миндаль имеет профиль «ореховый, сладкий, марципановый, слегка зелёный; после обжарки — карамельный и жареный». Партнёр «пармезан»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7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78" s="28" t="str">
        <x:v>аллерген; быстро прогоркает после помола; горький миндаль и ядра косточковых не взаимозаменяемы</x:v>
      </x:c>
      <x:c r="I278" s="28" t="str">
        <x:v>пралине, паста, выпечка, гарнир, соус, молочный или коктейльный компонент с пармезан</x:v>
      </x:c>
      <x:c r="J278" s="28" t="str">
        <x:v>Средняя</x:v>
      </x:c>
      <x:c r="K278" s="28" t="str">
        <x:v>The Art &amp; Science of Foodpairing.pdf</x:v>
      </x:c>
      <x:c r="L278" s="28" t="str">
        <x:v>The Art &amp; Science of Foodpairing.pdf: 282</x:v>
      </x:c>
    </x:row>
    <x:row r="279" ht="64" customHeight="1">
      <x:c r="A279" s="28" t="str">
        <x:v>NCT-0359</x:v>
      </x:c>
      <x:c r="B279" s="28" t="str">
        <x:v>миндаль</x:v>
      </x:c>
      <x:c r="C279" s="28" t="str">
        <x:v>перец</x:v>
      </x:c>
      <x:c r="D279" s="28" t="str">
        <x:v>Специи</x:v>
      </x:c>
      <x:c r="E279" s="28" t="str">
        <x:v>сенсорная комплементарность</x:v>
      </x:c>
      <x:c r="F279" s="28" t="str">
        <x:v>Миндаль имеет профиль «ореховый, сладкий, марципановый, слегка зелёный; после обжарки — карамельный и жареный». Партнёр «перец»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7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79" s="28" t="str">
        <x:v>аллерген; быстро прогоркает после помола; горький миндаль и ядра косточковых не взаимозаменяемы</x:v>
      </x:c>
      <x:c r="I279" s="28" t="str">
        <x:v>пралине, паста, выпечка, гарнир, соус, молочный или коктейльный компонент с перец</x:v>
      </x:c>
      <x:c r="J279" s="28" t="str">
        <x:v>Гипотеза / практическая</x:v>
      </x:c>
      <x:c r="K279" s="28" t="str">
        <x:v>Таблица сочетания(1).pdf</x:v>
      </x:c>
      <x:c r="L279" s="28" t="str">
        <x:v>Таблица сочетания(1).pdf: 1</x:v>
      </x:c>
    </x:row>
    <x:row r="280" ht="64" customHeight="1">
      <x:c r="A280" s="28" t="str">
        <x:v>NCT-0360</x:v>
      </x:c>
      <x:c r="B280" s="28" t="str">
        <x:v>миндаль</x:v>
      </x:c>
      <x:c r="C280" s="28" t="str">
        <x:v>персик</x:v>
      </x:c>
      <x:c r="D280" s="28" t="str">
        <x:v>Фрукты и ягоды</x:v>
      </x:c>
      <x:c r="E280" s="28" t="str">
        <x:v>контраст кислоты и жирной/горькой матрицы</x:v>
      </x:c>
      <x:c r="F280" s="28" t="str">
        <x:v>Миндаль имеет профиль «ореховый, сладкий, марципановый, слегка зелёный; после обжарки — карамельный и жареный». Партнёр «персик» относится к группе «Фрукты и ягоды» и даёт лактонный, фруктовый, цветочный.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8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80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80" s="28" t="str">
        <x:v>пралине, паста, выпечка, гарнир, соус, молочный или коктейльный компонент с персик</x:v>
      </x:c>
      <x:c r="J280" s="28" t="str">
        <x:v>Высокая</x:v>
      </x:c>
      <x:c r="K280" s="28" t="str">
        <x:v>Таблица сочетания(1).pdf | Тезариус вкусов (Ники Сегнит)(1).pdf</x:v>
      </x:c>
      <x:c r="L280" s="28" t="str">
        <x:v>Таблица сочетания(1).pdf: 1, 15; Тезариус вкусов (Ники Сегнит)(1).pdf: 646, 751</x:v>
      </x:c>
    </x:row>
    <x:row r="281" ht="64" customHeight="1">
      <x:c r="A281" s="28" t="str">
        <x:v>NCT-0361</x:v>
      </x:c>
      <x:c r="B281" s="28" t="str">
        <x:v>миндаль</x:v>
      </x:c>
      <x:c r="C281" s="28" t="str">
        <x:v>петрушка</x:v>
      </x:c>
      <x:c r="D281" s="28" t="str">
        <x:v>Травы, цветы и листья</x:v>
      </x:c>
      <x:c r="E281" s="28" t="str">
        <x:v>сенсорная комплементарность</x:v>
      </x:c>
      <x:c r="F281" s="28" t="str">
        <x:v>Миндаль имеет профиль «ореховый, сладкий, марципановый, слегка зелёный; после обжарки — карамельный и жареный». Партнёр «петрушка»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8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81" s="28" t="str">
        <x:v>аллерген; быстро прогоркает после помола; горький миндаль и ядра косточковых не взаимозаменяемы</x:v>
      </x:c>
      <x:c r="I281" s="28" t="str">
        <x:v>пралине, паста, выпечка, гарнир, соус, молочный или коктейльный компонент с петрушка</x:v>
      </x:c>
      <x:c r="J281" s="28" t="str">
        <x:v>Гипотеза / практическая</x:v>
      </x:c>
      <x:c r="K281" s="28" t="str">
        <x:v>Таблица сочетания(1).pdf</x:v>
      </x:c>
      <x:c r="L281" s="28" t="str">
        <x:v>Таблица сочетания(1).pdf: 1</x:v>
      </x:c>
    </x:row>
    <x:row r="282" ht="64" customHeight="1">
      <x:c r="A282" s="28" t="str">
        <x:v>NCT-0362</x:v>
      </x:c>
      <x:c r="B282" s="28" t="str">
        <x:v>миндаль</x:v>
      </x:c>
      <x:c r="C282" s="28" t="str">
        <x:v>питахайя (dragon fruit)</x:v>
      </x:c>
      <x:c r="D282" s="28" t="str">
        <x:v>Прочее</x:v>
      </x:c>
      <x:c r="E282" s="28" t="str">
        <x:v>сенсорная комплементарность</x:v>
      </x:c>
      <x:c r="F282" s="28" t="str">
        <x:v>Миндаль имеет профиль «ореховый, сладкий, марципановый, слегка зелёный; после обжарки — карамельный и жареный». Партнёр «питахайя (dragon fruit)»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8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82" s="28" t="str">
        <x:v>аллерген; быстро прогоркает после помола; горький миндаль и ядра косточковых не взаимозаменяемы</x:v>
      </x:c>
      <x:c r="I282" s="28" t="str">
        <x:v>пралине, паста, выпечка, гарнир, соус, молочный или коктейльный компонент с питахайя (dragon fruit)</x:v>
      </x:c>
      <x:c r="J282" s="28" t="str">
        <x:v>Гипотеза / практическая</x:v>
      </x:c>
      <x:c r="K282" s="28" t="str">
        <x:v>Таблица сочетания(1).pdf</x:v>
      </x:c>
      <x:c r="L282" s="28" t="str">
        <x:v>Таблица сочетания(1).pdf: 7</x:v>
      </x:c>
    </x:row>
    <x:row r="283" ht="64" customHeight="1">
      <x:c r="A283" s="28" t="str">
        <x:v>NCT-0363</x:v>
      </x:c>
      <x:c r="B283" s="28" t="str">
        <x:v>миндаль</x:v>
      </x:c>
      <x:c r="C283" s="28" t="str">
        <x:v>ревень</x:v>
      </x:c>
      <x:c r="D283" s="28" t="str">
        <x:v>Фрукты и ягоды</x:v>
      </x:c>
      <x:c r="E283" s="28" t="str">
        <x:v>контраст кислоты и жирной/горькой матрицы</x:v>
      </x:c>
      <x:c r="F283" s="28" t="str">
        <x:v>Миндаль имеет профиль «ореховый, сладкий, марципановый, слегка зелёный; после обжарки — карамельный и жареный». Партнёр «ревень»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8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83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83" s="28" t="str">
        <x:v>пралине, паста, выпечка, гарнир, соус, молочный или коктейльный компонент с ревень</x:v>
      </x:c>
      <x:c r="J283" s="28" t="str">
        <x:v>Средняя</x:v>
      </x:c>
      <x:c r="K283" s="28" t="str">
        <x:v>Тезариус вкусов (Ники Сегнит)(1).pdf</x:v>
      </x:c>
      <x:c r="L283" s="28" t="str">
        <x:v>Тезариус вкусов (Ники Сегнит)(1).pdf: 646, 674</x:v>
      </x:c>
    </x:row>
    <x:row r="284" ht="64" customHeight="1">
      <x:c r="A284" s="28" t="str">
        <x:v>NCT-0364</x:v>
      </x:c>
      <x:c r="B284" s="28" t="str">
        <x:v>миндаль</x:v>
      </x:c>
      <x:c r="C284" s="28" t="str">
        <x:v>роза</x:v>
      </x:c>
      <x:c r="D284" s="28" t="str">
        <x:v>Травы, цветы и листья</x:v>
      </x:c>
      <x:c r="E284" s="28" t="str">
        <x:v>сенсорная комплементарность</x:v>
      </x:c>
      <x:c r="F284" s="28" t="str">
        <x:v>Миндаль имеет профиль «ореховый, сладкий, марципановый, слегка зелёный; после обжарки — карамельный и жареный». Партнёр «роза» относится к группе «Травы, цветы и листья» и даёт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8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84" s="28" t="str">
        <x:v>аллерген; быстро прогоркает после помола; горький миндаль и ядра косточковых не взаимозаменяемы</x:v>
      </x:c>
      <x:c r="I284" s="28" t="str">
        <x:v>пралине, паста, выпечка, гарнир, соус, молочный или коктейльный компонент с роза</x:v>
      </x:c>
      <x:c r="J284" s="28" t="str">
        <x:v>Средняя</x:v>
      </x:c>
      <x:c r="K284" s="28" t="str">
        <x:v>Тезариус вкусов (Ники Сегнит)(1).pdf</x:v>
      </x:c>
      <x:c r="L284" s="28" t="str">
        <x:v>Тезариус вкусов (Ники Сегнит)(1).pdf: 647, 900</x:v>
      </x:c>
    </x:row>
    <x:row r="285" ht="64" customHeight="1">
      <x:c r="A285" s="28" t="str">
        <x:v>NCT-0365</x:v>
      </x:c>
      <x:c r="B285" s="28" t="str">
        <x:v>миндаль</x:v>
      </x:c>
      <x:c r="C285" s="28" t="str">
        <x:v>розмарин</x:v>
      </x:c>
      <x:c r="D285" s="28" t="str">
        <x:v>Травы, цветы и листья</x:v>
      </x:c>
      <x:c r="E285" s="28" t="str">
        <x:v>сенсорная комплементарность</x:v>
      </x:c>
      <x:c r="F285" s="28" t="str">
        <x:v>Миндаль имеет профиль «ореховый, сладкий, марципановый, слегка зелёный; после обжарки — карамельный и жареный». Партнёр «розмарин»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8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85" s="28" t="str">
        <x:v>аллерген; быстро прогоркает после помола; горький миндаль и ядра косточковых не взаимозаменяемы</x:v>
      </x:c>
      <x:c r="I285" s="28" t="str">
        <x:v>пралине, паста, выпечка, гарнир, соус, молочный или коктейльный компонент с розмарин</x:v>
      </x:c>
      <x:c r="J285" s="28" t="str">
        <x:v>Средняя</x:v>
      </x:c>
      <x:c r="K285" s="28" t="str">
        <x:v>Тезариус вкусов (Ники Сегнит)(1).pdf</x:v>
      </x:c>
      <x:c r="L285" s="28" t="str">
        <x:v>Тезариус вкусов (Ники Сегнит)(1).pdf: 647, 838</x:v>
      </x:c>
    </x:row>
    <x:row r="286" ht="64" customHeight="1">
      <x:c r="A286" s="28" t="str">
        <x:v>NCT-0366</x:v>
      </x:c>
      <x:c r="B286" s="28" t="str">
        <x:v>миндаль</x:v>
      </x:c>
      <x:c r="C286" s="28" t="str">
        <x:v>ромашка</x:v>
      </x:c>
      <x:c r="D286" s="28" t="str">
        <x:v>Алкогольные напитки</x:v>
      </x:c>
      <x:c r="E286" s="28" t="str">
        <x:v>сенсорная комплементарность</x:v>
      </x:c>
      <x:c r="F286" s="28" t="str">
        <x:v>Миндаль имеет профиль «ореховый, сладкий, марципановый, слегка зелёный; после обжарки — карамельный и жареный». Партнёр «ромашка» относится к группе «Алкогольные напитки» и даёт спиртовой, фруктовый или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8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86" s="28" t="str">
        <x:v>аллерген; быстро прогоркает после помола; горький миндаль и ядра косточковых не взаимозаменяемы</x:v>
      </x:c>
      <x:c r="I286" s="28" t="str">
        <x:v>пралине, паста, выпечка, гарнир, соус, молочный или коктейльный компонент с ромашка</x:v>
      </x:c>
      <x:c r="J286" s="28" t="str">
        <x:v>Гипотеза / практическая</x:v>
      </x:c>
      <x:c r="K286" s="28" t="str">
        <x:v>Таблица сочетания(1).pdf</x:v>
      </x:c>
      <x:c r="L286" s="28" t="str">
        <x:v>Таблица сочетания(1).pdf: 4</x:v>
      </x:c>
    </x:row>
    <x:row r="287" ht="64" customHeight="1">
      <x:c r="A287" s="28" t="str">
        <x:v>NCT-0367</x:v>
      </x:c>
      <x:c r="B287" s="28" t="str">
        <x:v>миндаль</x:v>
      </x:c>
      <x:c r="C287" s="28" t="str">
        <x:v>семена нигеллы</x:v>
      </x:c>
      <x:c r="D287" s="28" t="str">
        <x:v>Прочее</x:v>
      </x:c>
      <x:c r="E287" s="28" t="str">
        <x:v>сенсорная комплементарность</x:v>
      </x:c>
      <x:c r="F287" s="28" t="str">
        <x:v>Миндаль имеет профиль «ореховый, сладкий, марципановый, слегка зелёный; после обжарки — карамельный и жареный». Партнёр «семена нигеллы»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8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87" s="28" t="str">
        <x:v>аллерген; быстро прогоркает после помола; горький миндаль и ядра косточковых не взаимозаменяемы</x:v>
      </x:c>
      <x:c r="I287" s="28" t="str">
        <x:v>пралине, паста, выпечка, гарнир, соус, молочный или коктейльный компонент с семена нигеллы</x:v>
      </x:c>
      <x:c r="J287" s="28" t="str">
        <x:v>Высокая</x:v>
      </x:c>
      <x:c r="K287" s="28" t="str">
        <x:v>The Art &amp; Science of Foodpairing.pdf</x:v>
      </x:c>
      <x:c r="L287" s="28" t="str">
        <x:v>The Art &amp; Science of Foodpairing.pdf: 346</x:v>
      </x:c>
    </x:row>
    <x:row r="288" ht="64" customHeight="1">
      <x:c r="A288" s="28" t="str">
        <x:v>NCT-0368</x:v>
      </x:c>
      <x:c r="B288" s="28" t="str">
        <x:v>миндаль</x:v>
      </x:c>
      <x:c r="C288" s="28" t="str">
        <x:v>слива</x:v>
      </x:c>
      <x:c r="D288" s="28" t="str">
        <x:v>Фрукты и ягоды</x:v>
      </x:c>
      <x:c r="E288" s="28" t="str">
        <x:v>контраст кислоты и жирной/горькой матрицы</x:v>
      </x:c>
      <x:c r="F288" s="28" t="str">
        <x:v>Миндаль имеет профиль «ореховый, сладкий, марципановый, слегка зелёный; после обжарки — карамельный и жареный». Партнёр «слива»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8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88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288" s="28" t="str">
        <x:v>пралине, паста, выпечка, гарнир, соус, молочный или коктейльный компонент с слива</x:v>
      </x:c>
      <x:c r="J288" s="28" t="str">
        <x:v>Гипотеза / практическая</x:v>
      </x:c>
      <x:c r="K288" s="28" t="str">
        <x:v>Таблица сочетания(1).pdf</x:v>
      </x:c>
      <x:c r="L288" s="28" t="str">
        <x:v>Таблица сочетания(1).pdf: 1, 17</x:v>
      </x:c>
    </x:row>
    <x:row r="289" ht="64" customHeight="1">
      <x:c r="A289" s="28" t="str">
        <x:v>NCT-0369</x:v>
      </x:c>
      <x:c r="B289" s="28" t="str">
        <x:v>миндаль</x:v>
      </x:c>
      <x:c r="C289" s="28" t="str">
        <x:v>см. также чеснок</x:v>
      </x:c>
      <x:c r="D289" s="28" t="str">
        <x:v>Овощи, бобовые и грибы</x:v>
      </x:c>
      <x:c r="E289" s="28" t="str">
        <x:v>сенсорная комплементарность</x:v>
      </x:c>
      <x:c r="F289" s="28" t="str">
        <x:v>Миндаль имеет профиль «ореховый, сладкий, марципановый, слегка зелёный; после обжарки — карамельный и жареный». Партнёр «см. также чеснок»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8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89" s="28" t="str">
        <x:v>аллерген; быстро прогоркает после помола; горький миндаль и ядра косточковых не взаимозаменяемы</x:v>
      </x:c>
      <x:c r="I289" s="28" t="str">
        <x:v>пралине, паста, выпечка, гарнир, соус, молочный или коктейльный компонент с см. также чеснок</x:v>
      </x:c>
      <x:c r="J289" s="28" t="str">
        <x:v>Средняя</x:v>
      </x:c>
      <x:c r="K289" s="28" t="str">
        <x:v>Тезариус вкусов (Ники Сегнит)(1).pdf</x:v>
      </x:c>
      <x:c r="L289" s="28" t="str">
        <x:v>Тезариус вкусов (Ники Сегнит)(1).pdf: 668</x:v>
      </x:c>
    </x:row>
    <x:row r="290" ht="64" customHeight="1">
      <x:c r="A290" s="28" t="str">
        <x:v>NCT-0370</x:v>
      </x:c>
      <x:c r="B290" s="28" t="str">
        <x:v>миндаль</x:v>
      </x:c>
      <x:c r="C290" s="28" t="str">
        <x:v>спаржа</x:v>
      </x:c>
      <x:c r="D290" s="28" t="str">
        <x:v>Овощи, бобовые и грибы</x:v>
      </x:c>
      <x:c r="E290" s="28" t="str">
        <x:v>сенсорная комплементарность</x:v>
      </x:c>
      <x:c r="F290" s="28" t="str">
        <x:v>Миндаль имеет профиль «ореховый, сладкий, марципановый, слегка зелёный; после обжарки — карамельный и жареный». Партнёр «спаржа»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9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90" s="28" t="str">
        <x:v>аллерген; быстро прогоркает после помола; горький миндаль и ядра косточковых не взаимозаменяемы</x:v>
      </x:c>
      <x:c r="I290" s="28" t="str">
        <x:v>пралине, паста, выпечка, гарнир, соус, молочный или коктейльный компонент с спаржа</x:v>
      </x:c>
      <x:c r="J290" s="28" t="str">
        <x:v>Средняя</x:v>
      </x:c>
      <x:c r="K290" s="28" t="str">
        <x:v>Тезариус вкусов (Ники Сегнит)(1).pdf</x:v>
      </x:c>
      <x:c r="L290" s="28" t="str">
        <x:v>Тезариус вкусов (Ники Сегнит)(1).pdf: 347, 648</x:v>
      </x:c>
    </x:row>
    <x:row r="291" ht="64" customHeight="1">
      <x:c r="A291" s="28" t="str">
        <x:v>NCT-0371</x:v>
      </x:c>
      <x:c r="B291" s="28" t="str">
        <x:v>миндаль</x:v>
      </x:c>
      <x:c r="C291" s="28" t="str">
        <x:v>твердый сыр</x:v>
      </x:c>
      <x:c r="D291" s="28" t="str">
        <x:v>Молочные продукты и сыры</x:v>
      </x:c>
      <x:c r="E291" s="28" t="str">
        <x:v>жировая экстракция и связывание полифенолов белком</x:v>
      </x:c>
      <x:c r="F291" s="28" t="str">
        <x:v>Миндаль имеет профиль «ореховый, сладкий, марципановый, слегка зелёный; после обжарки — карамельный и жареный». Партнёр «твердый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9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91" s="28" t="str">
        <x:v>аллерген; быстро прогоркает после помола; горький миндаль и ядра косточковых не взаимозаменяемы; жир способен приглушить тонкую ароматику; белок связывает полифенолы</x:v>
      </x:c>
      <x:c r="I291" s="28" t="str">
        <x:v>пралине, паста, выпечка, гарнир, соус, молочный или коктейльный компонент с твердый сыр</x:v>
      </x:c>
      <x:c r="J291" s="28" t="str">
        <x:v>Средняя</x:v>
      </x:c>
      <x:c r="K291" s="28" t="str">
        <x:v>Тезариус вкусов (Ники Сегнит)(1).pdf</x:v>
      </x:c>
      <x:c r="L291" s="28" t="str">
        <x:v>Тезариус вкусов (Ники Сегнит)(1).pdf: 174, 648</x:v>
      </x:c>
    </x:row>
    <x:row r="292" ht="64" customHeight="1">
      <x:c r="A292" s="28" t="str">
        <x:v>NCT-0372</x:v>
      </x:c>
      <x:c r="B292" s="28" t="str">
        <x:v>миндаль</x:v>
      </x:c>
      <x:c r="C292" s="28" t="str">
        <x:v>текила</x:v>
      </x:c>
      <x:c r="D292" s="28" t="str">
        <x:v>Прочее</x:v>
      </x:c>
      <x:c r="E292" s="28" t="str">
        <x:v>сенсорная комплементарность</x:v>
      </x:c>
      <x:c r="F292" s="28" t="str">
        <x:v>Миндаль имеет профиль «ореховый, сладкий, марципановый, слегка зелёный; после обжарки — карамельный и жареный». Партнёр «текила»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9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92" s="28" t="str">
        <x:v>аллерген; быстро прогоркает после помола; горький миндаль и ядра косточковых не взаимозаменяемы</x:v>
      </x:c>
      <x:c r="I292" s="28" t="str">
        <x:v>пралине, паста, выпечка, гарнир, соус, молочный или коктейльный компонент с текила</x:v>
      </x:c>
      <x:c r="J292" s="28" t="str">
        <x:v>Средняя</x:v>
      </x:c>
      <x:c r="K292" s="28" t="str">
        <x:v>The Art &amp; Science of Foodpairing.pdf</x:v>
      </x:c>
      <x:c r="L292" s="28" t="str">
        <x:v>The Art &amp; Science of Foodpairing.pdf: 82</x:v>
      </x:c>
    </x:row>
    <x:row r="293" ht="64" customHeight="1">
      <x:c r="A293" s="28" t="str">
        <x:v>NCT-0373</x:v>
      </x:c>
      <x:c r="B293" s="28" t="str">
        <x:v>миндаль</x:v>
      </x:c>
      <x:c r="C293" s="28" t="str">
        <x:v>тыква баттернат</x:v>
      </x:c>
      <x:c r="D293" s="28" t="str">
        <x:v>Овощи, бобовые и грибы</x:v>
      </x:c>
      <x:c r="E293" s="28" t="str">
        <x:v>сенсорная комплементарность</x:v>
      </x:c>
      <x:c r="F293" s="28" t="str">
        <x:v>Миндаль имеет профиль «ореховый, сладкий, марципановый, слегка зелёный; после обжарки — карамельный и жареный». Партнёр «тыква баттернат»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9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93" s="28" t="str">
        <x:v>аллерген; быстро прогоркает после помола; горький миндаль и ядра косточковых не взаимозаменяемы</x:v>
      </x:c>
      <x:c r="I293" s="28" t="str">
        <x:v>пралине, паста, выпечка, гарнир, соус, молочный или коктейльный компонент с тыква баттернат</x:v>
      </x:c>
      <x:c r="J293" s="28" t="str">
        <x:v>Средняя</x:v>
      </x:c>
      <x:c r="K293" s="28" t="str">
        <x:v>Тезариус вкусов (Ники Сегнит)(1).pdf</x:v>
      </x:c>
      <x:c r="L293" s="28" t="str">
        <x:v>Тезариус вкусов (Ники Сегнит)(1).pdf: 611, 648</x:v>
      </x:c>
    </x:row>
    <x:row r="294" ht="64" customHeight="1">
      <x:c r="A294" s="28" t="str">
        <x:v>NCT-0374</x:v>
      </x:c>
      <x:c r="B294" s="28" t="str">
        <x:v>миндаль</x:v>
      </x:c>
      <x:c r="C294" s="28" t="str">
        <x:v>фиалка</x:v>
      </x:c>
      <x:c r="D294" s="28" t="str">
        <x:v>Прочее</x:v>
      </x:c>
      <x:c r="E294" s="28" t="str">
        <x:v>сенсорная комплементарность</x:v>
      </x:c>
      <x:c r="F294" s="28" t="str">
        <x:v>Миндаль имеет профиль «ореховый, сладкий, марципановый, слегка зелёный; после обжарки — карамельный и жареный». Партнёр «фиалка»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9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94" s="28" t="str">
        <x:v>аллерген; быстро прогоркает после помола; горький миндаль и ядра косточковых не взаимозаменяемы</x:v>
      </x:c>
      <x:c r="I294" s="28" t="str">
        <x:v>пралине, паста, выпечка, гарнир, соус, молочный или коктейльный компонент с фиалка</x:v>
      </x:c>
      <x:c r="J294" s="28" t="str">
        <x:v>Гипотеза / практическая</x:v>
      </x:c>
      <x:c r="K294" s="28" t="str">
        <x:v>Таблица сочетания(1).pdf</x:v>
      </x:c>
      <x:c r="L294" s="28" t="str">
        <x:v>Таблица сочетания(1).pdf: 21</x:v>
      </x:c>
    </x:row>
    <x:row r="295" ht="64" customHeight="1">
      <x:c r="A295" s="28" t="str">
        <x:v>NCT-0375</x:v>
      </x:c>
      <x:c r="B295" s="28" t="str">
        <x:v>миндаль</x:v>
      </x:c>
      <x:c r="C295" s="28" t="str">
        <x:v>финик</x:v>
      </x:c>
      <x:c r="D295" s="28" t="str">
        <x:v>Прочее</x:v>
      </x:c>
      <x:c r="E295" s="28" t="str">
        <x:v>сенсорная комплементарность</x:v>
      </x:c>
      <x:c r="F295" s="28" t="str">
        <x:v>Миндаль имеет профиль «ореховый, сладкий, марципановый, слегка зелёный; после обжарки — карамельный и жареный». Партнёр «финик»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9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95" s="28" t="str">
        <x:v>аллерген; быстро прогоркает после помола; горький миндаль и ядра косточковых не взаимозаменяемы</x:v>
      </x:c>
      <x:c r="I295" s="28" t="str">
        <x:v>пралине, паста, выпечка, гарнир, соус, молочный или коктейльный компонент с финик</x:v>
      </x:c>
      <x:c r="J295" s="28" t="str">
        <x:v>Гипотеза / практическая</x:v>
      </x:c>
      <x:c r="K295" s="28" t="str">
        <x:v>Таблица сочетания(1).pdf</x:v>
      </x:c>
      <x:c r="L295" s="28" t="str">
        <x:v>Таблица сочетания(1).pdf: 7</x:v>
      </x:c>
    </x:row>
    <x:row r="296" ht="64" customHeight="1">
      <x:c r="A296" s="28" t="str">
        <x:v>NCT-0376</x:v>
      </x:c>
      <x:c r="B296" s="28" t="str">
        <x:v>миндаль</x:v>
      </x:c>
      <x:c r="C296" s="28" t="str">
        <x:v>фундук</x:v>
      </x:c>
      <x:c r="D296" s="28" t="str">
        <x:v>Орехи и семена</x:v>
      </x:c>
      <x:c r="E296" s="28" t="str">
        <x:v>общие ароматические соединения, пересечение ароматических семейств, жареная химия и реакции Майяра</x:v>
      </x:c>
      <x:c r="F296" s="28" t="str">
        <x:v>Миндаль имеет профиль «ореховый, сладкий, марципановый, слегка зелёный; после обжарки — карамельный и жареный». Партнёр «фундук» относится к группе «Орехи и семена» и даёт ореховый, жареный, сладкий, землистый и какаоподобный.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ореховый; пиразины, фураны.</x:v>
      </x:c>
      <x:c r="G29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96" s="28" t="str">
        <x:v>аллерген; быстро прогоркает после помола; горький миндаль и ядра косточковых не взаимозаменяемы</x:v>
      </x:c>
      <x:c r="I296" s="28" t="str">
        <x:v>пралине, паста, выпечка, гарнир, соус, молочный или коктейльный компонент с фундук</x:v>
      </x:c>
      <x:c r="J296" s="28" t="str">
        <x:v>Средняя</x:v>
      </x:c>
      <x:c r="K296" s="28" t="str">
        <x:v>Тезариус вкусов (Ники Сегнит)(1).pdf</x:v>
      </x:c>
      <x:c r="L296" s="28" t="str">
        <x:v>Тезариус вкусов (Ники Сегнит)(1).pdf: 635, 648</x:v>
      </x:c>
    </x:row>
    <x:row r="297" ht="64" customHeight="1">
      <x:c r="A297" s="28" t="str">
        <x:v>NCT-0377</x:v>
      </x:c>
      <x:c r="B297" s="28" t="str">
        <x:v>миндаль</x:v>
      </x:c>
      <x:c r="C297" s="28" t="str">
        <x:v>хурма</x:v>
      </x:c>
      <x:c r="D297" s="28" t="str">
        <x:v>Прочее</x:v>
      </x:c>
      <x:c r="E297" s="28" t="str">
        <x:v>сенсорная комплементарность</x:v>
      </x:c>
      <x:c r="F297" s="28" t="str">
        <x:v>Миндаль имеет профиль «ореховый, сладкий, марципановый, слегка зелёный; после обжарки — карамельный и жареный». Партнёр «хурма»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9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97" s="28" t="str">
        <x:v>аллерген; быстро прогоркает после помола; горький миндаль и ядра косточковых не взаимозаменяемы</x:v>
      </x:c>
      <x:c r="I297" s="28" t="str">
        <x:v>пралине, паста, выпечка, гарнир, соус, молочный или коктейльный компонент с хурма</x:v>
      </x:c>
      <x:c r="J297" s="28" t="str">
        <x:v>Гипотеза / практическая</x:v>
      </x:c>
      <x:c r="K297" s="28" t="str">
        <x:v>Таблица сочетания(1).pdf</x:v>
      </x:c>
      <x:c r="L297" s="28" t="str">
        <x:v>Таблица сочетания(1).pdf: 16</x:v>
      </x:c>
    </x:row>
    <x:row r="298" ht="64" customHeight="1">
      <x:c r="A298" s="28" t="str">
        <x:v>NCT-0378</x:v>
      </x:c>
      <x:c r="B298" s="28" t="str">
        <x:v>миндаль</x:v>
      </x:c>
      <x:c r="C298" s="28" t="str">
        <x:v>цветная капуста</x:v>
      </x:c>
      <x:c r="D298" s="28" t="str">
        <x:v>Овощи, бобовые и грибы</x:v>
      </x:c>
      <x:c r="E298" s="28" t="str">
        <x:v>сенсорная комплементарность</x:v>
      </x:c>
      <x:c r="F298" s="28" t="str">
        <x:v>Миндаль имеет профиль «ореховый, сладкий, марципановый, слегка зелёный; после обжарки — карамельный и жареный». Партнёр «цветная капуста»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9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98" s="28" t="str">
        <x:v>аллерген; быстро прогоркает после помола; горький миндаль и ядра косточковых не взаимозаменяемы</x:v>
      </x:c>
      <x:c r="I298" s="28" t="str">
        <x:v>пралине, паста, выпечка, гарнир, соус, молочный или коктейльный компонент с цветная капуста</x:v>
      </x:c>
      <x:c r="J298" s="28" t="str">
        <x:v>Средняя</x:v>
      </x:c>
      <x:c r="K298" s="28" t="str">
        <x:v>Тезариус вкусов (Ники Сегнит)(1).pdf</x:v>
      </x:c>
      <x:c r="L298" s="28" t="str">
        <x:v>Тезариус вкусов (Ники Сегнит)(1).pdf: 324, 648</x:v>
      </x:c>
    </x:row>
    <x:row r="299" ht="64" customHeight="1">
      <x:c r="A299" s="28" t="str">
        <x:v>NCT-0379</x:v>
      </x:c>
      <x:c r="B299" s="28" t="str">
        <x:v>миндаль</x:v>
      </x:c>
      <x:c r="C299" s="28" t="str">
        <x:v>цыпленок</x:v>
      </x:c>
      <x:c r="D299" s="28" t="str">
        <x:v>Прочее</x:v>
      </x:c>
      <x:c r="E299" s="28" t="str">
        <x:v>сенсорная комплементарность</x:v>
      </x:c>
      <x:c r="F299" s="28" t="str">
        <x:v>Миндаль имеет профиль «ореховый, сладкий, марципановый, слегка зелёный; после обжарки — карамельный и жареный». Партнёр «цыпленок»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29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299" s="28" t="str">
        <x:v>аллерген; быстро прогоркает после помола; горький миндаль и ядра косточковых не взаимозаменяемы</x:v>
      </x:c>
      <x:c r="I299" s="28" t="str">
        <x:v>пралине, паста, выпечка, гарнир, соус, молочный или коктейльный компонент с цыпленок</x:v>
      </x:c>
      <x:c r="J299" s="28" t="str">
        <x:v>Средняя</x:v>
      </x:c>
      <x:c r="K299" s="28" t="str">
        <x:v>Тезариус вкусов (Ники Сегнит)(1).pdf</x:v>
      </x:c>
      <x:c r="L299" s="28" t="str">
        <x:v>Тезариус вкусов (Ники Сегнит)(1).pdf: 69, 648</x:v>
      </x:c>
    </x:row>
    <x:row r="300" ht="64" customHeight="1">
      <x:c r="A300" s="28" t="str">
        <x:v>NCT-0380</x:v>
      </x:c>
      <x:c r="B300" s="28" t="str">
        <x:v>миндаль</x:v>
      </x:c>
      <x:c r="C300" s="28" t="str">
        <x:v>черная смородина</x:v>
      </x:c>
      <x:c r="D300" s="28" t="str">
        <x:v>Прочее</x:v>
      </x:c>
      <x:c r="E300" s="28" t="str">
        <x:v>сенсорная комплементарность</x:v>
      </x:c>
      <x:c r="F300" s="28" t="str">
        <x:v>Миндаль имеет профиль «ореховый, сладкий, марципановый, слегка зелёный; после обжарки — карамельный и жареный». Партнёр «черная смородина»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0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300" s="28" t="str">
        <x:v>аллерген; быстро прогоркает после помола; горький миндаль и ядра косточковых не взаимозаменяемы</x:v>
      </x:c>
      <x:c r="I300" s="28" t="str">
        <x:v>пралине, паста, выпечка, гарнир, соус, молочный или коктейльный компонент с черная смородина</x:v>
      </x:c>
      <x:c r="J300" s="28" t="str">
        <x:v>Средняя</x:v>
      </x:c>
      <x:c r="K300" s="28" t="str">
        <x:v>Тезариус вкусов (Ники Сегнит)(1).pdf</x:v>
      </x:c>
      <x:c r="L300" s="28" t="str">
        <x:v>Тезариус вкусов (Ники Сегнит)(1).pdf: 649, 877</x:v>
      </x:c>
    </x:row>
    <x:row r="301" ht="64" customHeight="1">
      <x:c r="A301" s="28" t="str">
        <x:v>NCT-0381</x:v>
      </x:c>
      <x:c r="B301" s="28" t="str">
        <x:v>миндаль</x:v>
      </x:c>
      <x:c r="C301" s="28" t="str">
        <x:v>черника</x:v>
      </x:c>
      <x:c r="D301" s="28" t="str">
        <x:v>Прочее</x:v>
      </x:c>
      <x:c r="E301" s="28" t="str">
        <x:v>сенсорная комплементарность</x:v>
      </x:c>
      <x:c r="F301" s="28" t="str">
        <x:v>Миндаль имеет профиль «ореховый, сладкий, марципановый, слегка зелёный; после обжарки — карамельный и жареный». Партнёр «черника»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0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301" s="28" t="str">
        <x:v>аллерген; быстро прогоркает после помола; горький миндаль и ядра косточковых не взаимозаменяемы</x:v>
      </x:c>
      <x:c r="I301" s="28" t="str">
        <x:v>пралине, паста, выпечка, гарнир, соус, молочный или коктейльный компонент с черника</x:v>
      </x:c>
      <x:c r="J301" s="28" t="str">
        <x:v>Средняя</x:v>
      </x:c>
      <x:c r="K301" s="28" t="str">
        <x:v>Тезариус вкусов (Ники Сегнит)(1).pdf</x:v>
      </x:c>
      <x:c r="L301" s="28" t="str">
        <x:v>Тезариус вкусов (Ники Сегнит)(1).pdf: 649, 905</x:v>
      </x:c>
    </x:row>
    <x:row r="302" ht="64" customHeight="1">
      <x:c r="A302" s="28" t="str">
        <x:v>NCT-0382</x:v>
      </x:c>
      <x:c r="B302" s="28" t="str">
        <x:v>миндаль</x:v>
      </x:c>
      <x:c r="C302" s="28" t="str">
        <x:v>чернослив</x:v>
      </x:c>
      <x:c r="D302" s="28" t="str">
        <x:v>Фрукты и ягоды</x:v>
      </x:c>
      <x:c r="E302" s="28" t="str">
        <x:v>контраст кислоты и жирной/горькой матрицы</x:v>
      </x:c>
      <x:c r="F302" s="28" t="str">
        <x:v>Миндаль имеет профиль «ореховый, сладкий, марципановый, слегка зелёный; после обжарки — карамельный и жареный». Партнёр «чернослив»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0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302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302" s="28" t="str">
        <x:v>пралине, паста, выпечка, гарнир, соус, молочный или коктейльный компонент с чернослив</x:v>
      </x:c>
      <x:c r="J302" s="28" t="str">
        <x:v>Гипотеза / практическая</x:v>
      </x:c>
      <x:c r="K302" s="28" t="str">
        <x:v>Таблица сочетания(1).pdf</x:v>
      </x:c>
      <x:c r="L302" s="28" t="str">
        <x:v>Таблица сочетания(1).pdf: 18</x:v>
      </x:c>
    </x:row>
    <x:row r="303" ht="64" customHeight="1">
      <x:c r="A303" s="28" t="str">
        <x:v>NCT-0383</x:v>
      </x:c>
      <x:c r="B303" s="28" t="str">
        <x:v>миндаль</x:v>
      </x:c>
      <x:c r="C303" s="28" t="str">
        <x:v>чеснок</x:v>
      </x:c>
      <x:c r="D303" s="28" t="str">
        <x:v>Овощи, бобовые и грибы</x:v>
      </x:c>
      <x:c r="E303" s="28" t="str">
        <x:v>сенсорная комплементарность</x:v>
      </x:c>
      <x:c r="F303" s="28" t="str">
        <x:v>Миндаль имеет профиль «ореховый, сладкий, марципановый, слегка зелёный; после обжарки — карамельный и жареный». Партнёр «чеснок»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0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303" s="28" t="str">
        <x:v>аллерген; быстро прогоркает после помола; горький миндаль и ядра косточковых не взаимозаменяемы</x:v>
      </x:c>
      <x:c r="I303" s="28" t="str">
        <x:v>пралине, паста, выпечка, гарнир, соус, молочный или коктейльный компонент с чеснок</x:v>
      </x:c>
      <x:c r="J303" s="28" t="str">
        <x:v>Средняя</x:v>
      </x:c>
      <x:c r="K303" s="28" t="str">
        <x:v>Тезариус вкусов (Ники Сегнит)(1).pdf</x:v>
      </x:c>
      <x:c r="L303" s="28" t="str">
        <x:v>Тезариус вкусов (Ники Сегнит)(1).pdf: 295, 650</x:v>
      </x:c>
    </x:row>
    <x:row r="304" ht="64" customHeight="1">
      <x:c r="A304" s="28" t="str">
        <x:v>NCT-0384</x:v>
      </x:c>
      <x:c r="B304" s="28" t="str">
        <x:v>миндаль</x:v>
      </x:c>
      <x:c r="C304" s="28" t="str">
        <x:v>чили</x:v>
      </x:c>
      <x:c r="D304" s="28" t="str">
        <x:v>Специи</x:v>
      </x:c>
      <x:c r="E304" s="28" t="str">
        <x:v>сенсорная комплементарность</x:v>
      </x:c>
      <x:c r="F304" s="28" t="str">
        <x:v>Миндаль имеет профиль «ореховый, сладкий, марципановый, слегка зелёный; после обжарки — карамельный и жареный». Партнёр «чили»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0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304" s="28" t="str">
        <x:v>аллерген; быстро прогоркает после помола; горький миндаль и ядра косточковых не взаимозаменяемы</x:v>
      </x:c>
      <x:c r="I304" s="28" t="str">
        <x:v>пралине, паста, выпечка, гарнир, соус, молочный или коктейльный компонент с чили</x:v>
      </x:c>
      <x:c r="J304" s="28" t="str">
        <x:v>Средняя</x:v>
      </x:c>
      <x:c r="K304" s="28" t="str">
        <x:v>Тезариус вкусов (Ники Сегнит)(1).pdf</x:v>
      </x:c>
      <x:c r="L304" s="28" t="str">
        <x:v>Тезариус вкусов (Ники Сегнит)(1).pdf: 556, 650</x:v>
      </x:c>
    </x:row>
    <x:row r="305" ht="64" customHeight="1">
      <x:c r="A305" s="28" t="str">
        <x:v>NCT-0385</x:v>
      </x:c>
      <x:c r="B305" s="28" t="str">
        <x:v>миндаль</x:v>
      </x:c>
      <x:c r="C305" s="28" t="str">
        <x:v>чёрная смородина</x:v>
      </x:c>
      <x:c r="D305" s="28" t="str">
        <x:v>Прочее</x:v>
      </x:c>
      <x:c r="E305" s="28" t="str">
        <x:v>сенсорная комплементарность</x:v>
      </x:c>
      <x:c r="F305" s="28" t="str">
        <x:v>Миндаль имеет профиль «ореховый, сладкий, марципановый, слегка зелёный; после обжарки — карамельный и жареный». Партнёр «чёрная смородина»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0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305" s="28" t="str">
        <x:v>аллерген; быстро прогоркает после помола; горький миндаль и ядра косточковых не взаимозаменяемы</x:v>
      </x:c>
      <x:c r="I305" s="28" t="str">
        <x:v>пралине, паста, выпечка, гарнир, соус, молочный или коктейльный компонент с чёрная смородина</x:v>
      </x:c>
      <x:c r="J305" s="28" t="str">
        <x:v>Гипотеза / практическая</x:v>
      </x:c>
      <x:c r="K305" s="28" t="str">
        <x:v>Таблица сочетания(1).pdf</x:v>
      </x:c>
      <x:c r="L305" s="28" t="str">
        <x:v>Таблица сочетания(1).pdf: 2</x:v>
      </x:c>
    </x:row>
    <x:row r="306" ht="64" customHeight="1">
      <x:c r="A306" s="28" t="str">
        <x:v>NCT-0386</x:v>
      </x:c>
      <x:c r="B306" s="28" t="str">
        <x:v>миндаль</x:v>
      </x:c>
      <x:c r="C306" s="28" t="str">
        <x:v>шафран</x:v>
      </x:c>
      <x:c r="D306" s="28" t="str">
        <x:v>Прочее</x:v>
      </x:c>
      <x:c r="E306" s="28" t="str">
        <x:v>сенсорная комплементарность</x:v>
      </x:c>
      <x:c r="F306" s="28" t="str">
        <x:v>Миндаль имеет профиль «ореховый, сладкий, марципановый, слегка зелёный; после обжарки — карамельный и жареный». Партнёр «шафран»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0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306" s="28" t="str">
        <x:v>аллерген; быстро прогоркает после помола; горький миндаль и ядра косточковых не взаимозаменяемы</x:v>
      </x:c>
      <x:c r="I306" s="28" t="str">
        <x:v>пралине, паста, выпечка, гарнир, соус, молочный или коктейльный компонент с шафран</x:v>
      </x:c>
      <x:c r="J306" s="28" t="str">
        <x:v>Средняя</x:v>
      </x:c>
      <x:c r="K306" s="28" t="str">
        <x:v>Тезариус вкусов (Ники Сегнит)(1).pdf</x:v>
      </x:c>
      <x:c r="L306" s="28" t="str">
        <x:v>Тезариус вкусов (Ники Сегнит)(1).pdf: 475, 650</x:v>
      </x:c>
    </x:row>
    <x:row r="307" ht="64" customHeight="1">
      <x:c r="A307" s="28" t="str">
        <x:v>NCT-0387</x:v>
      </x:c>
      <x:c r="B307" s="28" t="str">
        <x:v>миндаль</x:v>
      </x:c>
      <x:c r="C307" s="28" t="str">
        <x:v>шоколад</x:v>
      </x:c>
      <x:c r="D307" s="28" t="str">
        <x:v>Какао и шоколад</x:v>
      </x:c>
      <x:c r="E307" s="28" t="str">
        <x:v>общие ароматические соединения, пересечение ароматических семейств, жареная химия и реакции Майяра</x:v>
      </x:c>
      <x:c r="F307" s="28" t="str">
        <x:v>Миндаль имеет профиль «ореховый, сладкий, марципановый, слегка зелёный; после обжарки — карамельный и жареный».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30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307" s="28" t="str">
        <x:v>аллерген; быстро прогоркает после помола; горький миндаль и ядра косточковых не взаимозаменяемы</x:v>
      </x:c>
      <x:c r="I307" s="28" t="str">
        <x:v>пралине, паста, выпечка, гарнир, соус, молочный или коктейльный компонент с шоколад</x:v>
      </x:c>
      <x:c r="J307" s="28" t="str">
        <x:v>Высокая</x:v>
      </x:c>
      <x:c r="K307" s="28" t="str">
        <x:v>Таблица сочетания(1).pdf | Тезариус вкусов (Ники Сегнит)(1).pdf</x:v>
      </x:c>
      <x:c r="L307" s="28" t="str">
        <x:v>Таблица сочетания(1).pdf: 5; Тезариус вкусов (Ники Сегнит)(1).pdf: 33, 650</x:v>
      </x:c>
    </x:row>
    <x:row r="308" ht="64" customHeight="1">
      <x:c r="A308" s="28" t="str">
        <x:v>NCT-0388</x:v>
      </x:c>
      <x:c r="B308" s="28" t="str">
        <x:v>миндаль</x:v>
      </x:c>
      <x:c r="C308" s="28" t="str">
        <x:v>юдзу</x:v>
      </x:c>
      <x:c r="D308" s="28" t="str">
        <x:v>Прочее</x:v>
      </x:c>
      <x:c r="E308" s="28" t="str">
        <x:v>сенсорная комплементарность</x:v>
      </x:c>
      <x:c r="F308" s="28" t="str">
        <x:v>Миндаль имеет профиль «ореховый, сладкий, марципановый, слегка зелёный; после обжарки — карамельный и жареный». Партнёр «юдзу»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0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308" s="28" t="str">
        <x:v>аллерген; быстро прогоркает после помола; горький миндаль и ядра косточковых не взаимозаменяемы</x:v>
      </x:c>
      <x:c r="I308" s="28" t="str">
        <x:v>пралине, паста, выпечка, гарнир, соус, молочный или коктейльный компонент с юдзу</x:v>
      </x:c>
      <x:c r="J308" s="28" t="str">
        <x:v>Гипотеза / практическая</x:v>
      </x:c>
      <x:c r="K308" s="28" t="str">
        <x:v>Таблица сочетания(1).pdf</x:v>
      </x:c>
      <x:c r="L308" s="28" t="str">
        <x:v>Таблица сочетания(1).pdf: 22</x:v>
      </x:c>
    </x:row>
    <x:row r="309" ht="64" customHeight="1">
      <x:c r="A309" s="28" t="str">
        <x:v>NCT-0389</x:v>
      </x:c>
      <x:c r="B309" s="28" t="str">
        <x:v>миндаль</x:v>
      </x:c>
      <x:c r="C309" s="28" t="str">
        <x:v>яблоко</x:v>
      </x:c>
      <x:c r="D309" s="28" t="str">
        <x:v>Фрукты и ягоды</x:v>
      </x:c>
      <x:c r="E309" s="28" t="str">
        <x:v>контраст кислоты и жирной/горькой матрицы</x:v>
      </x:c>
      <x:c r="F309" s="28" t="str">
        <x:v>Миндаль имеет профиль «ореховый, сладкий, марципановый, слегка зелёный; после обжарки — карамельный и жареный». Партнёр «яблоко»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0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309" s="28" t="str">
        <x:v>аллерген; быстро прогоркает после помола; горький миндаль и ядра косточковых не взаимозаменяемы; избыток кислоты может сделать чай или кофе резкими и разрушить молочную эмульсию</x:v>
      </x:c>
      <x:c r="I309" s="28" t="str">
        <x:v>пралине, паста, выпечка, гарнир, соус, молочный или коктейльный компонент с яблоко</x:v>
      </x:c>
      <x:c r="J309" s="28" t="str">
        <x:v>Средняя</x:v>
      </x:c>
      <x:c r="K309" s="28" t="str">
        <x:v>Тезариус вкусов (Ники Сегнит)(1).pdf</x:v>
      </x:c>
      <x:c r="L309" s="28" t="str">
        <x:v>Тезариус вкусов (Ники Сегнит)(1).pdf: 650, 714</x:v>
      </x:c>
    </x:row>
    <x:row r="310" ht="64" customHeight="1">
      <x:c r="A310" s="28" t="str">
        <x:v>NCT-0390</x:v>
      </x:c>
      <x:c r="B310" s="28" t="str">
        <x:v>молочный шоколад</x:v>
      </x:c>
      <x:c r="C310" s="28" t="str">
        <x:v>balsamic vinegar</x:v>
      </x:c>
      <x:c r="D310" s="28" t="str">
        <x:v>Ферментированные продукты и соусы</x:v>
      </x:c>
      <x:c r="E310" s="28" t="str">
        <x:v>общие ароматические соединения, солёно-умами контраст</x:v>
      </x:c>
      <x:c r="F310" s="28" t="str">
        <x:v>Молочный шоколад имеет профиль «какаовый, молочный, карамельный и ванильный». Партнёр «balsamic vinegar»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пиразины, фураны.</x:v>
      </x:c>
      <x:c r="G310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310" s="28" t="str">
        <x:v>сладость и жир быстро подавляют кислотные и цветочные продукты</x:v>
      </x:c>
      <x:c r="I310" s="28" t="str">
        <x:v>ганаш, плитка, крем, мусс, напиток, глазурь или соус с balsamic vinegar</x:v>
      </x:c>
      <x:c r="J310" s="28" t="str">
        <x:v>Средняя</x:v>
      </x:c>
      <x:c r="K310" s="28" t="str">
        <x:v>The Art &amp; Science of Foodpairing.pdf</x:v>
      </x:c>
      <x:c r="L310" s="28" t="str">
        <x:v>The Art &amp; Science of Foodpairing.pdf: 316</x:v>
      </x:c>
    </x:row>
    <x:row r="311" ht="64" customHeight="1">
      <x:c r="A311" s="28" t="str">
        <x:v>NCT-0391</x:v>
      </x:c>
      <x:c r="B311" s="28" t="str">
        <x:v>молочный шоколад</x:v>
      </x:c>
      <x:c r="C311" s="28" t="str">
        <x:v>lberico ham</x:v>
      </x:c>
      <x:c r="D311" s="28" t="str">
        <x:v>Мясо и птица</x:v>
      </x:c>
      <x:c r="E311" s="28" t="str">
        <x:v>общие ароматические соединения, жареная химия и реакции Майяра, солёно-умами контраст</x:v>
      </x:c>
      <x:c r="F311" s="28" t="str">
        <x:v>Молочный шоколад имеет профиль «какаовый, молочный, карамельный и ванильный».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пиразины.</x:v>
      </x:c>
      <x:c r="G311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311" s="28" t="str">
        <x:v>сладость и жир быстро подавляют кислотные и цветочные продукты</x:v>
      </x:c>
      <x:c r="I311" s="28" t="str">
        <x:v>ганаш, плитка, крем, мусс, напиток, глазурь или соус с lberico ham</x:v>
      </x:c>
      <x:c r="J311" s="28" t="str">
        <x:v>Средняя</x:v>
      </x:c>
      <x:c r="K311" s="28" t="str">
        <x:v>The Art &amp; Science of Foodpairing.pdf</x:v>
      </x:c>
      <x:c r="L311" s="28" t="str">
        <x:v>The Art &amp; Science of Foodpairing.pdf: 278</x:v>
      </x:c>
    </x:row>
    <x:row r="312" ht="64" customHeight="1">
      <x:c r="A312" s="28" t="str">
        <x:v>NCT-0392</x:v>
      </x:c>
      <x:c r="B312" s="28" t="str">
        <x:v>молочный шоколад</x:v>
      </x:c>
      <x:c r="C312" s="28" t="str">
        <x:v>tomato and tomato puree</x:v>
      </x:c>
      <x:c r="D312" s="28" t="str">
        <x:v>Овощи, бобовые и грибы</x:v>
      </x:c>
      <x:c r="E312" s="28" t="str">
        <x:v>сенсорная комплементарность</x:v>
      </x:c>
      <x:c r="F312" s="28" t="str">
        <x:v>Молочный шоколад имеет профиль «какаовый, молочный, карамельный и ванильный». Партнёр «tomato and tomato puree» относится к группе «Овощи, бобовые и грибы» и даёт зелёный, землистый или умами.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312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312" s="28" t="str">
        <x:v>сладость и жир быстро подавляют кислотные и цветочные продукты</x:v>
      </x:c>
      <x:c r="I312" s="28" t="str">
        <x:v>ганаш, плитка, крем, мусс, напиток, глазурь или соус с tomato and tomato puree</x:v>
      </x:c>
      <x:c r="J312" s="28" t="str">
        <x:v>Средняя</x:v>
      </x:c>
      <x:c r="K312" s="28" t="str">
        <x:v>The Art &amp; Science of Foodpairing.pdf</x:v>
      </x:c>
      <x:c r="L312" s="28" t="str">
        <x:v>The Art &amp; Science of Foodpairing.pdf: 161</x:v>
      </x:c>
    </x:row>
    <x:row r="313" ht="64" customHeight="1">
      <x:c r="A313" s="28" t="str">
        <x:v>NCT-0393</x:v>
      </x:c>
      <x:c r="B313" s="28" t="str">
        <x:v>молочный шоколад</x:v>
      </x:c>
      <x:c r="C313" s="28" t="str">
        <x:v>кардамон</x:v>
      </x:c>
      <x:c r="D313" s="28" t="str">
        <x:v>Специи</x:v>
      </x:c>
      <x:c r="E313" s="28" t="str">
        <x:v>сенсорная комплементарность</x:v>
      </x:c>
      <x:c r="F313" s="28" t="str">
        <x:v>Молочный шоколад имеет профиль «какаовый, молочный, карамельный и ванильный». Партнёр «кардамон» относится к группе «Специи» и даёт камфорный, цветочный, цитрусовый.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313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313" s="28" t="str">
        <x:v>сладость и жир быстро подавляют кислотные и цветочные продукты</x:v>
      </x:c>
      <x:c r="I313" s="28" t="str">
        <x:v>ганаш, плитка, крем, мусс, напиток, глазурь или соус с кардамон</x:v>
      </x:c>
      <x:c r="J313" s="28" t="str">
        <x:v>Средняя</x:v>
      </x:c>
      <x:c r="K313" s="28" t="str">
        <x:v>The Art &amp; Science of Foodpairing.pdf</x:v>
      </x:c>
      <x:c r="L313" s="28" t="str">
        <x:v>The Art &amp; Science of Foodpairing.pdf: 256</x:v>
      </x:c>
    </x:row>
    <x:row r="314" ht="64" customHeight="1">
      <x:c r="A314" s="28" t="str">
        <x:v>NCT-0394</x:v>
      </x:c>
      <x:c r="B314" s="28" t="str">
        <x:v>молочный шоколад</x:v>
      </x:c>
      <x:c r="C314" s="28" t="str">
        <x:v>клубника</x:v>
      </x:c>
      <x:c r="D314" s="28" t="str">
        <x:v>Прочее</x:v>
      </x:c>
      <x:c r="E314" s="28" t="str">
        <x:v>пересечение ароматических семейств</x:v>
      </x:c>
      <x:c r="F314" s="28" t="str">
        <x:v>Молочный шоколад имеет профиль «какаовый, молочный, карамельный и ванильный». Партнёр «клубника» относится к группе «Прочее» и даёт зелёный, карамельный, фруктовый. Профили пересекаются в семействах: карамельный Какао-масло медленно высвобождает липофильные ароматы, а сахар и соль изменяют воспринимаемую горечь. Итог: карамельный; механизм не следует сводить к одной общей молекуле.</x:v>
      </x:c>
      <x:c r="G314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314" s="28" t="str">
        <x:v>сладость и жир быстро подавляют кислотные и цветочные продукты</x:v>
      </x:c>
      <x:c r="I314" s="28" t="str">
        <x:v>ганаш, плитка, крем, мусс, напиток, глазурь или соус с клубника</x:v>
      </x:c>
      <x:c r="J314" s="28" t="str">
        <x:v>Высокая</x:v>
      </x:c>
      <x:c r="K314" s="28" t="str">
        <x:v>The Art &amp; Science of Foodpairing.pdf</x:v>
      </x:c>
      <x:c r="L314" s="28" t="str">
        <x:v>The Art &amp; Science of Foodpairing.pdf: 60</x:v>
      </x:c>
    </x:row>
    <x:row r="315" ht="64" customHeight="1">
      <x:c r="A315" s="28" t="str">
        <x:v>NCT-0395</x:v>
      </x:c>
      <x:c r="B315" s="28" t="str">
        <x:v>молочный шоколад</x:v>
      </x:c>
      <x:c r="C315" s="28" t="str">
        <x:v>маниок</x:v>
      </x:c>
      <x:c r="D315" s="28" t="str">
        <x:v>Прочее</x:v>
      </x:c>
      <x:c r="E315" s="28" t="str">
        <x:v>сенсорная комплементарность</x:v>
      </x:c>
      <x:c r="F315" s="28" t="str">
        <x:v>Молочный шоколад имеет профиль «какаовый, молочный, карамельный и ванильный». Партнёр «маниок»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315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315" s="28" t="str">
        <x:v>сладость и жир быстро подавляют кислотные и цветочные продукты</x:v>
      </x:c>
      <x:c r="I315" s="28" t="str">
        <x:v>ганаш, плитка, крем, мусс, напиток, глазурь или соус с маниок</x:v>
      </x:c>
      <x:c r="J315" s="28" t="str">
        <x:v>Средняя</x:v>
      </x:c>
      <x:c r="K315" s="28" t="str">
        <x:v>The Art &amp; Science of Foodpairing.pdf</x:v>
      </x:c>
      <x:c r="L315" s="28" t="str">
        <x:v>The Art &amp; Science of Foodpairing.pdf: 251</x:v>
      </x:c>
    </x:row>
    <x:row r="316" ht="64" customHeight="1">
      <x:c r="A316" s="28" t="str">
        <x:v>NCT-0396</x:v>
      </x:c>
      <x:c r="B316" s="28" t="str">
        <x:v>молочный шоколад</x:v>
      </x:c>
      <x:c r="C316" s="28" t="str">
        <x:v>оливковое масло</x:v>
      </x:c>
      <x:c r="D316" s="28" t="str">
        <x:v>Масла и жиры</x:v>
      </x:c>
      <x:c r="E316" s="28" t="str">
        <x:v>общие ароматические соединения</x:v>
      </x:c>
      <x:c r="F316" s="28" t="str">
        <x:v>Молочный шоколад имеет профиль «какаовый, молочный, карамельный и ванильный». Партнёр «оливковое масло» относится к группе «Масла и жиры» и даёт жирный и мягкий. Молекулярный мост создают лактоны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лактоны.</x:v>
      </x:c>
      <x:c r="G316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316" s="28" t="str">
        <x:v>сладость и жир быстро подавляют кислотные и цветочные продукты</x:v>
      </x:c>
      <x:c r="I316" s="28" t="str">
        <x:v>ганаш, плитка, крем, мусс, напиток, глазурь или соус с оливковое масло</x:v>
      </x:c>
      <x:c r="J316" s="28" t="str">
        <x:v>Средняя</x:v>
      </x:c>
      <x:c r="K316" s="28" t="str">
        <x:v>The Art &amp; Science of Foodpairing.pdf</x:v>
      </x:c>
      <x:c r="L316" s="28" t="str">
        <x:v>The Art &amp; Science of Foodpairing.pdf: 172</x:v>
      </x:c>
    </x:row>
    <x:row r="317" ht="64" customHeight="1">
      <x:c r="A317" s="28" t="str">
        <x:v>NCT-0397</x:v>
      </x:c>
      <x:c r="B317" s="28" t="str">
        <x:v>молочный шоколад</x:v>
      </x:c>
      <x:c r="C317" s="28" t="str">
        <x:v>чоризо</x:v>
      </x:c>
      <x:c r="D317" s="28" t="str">
        <x:v>Прочее</x:v>
      </x:c>
      <x:c r="E317" s="28" t="str">
        <x:v>сенсорная комплементарность</x:v>
      </x:c>
      <x:c r="F317" s="28" t="str">
        <x:v>Молочный шоколад имеет профиль «какаовый, молочный, карамельный и ванильный». Партнёр «чоризо»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317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317" s="28" t="str">
        <x:v>сладость и жир быстро подавляют кислотные и цветочные продукты</x:v>
      </x:c>
      <x:c r="I317" s="28" t="str">
        <x:v>ганаш, плитка, крем, мусс, напиток, глазурь или соус с чоризо</x:v>
      </x:c>
      <x:c r="J317" s="28" t="str">
        <x:v>Средняя</x:v>
      </x:c>
      <x:c r="K317" s="28" t="str">
        <x:v>The Art &amp; Science of Foodpairing.pdf</x:v>
      </x:c>
      <x:c r="L317" s="28" t="str">
        <x:v>The Art &amp; Science of Foodpairing.pdf: 288</x:v>
      </x:c>
    </x:row>
    <x:row r="318" ht="64" customHeight="1">
      <x:c r="A318" s="28" t="str">
        <x:v>NCT-0398</x:v>
      </x:c>
      <x:c r="B318" s="28" t="str">
        <x:v>пекан</x:v>
      </x:c>
      <x:c r="C318" s="28" t="str">
        <x:v>blue cheese</x:v>
      </x:c>
      <x:c r="D318" s="28" t="str">
        <x:v>Молочные продукты и сыры</x:v>
      </x:c>
      <x:c r="E318" s="28" t="str">
        <x:v>общие ароматические соединения, жировая экстракция и связывание полифенолов белком</x:v>
      </x:c>
      <x:c r="F318" s="28" t="str">
        <x:v>Пекан имеет профиль «маслянистый, сладкий, карамельный и древесно-ореховый». Партнёр «blue cheese» относится к группе «Молочные продукты и сыры» и даёт молочный, сливочный и ферментированный. Молекулярный мост создают лактоны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лактоны.</x:v>
      </x:c>
      <x:c r="G318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18" s="28" t="str">
        <x:v>аллерген и высокая склонность к окислению; жир способен приглушить тонкую ароматику; белок связывает полифенолы</x:v>
      </x:c>
      <x:c r="I318" s="28" t="str">
        <x:v>пралине, паста, выпечка, гарнир, соус, молочный или коктейльный компонент с blue cheese</x:v>
      </x:c>
      <x:c r="J318" s="28" t="str">
        <x:v>Средняя</x:v>
      </x:c>
      <x:c r="K318" s="28" t="str">
        <x:v>The Art &amp; Science of Foodpairing.pdf</x:v>
      </x:c>
      <x:c r="L318" s="28" t="str">
        <x:v>The Art &amp; Science of Foodpairing.pdf: 164</x:v>
      </x:c>
    </x:row>
    <x:row r="319" ht="64" customHeight="1">
      <x:c r="A319" s="28" t="str">
        <x:v>NCT-0399</x:v>
      </x:c>
      <x:c r="B319" s="28" t="str">
        <x:v>пекан</x:v>
      </x:c>
      <x:c r="C319" s="28" t="str">
        <x:v>tomato and tomato puree</x:v>
      </x:c>
      <x:c r="D319" s="28" t="str">
        <x:v>Овощи, бобовые и грибы</x:v>
      </x:c>
      <x:c r="E319" s="28" t="str">
        <x:v>сенсорная комплементарность</x:v>
      </x:c>
      <x:c r="F319" s="28" t="str">
        <x:v>Пекан имеет профиль «маслянистый, сладкий, карамельный и древесно-ореховый». Партнёр «tomato and tomato puree»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19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19" s="28" t="str">
        <x:v>аллерген и высокая склонность к окислению</x:v>
      </x:c>
      <x:c r="I319" s="28" t="str">
        <x:v>пралине, паста, выпечка, гарнир, соус, молочный или коктейльный компонент с tomato and tomato puree</x:v>
      </x:c>
      <x:c r="J319" s="28" t="str">
        <x:v>Средняя</x:v>
      </x:c>
      <x:c r="K319" s="28" t="str">
        <x:v>The Art &amp; Science of Foodpairing.pdf</x:v>
      </x:c>
      <x:c r="L319" s="28" t="str">
        <x:v>The Art &amp; Science of Foodpairing.pdf: 161</x:v>
      </x:c>
    </x:row>
    <x:row r="320" ht="64" customHeight="1">
      <x:c r="A320" s="28" t="str">
        <x:v>NCT-0400</x:v>
      </x:c>
      <x:c r="B320" s="28" t="str">
        <x:v>пекан</x:v>
      </x:c>
      <x:c r="C320" s="28" t="str">
        <x:v>айва</x:v>
      </x:c>
      <x:c r="D320" s="28" t="str">
        <x:v>Прочее</x:v>
      </x:c>
      <x:c r="E320" s="28" t="str">
        <x:v>сенсорная комплементарность</x:v>
      </x:c>
      <x:c r="F320" s="28" t="str">
        <x:v>Пекан имеет профиль «маслянистый, сладкий, карамельный и древесно-ореховый». Партнёр «айва»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20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20" s="28" t="str">
        <x:v>аллерген и высокая склонность к окислению</x:v>
      </x:c>
      <x:c r="I320" s="28" t="str">
        <x:v>пралине, паста, выпечка, гарнир, соус, молочный или коктейльный компонент с айва</x:v>
      </x:c>
      <x:c r="J320" s="28" t="str">
        <x:v>Гипотеза / практическая</x:v>
      </x:c>
      <x:c r="K320" s="28" t="str">
        <x:v>Таблица сочетания(1).pdf</x:v>
      </x:c>
      <x:c r="L320" s="28" t="str">
        <x:v>Таблица сочетания(1).pdf: 18</x:v>
      </x:c>
    </x:row>
    <x:row r="321" ht="64" customHeight="1">
      <x:c r="A321" s="28" t="str">
        <x:v>NCT-0401</x:v>
      </x:c>
      <x:c r="B321" s="28" t="str">
        <x:v>пекан</x:v>
      </x:c>
      <x:c r="C321" s="28" t="str">
        <x:v>базилик</x:v>
      </x:c>
      <x:c r="D321" s="28" t="str">
        <x:v>Травы, цветы и листья</x:v>
      </x:c>
      <x:c r="E321" s="28" t="str">
        <x:v>сенсорная комплементарность</x:v>
      </x:c>
      <x:c r="F321" s="28" t="str">
        <x:v>Пекан имеет профиль «маслянистый, сладкий, карамельный и древесно-ореховый». Партнёр «базилик»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21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21" s="28" t="str">
        <x:v>аллерген и высокая склонность к окислению</x:v>
      </x:c>
      <x:c r="I321" s="28" t="str">
        <x:v>пралине, паста, выпечка, гарнир, соус, молочный или коктейльный компонент с базилик</x:v>
      </x:c>
      <x:c r="J321" s="28" t="str">
        <x:v>Высокая</x:v>
      </x:c>
      <x:c r="K321" s="28" t="str">
        <x:v>The Art &amp; Science of Foodpairing.pdf | Таблица сочетания(1).pdf</x:v>
      </x:c>
      <x:c r="L321" s="28" t="str">
        <x:v>The Art &amp; Science of Foodpairing.pdf: 74; Таблица сочетания(1).pdf: 16</x:v>
      </x:c>
    </x:row>
    <x:row r="322" ht="64" customHeight="1">
      <x:c r="A322" s="28" t="str">
        <x:v>NCT-0402</x:v>
      </x:c>
      <x:c r="B322" s="28" t="str">
        <x:v>пекан</x:v>
      </x:c>
      <x:c r="C322" s="28" t="str">
        <x:v>банан</x:v>
      </x:c>
      <x:c r="D322" s="28" t="str">
        <x:v>Фрукты и ягоды</x:v>
      </x:c>
      <x:c r="E322" s="28" t="str">
        <x:v>контраст кислоты и жирной/горькой матрицы</x:v>
      </x:c>
      <x:c r="F322" s="28" t="str">
        <x:v>Пекан имеет профиль «маслянистый, сладкий, карамельный и древесно-ореховый».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22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22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I322" s="28" t="str">
        <x:v>пралине, паста, выпечка, гарнир, соус, молочный или коктейльный компонент с банан</x:v>
      </x:c>
      <x:c r="J322" s="28" t="str">
        <x:v>Гипотеза / практическая</x:v>
      </x:c>
      <x:c r="K322" s="28" t="str">
        <x:v>Таблица сочетания(1).pdf</x:v>
      </x:c>
      <x:c r="L322" s="28" t="str">
        <x:v>Таблица сочетания(1).pdf: 2, 16</x:v>
      </x:c>
    </x:row>
    <x:row r="323" ht="64" customHeight="1">
      <x:c r="A323" s="28" t="str">
        <x:v>NCT-0403</x:v>
      </x:c>
      <x:c r="B323" s="28" t="str">
        <x:v>пекан</x:v>
      </x:c>
      <x:c r="C323" s="28" t="str">
        <x:v>ваниль</x:v>
      </x:c>
      <x:c r="D323" s="28" t="str">
        <x:v>Специи</x:v>
      </x:c>
      <x:c r="E323" s="28" t="str">
        <x:v>сенсорная комплементарность</x:v>
      </x:c>
      <x:c r="F323" s="28" t="str">
        <x:v>Пекан имеет профиль «маслянистый, сладкий, карамельный и древесно-ореховый».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23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23" s="28" t="str">
        <x:v>аллерген и высокая склонность к окислению</x:v>
      </x:c>
      <x:c r="I323" s="28" t="str">
        <x:v>пралине, паста, выпечка, гарнир, соус, молочный или коктейльный компонент с ваниль</x:v>
      </x:c>
      <x:c r="J323" s="28" t="str">
        <x:v>Гипотеза / практическая</x:v>
      </x:c>
      <x:c r="K323" s="28" t="str">
        <x:v>Таблица сочетания(1).pdf</x:v>
      </x:c>
      <x:c r="L323" s="28" t="str">
        <x:v>Таблица сочетания(1).pdf: 16</x:v>
      </x:c>
    </x:row>
    <x:row r="324" ht="64" customHeight="1">
      <x:c r="A324" s="28" t="str">
        <x:v>NCT-0404</x:v>
      </x:c>
      <x:c r="B324" s="28" t="str">
        <x:v>пекан</x:v>
      </x:c>
      <x:c r="C324" s="28" t="str">
        <x:v>виноград</x:v>
      </x:c>
      <x:c r="D324" s="28" t="str">
        <x:v>Алкогольные напитки</x:v>
      </x:c>
      <x:c r="E324" s="28" t="str">
        <x:v>сенсорная комплементарность</x:v>
      </x:c>
      <x:c r="F324" s="28" t="str">
        <x:v>Пекан имеет профиль «маслянистый, сладкий, карамельный и древесно-ореховый». Партнёр «виноград» относится к группе «Алкогольные напитки» и даёт спиртовой, фруктовый или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24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24" s="28" t="str">
        <x:v>аллерген и высокая склонность к окислению</x:v>
      </x:c>
      <x:c r="I324" s="28" t="str">
        <x:v>пралине, паста, выпечка, гарнир, соус, молочный или коктейльный компонент с виноград</x:v>
      </x:c>
      <x:c r="J324" s="28" t="str">
        <x:v>Гипотеза / практическая</x:v>
      </x:c>
      <x:c r="K324" s="28" t="str">
        <x:v>Таблица сочетания(1).pdf</x:v>
      </x:c>
      <x:c r="L324" s="28" t="str">
        <x:v>Таблица сочетания(1).pdf: 16</x:v>
      </x:c>
    </x:row>
    <x:row r="325" ht="64" customHeight="1">
      <x:c r="A325" s="28" t="str">
        <x:v>NCT-0405</x:v>
      </x:c>
      <x:c r="B325" s="28" t="str">
        <x:v>пекан</x:v>
      </x:c>
      <x:c r="C325" s="28" t="str">
        <x:v>вишня</x:v>
      </x:c>
      <x:c r="D325" s="28" t="str">
        <x:v>Фрукты и ягоды</x:v>
      </x:c>
      <x:c r="E325" s="28" t="str">
        <x:v>контраст кислоты и жирной/горькой матрицы</x:v>
      </x:c>
      <x:c r="F325" s="28" t="str">
        <x:v>Пекан имеет профиль «маслянистый, сладкий, карамельный и древесно-ореховый». Партнёр «вишня» относится к группе «Фрукты и ягоды» и даёт миндальный,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25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25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I325" s="28" t="str">
        <x:v>пралине, паста, выпечка, гарнир, соус, молочный или коктейльный компонент с вишня</x:v>
      </x:c>
      <x:c r="J325" s="28" t="str">
        <x:v>Гипотеза / практическая</x:v>
      </x:c>
      <x:c r="K325" s="28" t="str">
        <x:v>Таблица сочетания(1).pdf</x:v>
      </x:c>
      <x:c r="L325" s="28" t="str">
        <x:v>Таблица сочетания(1).pdf: 4</x:v>
      </x:c>
    </x:row>
    <x:row r="326" ht="64" customHeight="1">
      <x:c r="A326" s="28" t="str">
        <x:v>NCT-0406</x:v>
      </x:c>
      <x:c r="B326" s="28" t="str">
        <x:v>пекан</x:v>
      </x:c>
      <x:c r="C326" s="28" t="str">
        <x:v>грейпфрут</x:v>
      </x:c>
      <x:c r="D326" s="28" t="str">
        <x:v>Фрукты и ягоды</x:v>
      </x:c>
      <x:c r="E326" s="28" t="str">
        <x:v>контраст кислоты и жирной/горькой матрицы</x:v>
      </x:c>
      <x:c r="F326" s="28" t="str">
        <x:v>Пекан имеет профиль «маслянистый, сладкий, карамельный и древесно-ореховый». Партнёр «грейпфрут»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26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26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I326" s="28" t="str">
        <x:v>пралине, паста, выпечка, гарнир, соус, молочный или коктейльный компонент с грейпфрут</x:v>
      </x:c>
      <x:c r="J326" s="28" t="str">
        <x:v>Гипотеза / практическая</x:v>
      </x:c>
      <x:c r="K326" s="28" t="str">
        <x:v>Таблица сочетания(1).pdf</x:v>
      </x:c>
      <x:c r="L326" s="28" t="str">
        <x:v>Таблица сочетания(1).pdf: 9</x:v>
      </x:c>
    </x:row>
    <x:row r="327" ht="64" customHeight="1">
      <x:c r="A327" s="28" t="str">
        <x:v>NCT-0407</x:v>
      </x:c>
      <x:c r="B327" s="28" t="str">
        <x:v>пекан</x:v>
      </x:c>
      <x:c r="C327" s="28" t="str">
        <x:v>груша</x:v>
      </x:c>
      <x:c r="D327" s="28" t="str">
        <x:v>Фрукты и ягоды</x:v>
      </x:c>
      <x:c r="E327" s="28" t="str">
        <x:v>контраст кислоты и жирной/горькой матрицы</x:v>
      </x:c>
      <x:c r="F327" s="28" t="str">
        <x:v>Пекан имеет профиль «маслянистый, сладкий, карамельный и древесно-ореховый». Партнёр «груша»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27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27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I327" s="28" t="str">
        <x:v>пралине, паста, выпечка, гарнир, соус, молочный или коктейльный компонент с груша</x:v>
      </x:c>
      <x:c r="J327" s="28" t="str">
        <x:v>Гипотеза / практическая</x:v>
      </x:c>
      <x:c r="K327" s="28" t="str">
        <x:v>Таблица сочетания(1).pdf</x:v>
      </x:c>
      <x:c r="L327" s="28" t="str">
        <x:v>Таблица сочетания(1).pdf: 16</x:v>
      </x:c>
    </x:row>
    <x:row r="328" ht="64" customHeight="1">
      <x:c r="A328" s="28" t="str">
        <x:v>NCT-0408</x:v>
      </x:c>
      <x:c r="B328" s="28" t="str">
        <x:v>пекан</x:v>
      </x:c>
      <x:c r="C328" s="28" t="str">
        <x:v>инжир</x:v>
      </x:c>
      <x:c r="D328" s="28" t="str">
        <x:v>Фрукты и ягоды</x:v>
      </x:c>
      <x:c r="E328" s="28" t="str">
        <x:v>контраст кислоты и жирной/горькой матрицы</x:v>
      </x:c>
      <x:c r="F328" s="28" t="str">
        <x:v>Пекан имеет профиль «маслянистый, сладкий, карамельный и древесно-ореховый». Партнёр «инжир»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28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28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I328" s="28" t="str">
        <x:v>пралине, паста, выпечка, гарнир, соус, молочный или коктейльный компонент с инжир</x:v>
      </x:c>
      <x:c r="J328" s="28" t="str">
        <x:v>Гипотеза / практическая</x:v>
      </x:c>
      <x:c r="K328" s="28" t="str">
        <x:v>Таблица сочетания(1).pdf</x:v>
      </x:c>
      <x:c r="L328" s="28" t="str">
        <x:v>Таблица сочетания(1).pdf: 16</x:v>
      </x:c>
    </x:row>
    <x:row r="329" ht="64" customHeight="1">
      <x:c r="A329" s="28" t="str">
        <x:v>NCT-0409</x:v>
      </x:c>
      <x:c r="B329" s="28" t="str">
        <x:v>пекан</x:v>
      </x:c>
      <x:c r="C329" s="28" t="str">
        <x:v>кардамон</x:v>
      </x:c>
      <x:c r="D329" s="28" t="str">
        <x:v>Специи</x:v>
      </x:c>
      <x:c r="E329" s="28" t="str">
        <x:v>сенсорная комплементарность</x:v>
      </x:c>
      <x:c r="F329" s="28" t="str">
        <x:v>Пекан имеет профиль «маслянистый, сладкий, карамельный и древесно-ореховый». Партнёр «кардамон» относится к группе «Специи» и даёт камфорный, цветочный,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29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29" s="28" t="str">
        <x:v>аллерген и высокая склонность к окислению</x:v>
      </x:c>
      <x:c r="I329" s="28" t="str">
        <x:v>пралине, паста, выпечка, гарнир, соус, молочный или коктейльный компонент с кардамон</x:v>
      </x:c>
      <x:c r="J329" s="28" t="str">
        <x:v>Гипотеза / практическая</x:v>
      </x:c>
      <x:c r="K329" s="28" t="str">
        <x:v>Таблица сочетания(1).pdf</x:v>
      </x:c>
      <x:c r="L329" s="28" t="str">
        <x:v>Таблица сочетания(1).pdf: 16</x:v>
      </x:c>
    </x:row>
    <x:row r="330" ht="64" customHeight="1">
      <x:c r="A330" s="28" t="str">
        <x:v>NCT-0410</x:v>
      </x:c>
      <x:c r="B330" s="28" t="str">
        <x:v>пекан</x:v>
      </x:c>
      <x:c r="C330" s="28" t="str">
        <x:v>кленовый сироп</x:v>
      </x:c>
      <x:c r="D330" s="28" t="str">
        <x:v>Выпечка, сахара и десерты</x:v>
      </x:c>
      <x:c r="E330" s="28" t="str">
        <x:v>общие ароматические соединения, пересечение ароматических семейств, жареная химия и реакции Майяра</x:v>
      </x:c>
      <x:c r="F330" s="28" t="str">
        <x:v>Пекан имеет профиль «маслянистый, сладкий, карамельный и древесно-ореховый».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карамельный; пиразины, фураны.</x:v>
      </x:c>
      <x:c r="G330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30" s="28" t="str">
        <x:v>аллерген и высокая склонность к окислению</x:v>
      </x:c>
      <x:c r="I330" s="28" t="str">
        <x:v>пралине, паста, выпечка, гарнир, соус, молочный или коктейльный компонент с кленовый сироп</x:v>
      </x:c>
      <x:c r="J330" s="28" t="str">
        <x:v>Гипотеза / практическая</x:v>
      </x:c>
      <x:c r="K330" s="28" t="str">
        <x:v>Таблица сочетания(1).pdf</x:v>
      </x:c>
      <x:c r="L330" s="28" t="str">
        <x:v>Таблица сочетания(1).pdf: 16</x:v>
      </x:c>
    </x:row>
    <x:row r="331" ht="64" customHeight="1">
      <x:c r="A331" s="28" t="str">
        <x:v>NCT-0411</x:v>
      </x:c>
      <x:c r="B331" s="28" t="str">
        <x:v>пекан</x:v>
      </x:c>
      <x:c r="C331" s="28" t="str">
        <x:v>лимон</x:v>
      </x:c>
      <x:c r="D331" s="28" t="str">
        <x:v>Фрукты и ягоды</x:v>
      </x:c>
      <x:c r="E331" s="28" t="str">
        <x:v>контраст кислоты и жирной/горькой матрицы</x:v>
      </x:c>
      <x:c r="F331" s="28" t="str">
        <x:v>Пекан имеет профиль «маслянистый, сладкий, карамельный и древесно-ореховый».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31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31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I331" s="28" t="str">
        <x:v>пралине, паста, выпечка, гарнир, соус, молочный или коктейльный компонент с лимон</x:v>
      </x:c>
      <x:c r="J331" s="28" t="str">
        <x:v>Гипотеза / практическая</x:v>
      </x:c>
      <x:c r="K331" s="28" t="str">
        <x:v>Таблица сочетания(1).pdf</x:v>
      </x:c>
      <x:c r="L331" s="28" t="str">
        <x:v>Таблица сочетания(1).pdf: 11</x:v>
      </x:c>
    </x:row>
    <x:row r="332" ht="64" customHeight="1">
      <x:c r="A332" s="28" t="str">
        <x:v>NCT-0412</x:v>
      </x:c>
      <x:c r="B332" s="28" t="str">
        <x:v>пекан</x:v>
      </x:c>
      <x:c r="C332" s="28" t="str">
        <x:v>нектарин</x:v>
      </x:c>
      <x:c r="D332" s="28" t="str">
        <x:v>Прочее</x:v>
      </x:c>
      <x:c r="E332" s="28" t="str">
        <x:v>сенсорная комплементарность</x:v>
      </x:c>
      <x:c r="F332" s="28" t="str">
        <x:v>Пекан имеет профиль «маслянистый, сладкий, карамельный и древесно-ореховый». Партнёр «нектарин»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32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32" s="28" t="str">
        <x:v>аллерген и высокая склонность к окислению</x:v>
      </x:c>
      <x:c r="I332" s="28" t="str">
        <x:v>пралине, паста, выпечка, гарнир, соус, молочный или коктейльный компонент с нектарин</x:v>
      </x:c>
      <x:c r="J332" s="28" t="str">
        <x:v>Гипотеза / практическая</x:v>
      </x:c>
      <x:c r="K332" s="28" t="str">
        <x:v>Таблица сочетания(1).pdf</x:v>
      </x:c>
      <x:c r="L332" s="28" t="str">
        <x:v>Таблица сочетания(1).pdf: 14</x:v>
      </x:c>
    </x:row>
    <x:row r="333" ht="64" customHeight="1">
      <x:c r="A333" s="28" t="str">
        <x:v>NCT-0413</x:v>
      </x:c>
      <x:c r="B333" s="28" t="str">
        <x:v>пекан</x:v>
      </x:c>
      <x:c r="C333" s="28" t="str">
        <x:v>персик</x:v>
      </x:c>
      <x:c r="D333" s="28" t="str">
        <x:v>Фрукты и ягоды</x:v>
      </x:c>
      <x:c r="E333" s="28" t="str">
        <x:v>общие ароматические соединения, контраст кислоты и жирной/горькой матрицы</x:v>
      </x:c>
      <x:c r="F333" s="28" t="str">
        <x:v>Пекан имеет профиль «маслянистый, сладкий, карамельный и древесно-ореховый». Партнёр «персик» относится к группе «Фрукты и ягоды» и даёт лактонный, фруктовый, цветочный. Молекулярный мост создают лактоны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лактоны.</x:v>
      </x:c>
      <x:c r="G333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33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I333" s="28" t="str">
        <x:v>пралине, паста, выпечка, гарнир, соус, молочный или коктейльный компонент с персик</x:v>
      </x:c>
      <x:c r="J333" s="28" t="str">
        <x:v>Гипотеза / практическая</x:v>
      </x:c>
      <x:c r="K333" s="28" t="str">
        <x:v>Таблица сочетания(1).pdf</x:v>
      </x:c>
      <x:c r="L333" s="28" t="str">
        <x:v>Таблица сочетания(1).pdf: 15</x:v>
      </x:c>
    </x:row>
    <x:row r="334" ht="64" customHeight="1">
      <x:c r="A334" s="28" t="str">
        <x:v>NCT-0414</x:v>
      </x:c>
      <x:c r="B334" s="28" t="str">
        <x:v>пекан</x:v>
      </x:c>
      <x:c r="C334" s="28" t="str">
        <x:v>петрушка</x:v>
      </x:c>
      <x:c r="D334" s="28" t="str">
        <x:v>Травы, цветы и листья</x:v>
      </x:c>
      <x:c r="E334" s="28" t="str">
        <x:v>сенсорная комплементарность</x:v>
      </x:c>
      <x:c r="F334" s="28" t="str">
        <x:v>Пекан имеет профиль «маслянистый, сладкий, карамельный и древесно-ореховый». Партнёр «петрушка»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34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34" s="28" t="str">
        <x:v>аллерген и высокая склонность к окислению</x:v>
      </x:c>
      <x:c r="I334" s="28" t="str">
        <x:v>пралине, паста, выпечка, гарнир, соус, молочный или коктейльный компонент с петрушка</x:v>
      </x:c>
      <x:c r="J334" s="28" t="str">
        <x:v>Гипотеза / практическая</x:v>
      </x:c>
      <x:c r="K334" s="28" t="str">
        <x:v>Таблица сочетания(1).pdf</x:v>
      </x:c>
      <x:c r="L334" s="28" t="str">
        <x:v>Таблица сочетания(1).pdf: 16</x:v>
      </x:c>
    </x:row>
    <x:row r="335" ht="64" customHeight="1">
      <x:c r="A335" s="28" t="str">
        <x:v>NCT-0415</x:v>
      </x:c>
      <x:c r="B335" s="28" t="str">
        <x:v>пекан</x:v>
      </x:c>
      <x:c r="C335" s="28" t="str">
        <x:v>свёкла</x:v>
      </x:c>
      <x:c r="D335" s="28" t="str">
        <x:v>Овощи, бобовые и грибы</x:v>
      </x:c>
      <x:c r="E335" s="28" t="str">
        <x:v>сенсорная комплементарность</x:v>
      </x:c>
      <x:c r="F335" s="28" t="str">
        <x:v>Пекан имеет профиль «маслянистый, сладкий, карамельный и древесно-ореховый». Партнёр «свёкла» относится к группе «Овощи, бобовые и грибы» и даёт землистый, сладкий.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35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35" s="28" t="str">
        <x:v>аллерген и высокая склонность к окислению</x:v>
      </x:c>
      <x:c r="I335" s="28" t="str">
        <x:v>пралине, паста, выпечка, гарнир, соус, молочный или коктейльный компонент с свёкла</x:v>
      </x:c>
      <x:c r="J335" s="28" t="str">
        <x:v>Средняя</x:v>
      </x:c>
      <x:c r="K335" s="28" t="str">
        <x:v>The Art &amp; Science of Foodpairing.pdf</x:v>
      </x:c>
      <x:c r="L335" s="28" t="str">
        <x:v>The Art &amp; Science of Foodpairing.pdf: 224</x:v>
      </x:c>
    </x:row>
    <x:row r="336" ht="64" customHeight="1">
      <x:c r="A336" s="28" t="str">
        <x:v>NCT-0416</x:v>
      </x:c>
      <x:c r="B336" s="28" t="str">
        <x:v>пекан</x:v>
      </x:c>
      <x:c r="C336" s="28" t="str">
        <x:v>финик</x:v>
      </x:c>
      <x:c r="D336" s="28" t="str">
        <x:v>Прочее</x:v>
      </x:c>
      <x:c r="E336" s="28" t="str">
        <x:v>сенсорная комплементарность</x:v>
      </x:c>
      <x:c r="F336" s="28" t="str">
        <x:v>Пекан имеет профиль «маслянистый, сладкий, карамельный и древесно-ореховый». Партнёр «финик»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36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36" s="28" t="str">
        <x:v>аллерген и высокая склонность к окислению</x:v>
      </x:c>
      <x:c r="I336" s="28" t="str">
        <x:v>пралине, паста, выпечка, гарнир, соус, молочный или коктейльный компонент с финик</x:v>
      </x:c>
      <x:c r="J336" s="28" t="str">
        <x:v>Гипотеза / практическая</x:v>
      </x:c>
      <x:c r="K336" s="28" t="str">
        <x:v>Таблица сочетания(1).pdf</x:v>
      </x:c>
      <x:c r="L336" s="28" t="str">
        <x:v>Таблица сочетания(1).pdf: 7</x:v>
      </x:c>
    </x:row>
    <x:row r="337" ht="64" customHeight="1">
      <x:c r="A337" s="28" t="str">
        <x:v>NCT-0417</x:v>
      </x:c>
      <x:c r="B337" s="28" t="str">
        <x:v>пекан</x:v>
      </x:c>
      <x:c r="C337" s="28" t="str">
        <x:v>чернослив</x:v>
      </x:c>
      <x:c r="D337" s="28" t="str">
        <x:v>Фрукты и ягоды</x:v>
      </x:c>
      <x:c r="E337" s="28" t="str">
        <x:v>контраст кислоты и жирной/горькой матрицы</x:v>
      </x:c>
      <x:c r="F337" s="28" t="str">
        <x:v>Пекан имеет профиль «маслянистый, сладкий, карамельный и древесно-ореховый». Партнёр «чернослив»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37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37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I337" s="28" t="str">
        <x:v>пралине, паста, выпечка, гарнир, соус, молочный или коктейльный компонент с чернослив</x:v>
      </x:c>
      <x:c r="J337" s="28" t="str">
        <x:v>Гипотеза / практическая</x:v>
      </x:c>
      <x:c r="K337" s="28" t="str">
        <x:v>Таблица сочетания(1).pdf</x:v>
      </x:c>
      <x:c r="L337" s="28" t="str">
        <x:v>Таблица сочетания(1).pdf: 18</x:v>
      </x:c>
    </x:row>
    <x:row r="338" ht="64" customHeight="1">
      <x:c r="A338" s="28" t="str">
        <x:v>NCT-0418</x:v>
      </x:c>
      <x:c r="B338" s="28" t="str">
        <x:v>пекан</x:v>
      </x:c>
      <x:c r="C338" s="28" t="str">
        <x:v>шоколад</x:v>
      </x:c>
      <x:c r="D338" s="28" t="str">
        <x:v>Какао и шоколад</x:v>
      </x:c>
      <x:c r="E338" s="28" t="str">
        <x:v>общие ароматические соединения, жареная химия и реакции Майяра</x:v>
      </x:c>
      <x:c r="F338" s="28" t="str">
        <x:v>Пекан имеет профиль «маслянистый, сладкий, карамельный и древесно-ореховый».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пиразины, фураны.</x:v>
      </x:c>
      <x:c r="G338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38" s="28" t="str">
        <x:v>аллерген и высокая склонность к окислению</x:v>
      </x:c>
      <x:c r="I338" s="28" t="str">
        <x:v>пралине, паста, выпечка, гарнир, соус, молочный или коктейльный компонент с шоколад</x:v>
      </x:c>
      <x:c r="J338" s="28" t="str">
        <x:v>Гипотеза / практическая</x:v>
      </x:c>
      <x:c r="K338" s="28" t="str">
        <x:v>Таблица сочетания(1).pdf</x:v>
      </x:c>
      <x:c r="L338" s="28" t="str">
        <x:v>Таблица сочетания(1).pdf: 16</x:v>
      </x:c>
    </x:row>
    <x:row r="339" ht="64" customHeight="1">
      <x:c r="A339" s="28" t="str">
        <x:v>NCT-0419</x:v>
      </x:c>
      <x:c r="B339" s="28" t="str">
        <x:v>пекан</x:v>
      </x:c>
      <x:c r="C339" s="28" t="str">
        <x:v>яблоко</x:v>
      </x:c>
      <x:c r="D339" s="28" t="str">
        <x:v>Фрукты и ягоды</x:v>
      </x:c>
      <x:c r="E339" s="28" t="str">
        <x:v>контраст кислоты и жирной/горькой матрицы</x:v>
      </x:c>
      <x:c r="F339" s="28" t="str">
        <x:v>Пекан имеет профиль «маслянистый, сладкий, карамельный и древесно-ореховый». Партнёр «яблоко»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39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339" s="28" t="str">
        <x:v>аллерген и высокая склонность к окислению; избыток кислоты может сделать чай или кофе резкими и разрушить молочную эмульсию</x:v>
      </x:c>
      <x:c r="I339" s="28" t="str">
        <x:v>пралине, паста, выпечка, гарнир, соус, молочный или коктейльный компонент с яблоко</x:v>
      </x:c>
      <x:c r="J339" s="28" t="str">
        <x:v>Гипотеза / практическая</x:v>
      </x:c>
      <x:c r="K339" s="28" t="str">
        <x:v>Таблица сочетания(1).pdf</x:v>
      </x:c>
      <x:c r="L339" s="28" t="str">
        <x:v>Таблица сочетания(1).pdf: 1</x:v>
      </x:c>
    </x:row>
    <x:row r="340" ht="64" customHeight="1">
      <x:c r="A340" s="28" t="str">
        <x:v>NCT-0420</x:v>
      </x:c>
      <x:c r="B340" s="28" t="str">
        <x:v>ройбуш</x:v>
      </x:c>
      <x:c r="C340" s="28" t="str">
        <x:v>банан</x:v>
      </x:c>
      <x:c r="D340" s="28" t="str">
        <x:v>Фрукты и ягоды</x:v>
      </x:c>
      <x:c r="E340" s="28" t="str">
        <x:v>контраст кислоты и жирной/горькой матрицы</x:v>
      </x:c>
      <x:c r="F340" s="28" t="str">
        <x:v>Ройбуш имеет профиль «медовый, древесный, ванильный и слегка ореховый».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340" s="28" t="str">
        <x:v>длительное заваривание переносит лучше чая, но может усилить древесность.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340" s="28" t="str">
        <x:v>слабая структура требует кислоты или специи; легко потерять тонкий аромат;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340" s="28" t="str">
        <x:v>чайный настой, холодный чай, кордиал, молочный пунш, десерт или соус с банан</x:v>
      </x:c>
      <x:c r="J340" s="28" t="str">
        <x:v>Средняя</x:v>
      </x:c>
      <x:c r="K340" s="28" t="str">
        <x:v>The Art &amp; Science of Foodpairing.pdf</x:v>
      </x:c>
      <x:c r="L340" s="28" t="str">
        <x:v>The Art &amp; Science of Foodpairing.pdf: 342</x:v>
      </x:c>
    </x:row>
    <x:row r="341" ht="64" customHeight="1">
      <x:c r="A341" s="28" t="str">
        <x:v>NCT-0422</x:v>
      </x:c>
      <x:c r="B341" s="28" t="str">
        <x:v>улун</x:v>
      </x:c>
      <x:c r="C341" s="28" t="str">
        <x:v>sea fig</x:v>
      </x:c>
      <x:c r="D341" s="28" t="str">
        <x:v>Фрукты и ягоды</x:v>
      </x:c>
      <x:c r="E341" s="28" t="str">
        <x:v>пересечение ароматических семейств, контраст кислоты и жирной/горькой матрицы</x:v>
      </x:c>
      <x:c r="F341" s="28" t="str">
        <x:v>Улун имеет профиль «цветочный, фруктовый, сливочный и слегка жареный». Партнёр «sea fig» относится к группе «Фрукты и ягоды» и даёт фруктовый, цветочный и свежий. Профили пересекаются в семействах: фруктовый,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фруктовый, цветочный; механизм не следует сводить к одной общей молекуле.</x:v>
      </x:c>
      <x:c r="G341" s="28" t="str">
        <x:v>многократные короткие проливы раскрывают слои; перегрев стирает цветочность.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341" s="28" t="str">
        <x:v>переэкстракция и хранение рядом с сильными запахами;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341" s="28" t="str">
        <x:v>чайный настой, холодный чай, кордиал, молочный пунш, десерт или соус с sea fig</x:v>
      </x:c>
      <x:c r="J341" s="28" t="str">
        <x:v>Высокая</x:v>
      </x:c>
      <x:c r="K341" s="28" t="str">
        <x:v>The Art &amp; Science of Foodpairing.pdf</x:v>
      </x:c>
      <x:c r="L341" s="28" t="str">
        <x:v>The Art &amp; Science of Foodpairing.pdf: 363</x:v>
      </x:c>
    </x:row>
    <x:row r="342" ht="64" customHeight="1">
      <x:c r="A342" s="28" t="str">
        <x:v>NCT-0423</x:v>
      </x:c>
      <x:c r="B342" s="28" t="str">
        <x:v>фисташка</x:v>
      </x:c>
      <x:c r="C342" s="28" t="str">
        <x:v>apple and apple sauce</x:v>
      </x:c>
      <x:c r="D342" s="28" t="str">
        <x:v>Фрукты и ягоды</x:v>
      </x:c>
      <x:c r="E342" s="28" t="str">
        <x:v>контраст кислоты и жирной/горькой матрицы</x:v>
      </x:c>
      <x:c r="F342" s="28" t="str">
        <x:v>Фисташка имеет профиль «зелёный, ореховый, смолистый, сладкий и слегка цветочный». Партнёр «apple and apple sauce»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42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42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I342" s="28" t="str">
        <x:v>пралине, паста, выпечка, гарнир, соус, молочный или коктейльный компонент с apple and apple sauce</x:v>
      </x:c>
      <x:c r="J342" s="28" t="str">
        <x:v>Средняя</x:v>
      </x:c>
      <x:c r="K342" s="28" t="str">
        <x:v>The Art &amp; Science of Foodpairing.pdf</x:v>
      </x:c>
      <x:c r="L342" s="28" t="str">
        <x:v>The Art &amp; Science of Foodpairing.pdf: 48</x:v>
      </x:c>
    </x:row>
    <x:row r="343" ht="64" customHeight="1">
      <x:c r="A343" s="28" t="str">
        <x:v>NCT-0424</x:v>
      </x:c>
      <x:c r="B343" s="28" t="str">
        <x:v>фисташка</x:v>
      </x:c>
      <x:c r="C343" s="28" t="str">
        <x:v>goats' cheese and milk</x:v>
      </x:c>
      <x:c r="D343" s="28" t="str">
        <x:v>Молочные продукты и сыры</x:v>
      </x:c>
      <x:c r="E343" s="28" t="str">
        <x:v>жировая экстракция и связывание полифенолов белком</x:v>
      </x:c>
      <x:c r="F343" s="28" t="str">
        <x:v>Фисташка имеет профиль «зелёный, ореховый, смолистый, сладкий и слегка цветочный». Партнёр «goats' cheese and milk»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43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43" s="28" t="str">
        <x:v>аллерген; солёные фисташки меняют баланс рецепта; прогоркание; жир способен приглушить тонкую ароматику; белок связывает полифенолы</x:v>
      </x:c>
      <x:c r="I343" s="28" t="str">
        <x:v>пралине, паста, выпечка, гарнир, соус, молочный или коктейльный компонент с goats' cheese and milk</x:v>
      </x:c>
      <x:c r="J343" s="28" t="str">
        <x:v>Средняя</x:v>
      </x:c>
      <x:c r="K343" s="28" t="str">
        <x:v>The Art &amp; Science of Foodpairing.pdf</x:v>
      </x:c>
      <x:c r="L343" s="28" t="str">
        <x:v>The Art &amp; Science of Foodpairing.pdf: 200</x:v>
      </x:c>
    </x:row>
    <x:row r="344" ht="64" customHeight="1">
      <x:c r="A344" s="28" t="str">
        <x:v>NCT-0425</x:v>
      </x:c>
      <x:c r="B344" s="28" t="str">
        <x:v>фисташка</x:v>
      </x:c>
      <x:c r="C344" s="28" t="str">
        <x:v>абрикос</x:v>
      </x:c>
      <x:c r="D344" s="28" t="str">
        <x:v>Фрукты и ягоды</x:v>
      </x:c>
      <x:c r="E344" s="28" t="str">
        <x:v>контраст кислоты и жирной/горькой матрицы</x:v>
      </x:c>
      <x:c r="F344" s="28" t="str">
        <x:v>Фисташка имеет профиль «зелёный, ореховый, смолистый, сладкий и слегка цветочный». Партнёр «абрикос» относится к группе «Фрукты и ягоды» и даёт лактонный, миндальный,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44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44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I344" s="28" t="str">
        <x:v>пралине, паста, выпечка, гарнир, соус, молочный или коктейльный компонент с абрикос</x:v>
      </x:c>
      <x:c r="J344" s="28" t="str">
        <x:v>Гипотеза / практическая</x:v>
      </x:c>
      <x:c r="K344" s="28" t="str">
        <x:v>Таблица сочетания(1).pdf</x:v>
      </x:c>
      <x:c r="L344" s="28" t="str">
        <x:v>Таблица сочетания(1).pdf: 2, 17</x:v>
      </x:c>
    </x:row>
    <x:row r="345" ht="64" customHeight="1">
      <x:c r="A345" s="28" t="str">
        <x:v>NCT-0426</x:v>
      </x:c>
      <x:c r="B345" s="28" t="str">
        <x:v>фисташка</x:v>
      </x:c>
      <x:c r="C345" s="28" t="str">
        <x:v>ананас</x:v>
      </x:c>
      <x:c r="D345" s="28" t="str">
        <x:v>Прочее</x:v>
      </x:c>
      <x:c r="E345" s="28" t="str">
        <x:v>сенсорная комплементарность</x:v>
      </x:c>
      <x:c r="F345" s="28" t="str">
        <x:v>Фисташка имеет профиль «зелёный, ореховый, смолистый, сладкий и слегка цветочный». Партнёр «ананас»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45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45" s="28" t="str">
        <x:v>аллерген; солёные фисташки меняют баланс рецепта; прогоркание</x:v>
      </x:c>
      <x:c r="I345" s="28" t="str">
        <x:v>пралине, паста, выпечка, гарнир, соус, молочный или коктейльный компонент с ананас</x:v>
      </x:c>
      <x:c r="J345" s="28" t="str">
        <x:v>Гипотеза / практическая</x:v>
      </x:c>
      <x:c r="K345" s="28" t="str">
        <x:v>Таблица сочетания(1).pdf</x:v>
      </x:c>
      <x:c r="L345" s="28" t="str">
        <x:v>Таблица сочетания(1).pdf: 17</x:v>
      </x:c>
    </x:row>
    <x:row r="346" ht="64" customHeight="1">
      <x:c r="A346" s="28" t="str">
        <x:v>NCT-0427</x:v>
      </x:c>
      <x:c r="B346" s="28" t="str">
        <x:v>фисташка</x:v>
      </x:c>
      <x:c r="C346" s="28" t="str">
        <x:v>базилик</x:v>
      </x:c>
      <x:c r="D346" s="28" t="str">
        <x:v>Травы, цветы и листья</x:v>
      </x:c>
      <x:c r="E346" s="28" t="str">
        <x:v>общие ароматические соединения, пересечение ароматических семейств</x:v>
      </x:c>
      <x:c r="F346" s="28" t="str">
        <x:v>Фисташка имеет профиль «зелёный, ореховый, смолистый, сладкий и слегка цветочный». Партнёр «базилик» относится к группе «Травы, цветы и листья» и даёт зелёный, цветочный и терпеновый. Молекулярный мост создают терпены Ореховый жир служит носителем ароматов и создаёт текстурный контраст, но окисление быстро превращает профиль в прогорклый. Итог: зелёный; терпены.</x:v>
      </x:c>
      <x:c r="G346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46" s="28" t="str">
        <x:v>аллерген; солёные фисташки меняют баланс рецепта; прогоркание</x:v>
      </x:c>
      <x:c r="I346" s="28" t="str">
        <x:v>пралине, паста, выпечка, гарнир, соус, молочный или коктейльный компонент с базилик</x:v>
      </x:c>
      <x:c r="J346" s="28" t="str">
        <x:v>Высокая</x:v>
      </x:c>
      <x:c r="K346" s="28" t="str">
        <x:v>The Art &amp; Science of Foodpairing.pdf | Таблица сочетания(1).pdf</x:v>
      </x:c>
      <x:c r="L346" s="28" t="str">
        <x:v>The Art &amp; Science of Foodpairing.pdf: 74; Таблица сочетания(1).pdf: 17</x:v>
      </x:c>
    </x:row>
    <x:row r="347" ht="64" customHeight="1">
      <x:c r="A347" s="28" t="str">
        <x:v>NCT-0428</x:v>
      </x:c>
      <x:c r="B347" s="28" t="str">
        <x:v>фисташка</x:v>
      </x:c>
      <x:c r="C347" s="28" t="str">
        <x:v>ваниль</x:v>
      </x:c>
      <x:c r="D347" s="28" t="str">
        <x:v>Специи</x:v>
      </x:c>
      <x:c r="E347" s="28" t="str">
        <x:v>сенсорная комплементарность</x:v>
      </x:c>
      <x:c r="F347" s="28" t="str">
        <x:v>Фисташка имеет профиль «зелёный, ореховый, смолистый, сладкий и слегка цветочный».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47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47" s="28" t="str">
        <x:v>аллерген; солёные фисташки меняют баланс рецепта; прогоркание</x:v>
      </x:c>
      <x:c r="I347" s="28" t="str">
        <x:v>пралине, паста, выпечка, гарнир, соус, молочный или коктейльный компонент с ваниль</x:v>
      </x:c>
      <x:c r="J347" s="28" t="str">
        <x:v>Гипотеза / практическая</x:v>
      </x:c>
      <x:c r="K347" s="28" t="str">
        <x:v>Таблица сочетания(1).pdf</x:v>
      </x:c>
      <x:c r="L347" s="28" t="str">
        <x:v>Таблица сочетания(1).pdf: 17</x:v>
      </x:c>
    </x:row>
    <x:row r="348" ht="64" customHeight="1">
      <x:c r="A348" s="28" t="str">
        <x:v>NCT-0429</x:v>
      </x:c>
      <x:c r="B348" s="28" t="str">
        <x:v>фисташка</x:v>
      </x:c>
      <x:c r="C348" s="28" t="str">
        <x:v>груша</x:v>
      </x:c>
      <x:c r="D348" s="28" t="str">
        <x:v>Фрукты и ягоды</x:v>
      </x:c>
      <x:c r="E348" s="28" t="str">
        <x:v>контраст кислоты и жирной/горькой матрицы</x:v>
      </x:c>
      <x:c r="F348" s="28" t="str">
        <x:v>Фисташка имеет профиль «зелёный, ореховый, смолистый, сладкий и слегка цветочный». Партнёр «груша»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48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48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I348" s="28" t="str">
        <x:v>пралине, паста, выпечка, гарнир, соус, молочный или коктейльный компонент с груша</x:v>
      </x:c>
      <x:c r="J348" s="28" t="str">
        <x:v>Гипотеза / практическая</x:v>
      </x:c>
      <x:c r="K348" s="28" t="str">
        <x:v>Таблица сочетания(1).pdf</x:v>
      </x:c>
      <x:c r="L348" s="28" t="str">
        <x:v>Таблица сочетания(1).pdf: 16</x:v>
      </x:c>
    </x:row>
    <x:row r="349" ht="64" customHeight="1">
      <x:c r="A349" s="28" t="str">
        <x:v>NCT-0430</x:v>
      </x:c>
      <x:c r="B349" s="28" t="str">
        <x:v>фисташка</x:v>
      </x:c>
      <x:c r="C349" s="28" t="str">
        <x:v>кардамон</x:v>
      </x:c>
      <x:c r="D349" s="28" t="str">
        <x:v>Специи</x:v>
      </x:c>
      <x:c r="E349" s="28" t="str">
        <x:v>сенсорная комплементарность</x:v>
      </x:c>
      <x:c r="F349" s="28" t="str">
        <x:v>Фисташка имеет профиль «зелёный, ореховый, смолистый, сладкий и слегка цветочный». Партнёр «кардамон» относится к группе «Специи» и даёт камфорный, цветочный,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49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49" s="28" t="str">
        <x:v>аллерген; солёные фисташки меняют баланс рецепта; прогоркание</x:v>
      </x:c>
      <x:c r="I349" s="28" t="str">
        <x:v>пралине, паста, выпечка, гарнир, соус, молочный или коктейльный компонент с кардамон</x:v>
      </x:c>
      <x:c r="J349" s="28" t="str">
        <x:v>Гипотеза / практическая</x:v>
      </x:c>
      <x:c r="K349" s="28" t="str">
        <x:v>Таблица сочетания(1).pdf</x:v>
      </x:c>
      <x:c r="L349" s="28" t="str">
        <x:v>Таблица сочетания(1).pdf: 17</x:v>
      </x:c>
    </x:row>
    <x:row r="350" ht="64" customHeight="1">
      <x:c r="A350" s="28" t="str">
        <x:v>NCT-0431</x:v>
      </x:c>
      <x:c r="B350" s="28" t="str">
        <x:v>фисташка</x:v>
      </x:c>
      <x:c r="C350" s="28" t="str">
        <x:v>клюква</x:v>
      </x:c>
      <x:c r="D350" s="28" t="str">
        <x:v>Прочее</x:v>
      </x:c>
      <x:c r="E350" s="28" t="str">
        <x:v>сенсорная комплементарность</x:v>
      </x:c>
      <x:c r="F350" s="28" t="str">
        <x:v>Фисташка имеет профиль «зелёный, ореховый, смолистый, сладкий и слегка цветочный». Партнёр «клюква»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50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50" s="28" t="str">
        <x:v>аллерген; солёные фисташки меняют баланс рецепта; прогоркание</x:v>
      </x:c>
      <x:c r="I350" s="28" t="str">
        <x:v>пралине, паста, выпечка, гарнир, соус, молочный или коктейльный компонент с клюква</x:v>
      </x:c>
      <x:c r="J350" s="28" t="str">
        <x:v>Гипотеза / практическая</x:v>
      </x:c>
      <x:c r="K350" s="28" t="str">
        <x:v>Таблица сочетания(1).pdf</x:v>
      </x:c>
      <x:c r="L350" s="28" t="str">
        <x:v>Таблица сочетания(1).pdf: 6, 17</x:v>
      </x:c>
    </x:row>
    <x:row r="351" ht="64" customHeight="1">
      <x:c r="A351" s="28" t="str">
        <x:v>NCT-0432</x:v>
      </x:c>
      <x:c r="B351" s="28" t="str">
        <x:v>фисташка</x:v>
      </x:c>
      <x:c r="C351" s="28" t="str">
        <x:v>кокос</x:v>
      </x:c>
      <x:c r="D351" s="28" t="str">
        <x:v>Прочее</x:v>
      </x:c>
      <x:c r="E351" s="28" t="str">
        <x:v>сенсорная комплементарность</x:v>
      </x:c>
      <x:c r="F351" s="28" t="str">
        <x:v>Фисташка имеет профиль «зелёный, ореховый, смолистый, сладкий и слегка цветочный». Партнёр «кокос» относится к группе «Прочее» и даёт лактонный, сливочный.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51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51" s="28" t="str">
        <x:v>аллерген; солёные фисташки меняют баланс рецепта; прогоркание</x:v>
      </x:c>
      <x:c r="I351" s="28" t="str">
        <x:v>пралине, паста, выпечка, гарнир, соус, молочный или коктейльный компонент с кокос</x:v>
      </x:c>
      <x:c r="J351" s="28" t="str">
        <x:v>Гипотеза / практическая</x:v>
      </x:c>
      <x:c r="K351" s="28" t="str">
        <x:v>Таблица сочетания(1).pdf</x:v>
      </x:c>
      <x:c r="L351" s="28" t="str">
        <x:v>Таблица сочетания(1).pdf: 17</x:v>
      </x:c>
    </x:row>
    <x:row r="352" ht="64" customHeight="1">
      <x:c r="A352" s="28" t="str">
        <x:v>NCT-0433</x:v>
      </x:c>
      <x:c r="B352" s="28" t="str">
        <x:v>фисташка</x:v>
      </x:c>
      <x:c r="C352" s="28" t="str">
        <x:v>лимон</x:v>
      </x:c>
      <x:c r="D352" s="28" t="str">
        <x:v>Фрукты и ягоды</x:v>
      </x:c>
      <x:c r="E352" s="28" t="str">
        <x:v>контраст кислоты и жирной/горькой матрицы</x:v>
      </x:c>
      <x:c r="F352" s="28" t="str">
        <x:v>Фисташка имеет профиль «зелёный, ореховый, смолистый, сладкий и слегка цветочный».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52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52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I352" s="28" t="str">
        <x:v>пралине, паста, выпечка, гарнир, соус, молочный или коктейльный компонент с лимон</x:v>
      </x:c>
      <x:c r="J352" s="28" t="str">
        <x:v>Гипотеза / практическая</x:v>
      </x:c>
      <x:c r="K352" s="28" t="str">
        <x:v>Таблица сочетания(1).pdf</x:v>
      </x:c>
      <x:c r="L352" s="28" t="str">
        <x:v>Таблица сочетания(1).pdf: 11</x:v>
      </x:c>
    </x:row>
    <x:row r="353" ht="64" customHeight="1">
      <x:c r="A353" s="28" t="str">
        <x:v>NCT-0434</x:v>
      </x:c>
      <x:c r="B353" s="28" t="str">
        <x:v>фисташка</x:v>
      </x:c>
      <x:c r="C353" s="28" t="str">
        <x:v>морошка</x:v>
      </x:c>
      <x:c r="D353" s="28" t="str">
        <x:v>Прочее</x:v>
      </x:c>
      <x:c r="E353" s="28" t="str">
        <x:v>сенсорная комплементарность</x:v>
      </x:c>
      <x:c r="F353" s="28" t="str">
        <x:v>Фисташка имеет профиль «зелёный, ореховый, смолистый, сладкий и слегка цветочный». Партнёр «морошка»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53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53" s="28" t="str">
        <x:v>аллерген; солёные фисташки меняют баланс рецепта; прогоркание</x:v>
      </x:c>
      <x:c r="I353" s="28" t="str">
        <x:v>пралине, паста, выпечка, гарнир, соус, молочный или коктейльный компонент с морошка</x:v>
      </x:c>
      <x:c r="J353" s="28" t="str">
        <x:v>Гипотеза / практическая</x:v>
      </x:c>
      <x:c r="K353" s="28" t="str">
        <x:v>Таблица сочетания(1).pdf</x:v>
      </x:c>
      <x:c r="L353" s="28" t="str">
        <x:v>Таблица сочетания(1).pdf: 5</x:v>
      </x:c>
    </x:row>
    <x:row r="354" ht="64" customHeight="1">
      <x:c r="A354" s="28" t="str">
        <x:v>NCT-0435</x:v>
      </x:c>
      <x:c r="B354" s="28" t="str">
        <x:v>фисташка</x:v>
      </x:c>
      <x:c r="C354" s="28" t="str">
        <x:v>мускатный орех</x:v>
      </x:c>
      <x:c r="D354" s="28" t="str">
        <x:v>Орехи и семена</x:v>
      </x:c>
      <x:c r="E354" s="28" t="str">
        <x:v>пересечение ароматических семейств, жареная химия и реакции Майяра</x:v>
      </x:c>
      <x:c r="F354" s="28" t="str">
        <x:v>Фисташка имеет профиль «зелёный, ореховый, смолистый, сладкий и слегка цветочный».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механизм не следует сводить к одной общей молекуле.</x:v>
      </x:c>
      <x:c r="G354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54" s="28" t="str">
        <x:v>аллерген; солёные фисташки меняют баланс рецепта; прогоркание</x:v>
      </x:c>
      <x:c r="I354" s="28" t="str">
        <x:v>пралине, паста, выпечка, гарнир, соус, молочный или коктейльный компонент с мускатный орех</x:v>
      </x:c>
      <x:c r="J354" s="28" t="str">
        <x:v>Гипотеза / практическая</x:v>
      </x:c>
      <x:c r="K354" s="28" t="str">
        <x:v>Таблица сочетания(1).pdf</x:v>
      </x:c>
      <x:c r="L354" s="28" t="str">
        <x:v>Таблица сочетания(1).pdf: 17</x:v>
      </x:c>
    </x:row>
    <x:row r="355" ht="64" customHeight="1">
      <x:c r="A355" s="28" t="str">
        <x:v>NCT-0436</x:v>
      </x:c>
      <x:c r="B355" s="28" t="str">
        <x:v>фисташка</x:v>
      </x:c>
      <x:c r="C355" s="28" t="str">
        <x:v>нектарин</x:v>
      </x:c>
      <x:c r="D355" s="28" t="str">
        <x:v>Прочее</x:v>
      </x:c>
      <x:c r="E355" s="28" t="str">
        <x:v>сенсорная комплементарность</x:v>
      </x:c>
      <x:c r="F355" s="28" t="str">
        <x:v>Фисташка имеет профиль «зелёный, ореховый, смолистый, сладкий и слегка цветочный». Партнёр «нектарин»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55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55" s="28" t="str">
        <x:v>аллерген; солёные фисташки меняют баланс рецепта; прогоркание</x:v>
      </x:c>
      <x:c r="I355" s="28" t="str">
        <x:v>пралине, паста, выпечка, гарнир, соус, молочный или коктейльный компонент с нектарин</x:v>
      </x:c>
      <x:c r="J355" s="28" t="str">
        <x:v>Гипотеза / практическая</x:v>
      </x:c>
      <x:c r="K355" s="28" t="str">
        <x:v>Таблица сочетания(1).pdf</x:v>
      </x:c>
      <x:c r="L355" s="28" t="str">
        <x:v>Таблица сочетания(1).pdf: 14</x:v>
      </x:c>
    </x:row>
    <x:row r="356" ht="64" customHeight="1">
      <x:c r="A356" s="28" t="str">
        <x:v>NCT-0437</x:v>
      </x:c>
      <x:c r="B356" s="28" t="str">
        <x:v>фисташка</x:v>
      </x:c>
      <x:c r="C356" s="28" t="str">
        <x:v>оливковое масло</x:v>
      </x:c>
      <x:c r="D356" s="28" t="str">
        <x:v>Масла и жиры</x:v>
      </x:c>
      <x:c r="E356" s="28" t="str">
        <x:v>сенсорная комплементарность</x:v>
      </x:c>
      <x:c r="F356" s="28" t="str">
        <x:v>Фисташка имеет профиль «зелёный, ореховый, смолистый, сладкий и слегка цветочный». Партнёр «оливковое масло» относится к группе «Масла и жиры» и даёт жирный и мягкий.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56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56" s="28" t="str">
        <x:v>аллерген; солёные фисташки меняют баланс рецепта; прогоркание</x:v>
      </x:c>
      <x:c r="I356" s="28" t="str">
        <x:v>пралине, паста, выпечка, гарнир, соус, молочный или коктейльный компонент с оливковое масло</x:v>
      </x:c>
      <x:c r="J356" s="28" t="str">
        <x:v>Средняя</x:v>
      </x:c>
      <x:c r="K356" s="28" t="str">
        <x:v>The Art &amp; Science of Foodpairing.pdf</x:v>
      </x:c>
      <x:c r="L356" s="28" t="str">
        <x:v>The Art &amp; Science of Foodpairing.pdf: 172</x:v>
      </x:c>
    </x:row>
    <x:row r="357" ht="64" customHeight="1">
      <x:c r="A357" s="28" t="str">
        <x:v>NCT-0438</x:v>
      </x:c>
      <x:c r="B357" s="28" t="str">
        <x:v>фисташка</x:v>
      </x:c>
      <x:c r="C357" s="28" t="str">
        <x:v>персик</x:v>
      </x:c>
      <x:c r="D357" s="28" t="str">
        <x:v>Фрукты и ягоды</x:v>
      </x:c>
      <x:c r="E357" s="28" t="str">
        <x:v>контраст кислоты и жирной/горькой матрицы</x:v>
      </x:c>
      <x:c r="F357" s="28" t="str">
        <x:v>Фисташка имеет профиль «зелёный, ореховый, смолистый, сладкий и слегка цветочный». Партнёр «персик» относится к группе «Фрукты и ягоды» и даёт лактонный, фруктовый, цветочный.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57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57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I357" s="28" t="str">
        <x:v>пралине, паста, выпечка, гарнир, соус, молочный или коктейльный компонент с персик</x:v>
      </x:c>
      <x:c r="J357" s="28" t="str">
        <x:v>Гипотеза / практическая</x:v>
      </x:c>
      <x:c r="K357" s="28" t="str">
        <x:v>Таблица сочетания(1).pdf</x:v>
      </x:c>
      <x:c r="L357" s="28" t="str">
        <x:v>Таблица сочетания(1).pdf: 15</x:v>
      </x:c>
    </x:row>
    <x:row r="358" ht="64" customHeight="1">
      <x:c r="A358" s="28" t="str">
        <x:v>NCT-0439</x:v>
      </x:c>
      <x:c r="B358" s="28" t="str">
        <x:v>фисташка</x:v>
      </x:c>
      <x:c r="C358" s="28" t="str">
        <x:v>персики</x:v>
      </x:c>
      <x:c r="D358" s="28" t="str">
        <x:v>Фрукты и ягоды</x:v>
      </x:c>
      <x:c r="E358" s="28" t="str">
        <x:v>контраст кислоты и жирной/горькой матрицы</x:v>
      </x:c>
      <x:c r="F358" s="28" t="str">
        <x:v>Фисташка имеет профиль «зелёный, ореховый, смолистый, сладкий и слегка цветочный». Партнёр «персики» относится к группе «Фрукты и ягоды» и даёт лактонный, фруктовый, цветочный.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58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58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I358" s="28" t="str">
        <x:v>пралине, паста, выпечка, гарнир, соус, молочный или коктейльный компонент с персики</x:v>
      </x:c>
      <x:c r="J358" s="28" t="str">
        <x:v>Гипотеза / практическая</x:v>
      </x:c>
      <x:c r="K358" s="28" t="str">
        <x:v>Таблица сочетания(1).pdf</x:v>
      </x:c>
      <x:c r="L358" s="28" t="str">
        <x:v>Таблица сочетания(1).pdf: 17</x:v>
      </x:c>
    </x:row>
    <x:row r="359" ht="64" customHeight="1">
      <x:c r="A359" s="28" t="str">
        <x:v>NCT-0440</x:v>
      </x:c>
      <x:c r="B359" s="28" t="str">
        <x:v>фисташка</x:v>
      </x:c>
      <x:c r="C359" s="28" t="str">
        <x:v>петрушка</x:v>
      </x:c>
      <x:c r="D359" s="28" t="str">
        <x:v>Травы, цветы и листья</x:v>
      </x:c>
      <x:c r="E359" s="28" t="str">
        <x:v>общие ароматические соединения, пересечение ароматических семейств</x:v>
      </x:c>
      <x:c r="F359" s="28" t="str">
        <x:v>Фисташка имеет профиль «зелёный, ореховый, смолистый, сладкий и слегка цветочный». Партнёр «петрушка» относится к группе «Травы, цветы и листья» и даёт зелёный, цветочный и терпеновый. Молекулярный мост создают терпены Ореховый жир служит носителем ароматов и создаёт текстурный контраст, но окисление быстро превращает профиль в прогорклый. Итог: зелёный; терпены.</x:v>
      </x:c>
      <x:c r="G359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59" s="28" t="str">
        <x:v>аллерген; солёные фисташки меняют баланс рецепта; прогоркание</x:v>
      </x:c>
      <x:c r="I359" s="28" t="str">
        <x:v>пралине, паста, выпечка, гарнир, соус, молочный или коктейльный компонент с петрушка</x:v>
      </x:c>
      <x:c r="J359" s="28" t="str">
        <x:v>Гипотеза / практическая</x:v>
      </x:c>
      <x:c r="K359" s="28" t="str">
        <x:v>Таблица сочетания(1).pdf</x:v>
      </x:c>
      <x:c r="L359" s="28" t="str">
        <x:v>Таблица сочетания(1).pdf: 17</x:v>
      </x:c>
    </x:row>
    <x:row r="360" ht="64" customHeight="1">
      <x:c r="A360" s="28" t="str">
        <x:v>NCT-0441</x:v>
      </x:c>
      <x:c r="B360" s="28" t="str">
        <x:v>фисташка</x:v>
      </x:c>
      <x:c r="C360" s="28" t="str">
        <x:v>розмарин</x:v>
      </x:c>
      <x:c r="D360" s="28" t="str">
        <x:v>Травы, цветы и листья</x:v>
      </x:c>
      <x:c r="E360" s="28" t="str">
        <x:v>общие ароматические соединения, пересечение ароматических семейств</x:v>
      </x:c>
      <x:c r="F360" s="28" t="str">
        <x:v>Фисташка имеет профиль «зелёный, ореховый, смолистый, сладкий и слегка цветочный». Партнёр «розмарин» относится к группе «Травы, цветы и листья» и даёт зелёный, цветочный и терпеновый. Молекулярный мост создают терпены Ореховый жир служит носителем ароматов и создаёт текстурный контраст, но окисление быстро превращает профиль в прогорклый. Итог: зелёный; терпены.</x:v>
      </x:c>
      <x:c r="G360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60" s="28" t="str">
        <x:v>аллерген; солёные фисташки меняют баланс рецепта; прогоркание</x:v>
      </x:c>
      <x:c r="I360" s="28" t="str">
        <x:v>пралине, паста, выпечка, гарнир, соус, молочный или коктейльный компонент с розмарин</x:v>
      </x:c>
      <x:c r="J360" s="28" t="str">
        <x:v>Гипотеза / практическая</x:v>
      </x:c>
      <x:c r="K360" s="28" t="str">
        <x:v>Таблица сочетания(1).pdf</x:v>
      </x:c>
      <x:c r="L360" s="28" t="str">
        <x:v>Таблица сочетания(1).pdf: 17</x:v>
      </x:c>
    </x:row>
    <x:row r="361" ht="64" customHeight="1">
      <x:c r="A361" s="28" t="str">
        <x:v>NCT-0442</x:v>
      </x:c>
      <x:c r="B361" s="28" t="str">
        <x:v>фисташка</x:v>
      </x:c>
      <x:c r="C361" s="28" t="str">
        <x:v>семена фенхеля</x:v>
      </x:c>
      <x:c r="D361" s="28" t="str">
        <x:v>Прочее</x:v>
      </x:c>
      <x:c r="E361" s="28" t="str">
        <x:v>сенсорная комплементарность</x:v>
      </x:c>
      <x:c r="F361" s="28" t="str">
        <x:v>Фисташка имеет профиль «зелёный, ореховый, смолистый, сладкий и слегка цветочный». Партнёр «семена фенхеля»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61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61" s="28" t="str">
        <x:v>аллерген; солёные фисташки меняют баланс рецепта; прогоркание</x:v>
      </x:c>
      <x:c r="I361" s="28" t="str">
        <x:v>пралине, паста, выпечка, гарнир, соус, молочный или коктейльный компонент с семена фенхеля</x:v>
      </x:c>
      <x:c r="J361" s="28" t="str">
        <x:v>Гипотеза / практическая</x:v>
      </x:c>
      <x:c r="K361" s="28" t="str">
        <x:v>Таблица сочетания(1).pdf</x:v>
      </x:c>
      <x:c r="L361" s="28" t="str">
        <x:v>Таблица сочетания(1).pdf: 17</x:v>
      </x:c>
    </x:row>
    <x:row r="362" ht="64" customHeight="1">
      <x:c r="A362" s="28" t="str">
        <x:v>NCT-0443</x:v>
      </x:c>
      <x:c r="B362" s="28" t="str">
        <x:v>фисташка</x:v>
      </x:c>
      <x:c r="C362" s="28" t="str">
        <x:v>слива</x:v>
      </x:c>
      <x:c r="D362" s="28" t="str">
        <x:v>Фрукты и ягоды</x:v>
      </x:c>
      <x:c r="E362" s="28" t="str">
        <x:v>контраст кислоты и жирной/горькой матрицы</x:v>
      </x:c>
      <x:c r="F362" s="28" t="str">
        <x:v>Фисташка имеет профиль «зелёный, ореховый, смолистый, сладкий и слегка цветочный». Партнёр «слива»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62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62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I362" s="28" t="str">
        <x:v>пралине, паста, выпечка, гарнир, соус, молочный или коктейльный компонент с слива</x:v>
      </x:c>
      <x:c r="J362" s="28" t="str">
        <x:v>Гипотеза / практическая</x:v>
      </x:c>
      <x:c r="K362" s="28" t="str">
        <x:v>Таблица сочетания(1).pdf</x:v>
      </x:c>
      <x:c r="L362" s="28" t="str">
        <x:v>Таблица сочетания(1).pdf: 17</x:v>
      </x:c>
    </x:row>
    <x:row r="363" ht="64" customHeight="1">
      <x:c r="A363" s="28" t="str">
        <x:v>NCT-0444</x:v>
      </x:c>
      <x:c r="B363" s="28" t="str">
        <x:v>фисташка</x:v>
      </x:c>
      <x:c r="C363" s="28" t="str">
        <x:v>финик</x:v>
      </x:c>
      <x:c r="D363" s="28" t="str">
        <x:v>Прочее</x:v>
      </x:c>
      <x:c r="E363" s="28" t="str">
        <x:v>сенсорная комплементарность</x:v>
      </x:c>
      <x:c r="F363" s="28" t="str">
        <x:v>Фисташка имеет профиль «зелёный, ореховый, смолистый, сладкий и слегка цветочный». Партнёр «финик»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63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63" s="28" t="str">
        <x:v>аллерген; солёные фисташки меняют баланс рецепта; прогоркание</x:v>
      </x:c>
      <x:c r="I363" s="28" t="str">
        <x:v>пралине, паста, выпечка, гарнир, соус, молочный или коктейльный компонент с финик</x:v>
      </x:c>
      <x:c r="J363" s="28" t="str">
        <x:v>Гипотеза / практическая</x:v>
      </x:c>
      <x:c r="K363" s="28" t="str">
        <x:v>Таблица сочетания(1).pdf</x:v>
      </x:c>
      <x:c r="L363" s="28" t="str">
        <x:v>Таблица сочетания(1).pdf: 7</x:v>
      </x:c>
    </x:row>
    <x:row r="364" ht="64" customHeight="1">
      <x:c r="A364" s="28" t="str">
        <x:v>NCT-0445</x:v>
      </x:c>
      <x:c r="B364" s="28" t="str">
        <x:v>фисташка</x:v>
      </x:c>
      <x:c r="C364" s="28" t="str">
        <x:v>чернослив</x:v>
      </x:c>
      <x:c r="D364" s="28" t="str">
        <x:v>Фрукты и ягоды</x:v>
      </x:c>
      <x:c r="E364" s="28" t="str">
        <x:v>контраст кислоты и жирной/горькой матрицы</x:v>
      </x:c>
      <x:c r="F364" s="28" t="str">
        <x:v>Фисташка имеет профиль «зелёный, ореховый, смолистый, сладкий и слегка цветочный». Партнёр «чернослив» относится к группе «Фрукты и ягоды» и даёт фруктовый, цветочный и свежий.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64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64" s="28" t="str">
        <x:v>аллерген; солёные фисташки меняют баланс рецепта; прогоркание; избыток кислоты может сделать чай или кофе резкими и разрушить молочную эмульсию</x:v>
      </x:c>
      <x:c r="I364" s="28" t="str">
        <x:v>пралине, паста, выпечка, гарнир, соус, молочный или коктейльный компонент с чернослив</x:v>
      </x:c>
      <x:c r="J364" s="28" t="str">
        <x:v>Гипотеза / практическая</x:v>
      </x:c>
      <x:c r="K364" s="28" t="str">
        <x:v>Таблица сочетания(1).pdf</x:v>
      </x:c>
      <x:c r="L364" s="28" t="str">
        <x:v>Таблица сочетания(1).pdf: 18</x:v>
      </x:c>
    </x:row>
    <x:row r="365" ht="64" customHeight="1">
      <x:c r="A365" s="28" t="str">
        <x:v>NCT-0446</x:v>
      </x:c>
      <x:c r="B365" s="28" t="str">
        <x:v>фисташка</x:v>
      </x:c>
      <x:c r="C365" s="28" t="str">
        <x:v>шоколад</x:v>
      </x:c>
      <x:c r="D365" s="28" t="str">
        <x:v>Какао и шоколад</x:v>
      </x:c>
      <x:c r="E365" s="28" t="str">
        <x:v>общие ароматические соединения, жареная химия и реакции Майяра</x:v>
      </x:c>
      <x:c r="F365" s="28" t="str">
        <x:v>Фисташка имеет профиль «зелёный, ореховый, смолистый, сладкий и слегка цветочный».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пиразины, фураны.</x:v>
      </x:c>
      <x:c r="G365" s="28" t="str">
        <x:v>лёгкая обжарка усиливает ореховость; сильный нагрев приглушает зелёный профиль. Целый орех обжаривать умеренно, охлаждать перед измельчением и хранить герметично.</x:v>
      </x:c>
      <x:c r="H365" s="28" t="str">
        <x:v>аллерген; солёные фисташки меняют баланс рецепта; прогоркание</x:v>
      </x:c>
      <x:c r="I365" s="28" t="str">
        <x:v>пралине, паста, выпечка, гарнир, соус, молочный или коктейльный компонент с шоколад</x:v>
      </x:c>
      <x:c r="J365" s="28" t="str">
        <x:v>Гипотеза / практическая</x:v>
      </x:c>
      <x:c r="K365" s="28" t="str">
        <x:v>Таблица сочетания(1).pdf</x:v>
      </x:c>
      <x:c r="L365" s="28" t="str">
        <x:v>Таблица сочетания(1).pdf: 17</x:v>
      </x:c>
    </x:row>
    <x:row r="366" ht="64" customHeight="1">
      <x:c r="A366" s="28" t="str">
        <x:v>NCT-0447</x:v>
      </x:c>
      <x:c r="B366" s="28" t="str">
        <x:v>фундук</x:v>
      </x:c>
      <x:c r="C366" s="28" t="str">
        <x:v>allspice</x:v>
      </x:c>
      <x:c r="D366" s="28" t="str">
        <x:v>Специи</x:v>
      </x:c>
      <x:c r="E366" s="28" t="str">
        <x:v>сенсорная комплементарность</x:v>
      </x:c>
      <x:c r="F366" s="28" t="str">
        <x:v>Фундук имеет профиль «ореховый, жареный, сладкий, землистый и какаоподобный». Партнёр «allspice»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6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66" s="28" t="str">
        <x:v>аллерген и чувствительность к прогорканию; пережаривание даёт дымную горечь</x:v>
      </x:c>
      <x:c r="I366" s="28" t="str">
        <x:v>пралине, паста, выпечка, гарнир, соус, молочный или коктейльный компонент с allspice</x:v>
      </x:c>
      <x:c r="J366" s="28" t="str">
        <x:v>Средняя</x:v>
      </x:c>
      <x:c r="K366" s="28" t="str">
        <x:v>The Art &amp; Science of Foodpairing.pdf</x:v>
      </x:c>
      <x:c r="L366" s="28" t="str">
        <x:v>The Art &amp; Science of Foodpairing.pdf: 332</x:v>
      </x:c>
    </x:row>
    <x:row r="367" ht="64" customHeight="1">
      <x:c r="A367" s="28" t="str">
        <x:v>NCT-0448</x:v>
      </x:c>
      <x:c r="B367" s="28" t="str">
        <x:v>фундук</x:v>
      </x:c>
      <x:c r="C367" s="28" t="str">
        <x:v>alphonso mango</x:v>
      </x:c>
      <x:c r="D367" s="28" t="str">
        <x:v>Фрукты и ягоды</x:v>
      </x:c>
      <x:c r="E367" s="28" t="str">
        <x:v>общие ароматические соединения, контраст кислоты и жирной/горькой матрицы</x:v>
      </x:c>
      <x:c r="F367" s="28" t="str">
        <x:v>Фундук имеет профиль «ореховый, жареный, сладкий, землистый и какаоподобный». Партнёр «alphonso mango»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6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67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67" s="28" t="str">
        <x:v>пралине, паста, выпечка, гарнир, соус, молочный или коктейльный компонент с alphonso mango</x:v>
      </x:c>
      <x:c r="J367" s="28" t="str">
        <x:v>Средняя</x:v>
      </x:c>
      <x:c r="K367" s="28" t="str">
        <x:v>The Art &amp; Science of Foodpairing.pdf</x:v>
      </x:c>
      <x:c r="L367" s="28" t="str">
        <x:v>The Art &amp; Science of Foodpairing.pdf: 332</x:v>
      </x:c>
    </x:row>
    <x:row r="368" ht="64" customHeight="1">
      <x:c r="A368" s="28" t="str">
        <x:v>NCT-0449</x:v>
      </x:c>
      <x:c r="B368" s="28" t="str">
        <x:v>фундук</x:v>
      </x:c>
      <x:c r="C368" s="28" t="str">
        <x:v>apple and apple sauce</x:v>
      </x:c>
      <x:c r="D368" s="28" t="str">
        <x:v>Фрукты и ягоды</x:v>
      </x:c>
      <x:c r="E368" s="28" t="str">
        <x:v>общие ароматические соединения, контраст кислоты и жирной/горькой матрицы</x:v>
      </x:c>
      <x:c r="F368" s="28" t="str">
        <x:v>Фундук имеет профиль «ореховый, жареный, сладкий, землистый и какаоподобный». Партнёр «apple and apple sauce»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6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68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68" s="28" t="str">
        <x:v>пралине, паста, выпечка, гарнир, соус, молочный или коктейльный компонент с apple and apple sauce</x:v>
      </x:c>
      <x:c r="J368" s="28" t="str">
        <x:v>Средняя</x:v>
      </x:c>
      <x:c r="K368" s="28" t="str">
        <x:v>The Art &amp; Science of Foodpairing.pdf</x:v>
      </x:c>
      <x:c r="L368" s="28" t="str">
        <x:v>The Art &amp; Science of Foodpairing.pdf: 47</x:v>
      </x:c>
    </x:row>
    <x:row r="369" ht="64" customHeight="1">
      <x:c r="A369" s="28" t="str">
        <x:v>NCT-0450</x:v>
      </x:c>
      <x:c r="B369" s="28" t="str">
        <x:v>фундук</x:v>
      </x:c>
      <x:c r="C369" s="28" t="str">
        <x:v>artichoke, ray wing</x:v>
      </x:c>
      <x:c r="D369" s="28" t="str">
        <x:v>Овощи, бобовые и грибы</x:v>
      </x:c>
      <x:c r="E369" s="28" t="str">
        <x:v>общие ароматические соединения</x:v>
      </x:c>
      <x:c r="F369" s="28" t="str">
        <x:v>Фундук имеет профиль «ореховый, жареный, сладкий, землистый и какаоподобный». Партнёр «artichoke, ray wing»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6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69" s="28" t="str">
        <x:v>аллерген и чувствительность к прогорканию; пережаривание даёт дымную горечь</x:v>
      </x:c>
      <x:c r="I369" s="28" t="str">
        <x:v>пралине, паста, выпечка, гарнир, соус, молочный или коктейльный компонент с artichoke, ray wing</x:v>
      </x:c>
      <x:c r="J369" s="28" t="str">
        <x:v>Высокая</x:v>
      </x:c>
      <x:c r="K369" s="28" t="str">
        <x:v>The Art &amp; Science of Foodpairing.pdf</x:v>
      </x:c>
      <x:c r="L369" s="28" t="str">
        <x:v>The Art &amp; Science of Foodpairing.pdf: 329</x:v>
      </x:c>
    </x:row>
    <x:row r="370" ht="64" customHeight="1">
      <x:c r="A370" s="28" t="str">
        <x:v>NCT-0451</x:v>
      </x:c>
      <x:c r="B370" s="28" t="str">
        <x:v>фундук</x:v>
      </x:c>
      <x:c r="C370" s="28" t="str">
        <x:v>atlantic salmon fillet</x:v>
      </x:c>
      <x:c r="D370" s="28" t="str">
        <x:v>Рыба и морепродукты</x:v>
      </x:c>
      <x:c r="E370" s="28" t="str">
        <x:v>общие ароматические соединения, солёно-умами контраст</x:v>
      </x:c>
      <x:c r="F370" s="28" t="str">
        <x:v>Фундук имеет профиль «ореховый, жареный, сладкий, землистый и какаоподобный». Партнёр «atlantic salmon fillet»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7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0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370" s="28" t="str">
        <x:v>пралине, паста, выпечка, гарнир, соус, молочный или коктейльный компонент с atlantic salmon fillet</x:v>
      </x:c>
      <x:c r="J370" s="28" t="str">
        <x:v>Средняя</x:v>
      </x:c>
      <x:c r="K370" s="28" t="str">
        <x:v>The Art &amp; Science of Foodpairing.pdf</x:v>
      </x:c>
      <x:c r="L370" s="28" t="str">
        <x:v>The Art &amp; Science of Foodpairing.pdf: 332</x:v>
      </x:c>
    </x:row>
    <x:row r="371" ht="64" customHeight="1">
      <x:c r="A371" s="28" t="str">
        <x:v>NCT-0452</x:v>
      </x:c>
      <x:c r="B371" s="28" t="str">
        <x:v>фундук</x:v>
      </x:c>
      <x:c r="C371" s="28" t="str">
        <x:v>bayonne ham</x:v>
      </x:c>
      <x:c r="D371" s="28" t="str">
        <x:v>Мясо и птица</x:v>
      </x:c>
      <x:c r="E371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71" s="28" t="str">
        <x:v>Фундук имеет профиль «ореховый, жареный, сладкий, землистый и какаоподобный». Партнёр «bayonne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37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1" s="28" t="str">
        <x:v>аллерген и чувствительность к прогорканию; пережаривание даёт дымную горечь</x:v>
      </x:c>
      <x:c r="I371" s="28" t="str">
        <x:v>пралине, паста, выпечка, гарнир, соус, молочный или коктейльный компонент с bayonne ham</x:v>
      </x:c>
      <x:c r="J371" s="28" t="str">
        <x:v>Средняя</x:v>
      </x:c>
      <x:c r="K371" s="28" t="str">
        <x:v>The Art &amp; Science of Foodpairing.pdf</x:v>
      </x:c>
      <x:c r="L371" s="28" t="str">
        <x:v>The Art &amp; Science of Foodpairing.pdf: 332</x:v>
      </x:c>
    </x:row>
    <x:row r="372" ht="64" customHeight="1">
      <x:c r="A372" s="28" t="str">
        <x:v>NCT-0453</x:v>
      </x:c>
      <x:c r="B372" s="28" t="str">
        <x:v>фундук</x:v>
      </x:c>
      <x:c r="C372" s="28" t="str">
        <x:v>blue cheese</x:v>
      </x:c>
      <x:c r="D372" s="28" t="str">
        <x:v>Молочные продукты и сыры</x:v>
      </x:c>
      <x:c r="E372" s="28" t="str">
        <x:v>жировая экстракция и связывание полифенолов белком</x:v>
      </x:c>
      <x:c r="F372" s="28" t="str">
        <x:v>Фундук имеет профиль «ореховый, жареный, сладкий, землистый и какаоподобный». Партнёр «blue cheese»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7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2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I372" s="28" t="str">
        <x:v>пралине, паста, выпечка, гарнир, соус, молочный или коктейльный компонент с blue cheese</x:v>
      </x:c>
      <x:c r="J372" s="28" t="str">
        <x:v>Средняя</x:v>
      </x:c>
      <x:c r="K372" s="28" t="str">
        <x:v>The Art &amp; Science of Foodpairing.pdf</x:v>
      </x:c>
      <x:c r="L372" s="28" t="str">
        <x:v>The Art &amp; Science of Foodpairing.pdf: 164</x:v>
      </x:c>
    </x:row>
    <x:row r="373" ht="64" customHeight="1">
      <x:c r="A373" s="28" t="str">
        <x:v>NCT-0454</x:v>
      </x:c>
      <x:c r="B373" s="28" t="str">
        <x:v>фундук</x:v>
      </x:c>
      <x:c r="C373" s="28" t="str">
        <x:v>boiled butternut squash</x:v>
      </x:c>
      <x:c r="D373" s="28" t="str">
        <x:v>Молочные продукты и сыры</x:v>
      </x:c>
      <x:c r="E373" s="28" t="str">
        <x:v>жировая экстракция и связывание полифенолов белком</x:v>
      </x:c>
      <x:c r="F373" s="28" t="str">
        <x:v>Фундук имеет профиль «ореховый, жареный, сладкий, землистый и какаоподобный». Партнёр «boiled butternut squash»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7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3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I373" s="28" t="str">
        <x:v>пралине, паста, выпечка, гарнир, соус, молочный или коктейльный компонент с boiled butternut squash</x:v>
      </x:c>
      <x:c r="J373" s="28" t="str">
        <x:v>Средняя</x:v>
      </x:c>
      <x:c r="K373" s="28" t="str">
        <x:v>The Art &amp; Science of Foodpairing.pdf</x:v>
      </x:c>
      <x:c r="L373" s="28" t="str">
        <x:v>The Art &amp; Science of Foodpairing.pdf: 332</x:v>
      </x:c>
    </x:row>
    <x:row r="374" ht="64" customHeight="1">
      <x:c r="A374" s="28" t="str">
        <x:v>NCT-0455</x:v>
      </x:c>
      <x:c r="B374" s="28" t="str">
        <x:v>фундук</x:v>
      </x:c>
      <x:c r="C374" s="28" t="str">
        <x:v>boiled purple sweet potato</x:v>
      </x:c>
      <x:c r="D374" s="28" t="str">
        <x:v>Овощи, бобовые и грибы</x:v>
      </x:c>
      <x:c r="E374" s="28" t="str">
        <x:v>общие ароматические соединения</x:v>
      </x:c>
      <x:c r="F374" s="28" t="str">
        <x:v>Фундук имеет профиль «ореховый, жареный, сладкий, землистый и какаоподобный». Партнёр «boiled purple sweet potato»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7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4" s="28" t="str">
        <x:v>аллерген и чувствительность к прогорканию; пережаривание даёт дымную горечь</x:v>
      </x:c>
      <x:c r="I374" s="28" t="str">
        <x:v>пралине, паста, выпечка, гарнир, соус, молочный или коктейльный компонент с boiled purple sweet potato</x:v>
      </x:c>
      <x:c r="J374" s="28" t="str">
        <x:v>Средняя</x:v>
      </x:c>
      <x:c r="K374" s="28" t="str">
        <x:v>The Art &amp; Science of Foodpairing.pdf</x:v>
      </x:c>
      <x:c r="L374" s="28" t="str">
        <x:v>The Art &amp; Science of Foodpairing.pdf: 332</x:v>
      </x:c>
    </x:row>
    <x:row r="375" ht="64" customHeight="1">
      <x:c r="A375" s="28" t="str">
        <x:v>NCT-0456</x:v>
      </x:c>
      <x:c r="B375" s="28" t="str">
        <x:v>фундук</x:v>
      </x:c>
      <x:c r="C375" s="28" t="str">
        <x:v>boiledcourgette</x:v>
      </x:c>
      <x:c r="D375" s="28" t="str">
        <x:v>Овощи, бобовые и грибы</x:v>
      </x:c>
      <x:c r="E375" s="28" t="str">
        <x:v>общие ароматические соединения</x:v>
      </x:c>
      <x:c r="F375" s="28" t="str">
        <x:v>Фундук имеет профиль «ореховый, жареный, сладкий, землистый и какаоподобный». Партнёр «boiledcourgette»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7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5" s="28" t="str">
        <x:v>аллерген и чувствительность к прогорканию; пережаривание даёт дымную горечь</x:v>
      </x:c>
      <x:c r="I375" s="28" t="str">
        <x:v>пралине, паста, выпечка, гарнир, соус, молочный или коктейльный компонент с boiledcourgette</x:v>
      </x:c>
      <x:c r="J375" s="28" t="str">
        <x:v>Средняя</x:v>
      </x:c>
      <x:c r="K375" s="28" t="str">
        <x:v>The Art &amp; Science of Foodpairing.pdf</x:v>
      </x:c>
      <x:c r="L375" s="28" t="str">
        <x:v>The Art &amp; Science of Foodpairing.pdf: 332</x:v>
      </x:c>
    </x:row>
    <x:row r="376" ht="64" customHeight="1">
      <x:c r="A376" s="28" t="str">
        <x:v>NCT-0457</x:v>
      </x:c>
      <x:c r="B376" s="28" t="str">
        <x:v>фундук</x:v>
      </x:c>
      <x:c r="C376" s="28" t="str">
        <x:v>brie and camembert</x:v>
      </x:c>
      <x:c r="D376" s="28" t="str">
        <x:v>Молочные продукты и сыры</x:v>
      </x:c>
      <x:c r="E376" s="28" t="str">
        <x:v>жировая экстракция и связывание полифенолов белком</x:v>
      </x:c>
      <x:c r="F376" s="28" t="str">
        <x:v>Фундук имеет профиль «ореховый, жареный, сладкий, землистый и какаоподобный». Партнёр «brie and camembert»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7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6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I376" s="28" t="str">
        <x:v>пралине, паста, выпечка, гарнир, соус, молочный или коктейльный компонент с brie and camembert</x:v>
      </x:c>
      <x:c r="J376" s="28" t="str">
        <x:v>Средняя</x:v>
      </x:c>
      <x:c r="K376" s="28" t="str">
        <x:v>The Art &amp; Science of Foodpairing.pdf</x:v>
      </x:c>
      <x:c r="L376" s="28" t="str">
        <x:v>The Art &amp; Science of Foodpairing.pdf: 336</x:v>
      </x:c>
    </x:row>
    <x:row r="377" ht="64" customHeight="1">
      <x:c r="A377" s="28" t="str">
        <x:v>NCT-0458</x:v>
      </x:c>
      <x:c r="B377" s="28" t="str">
        <x:v>фундук</x:v>
      </x:c>
      <x:c r="C377" s="28" t="str">
        <x:v>buffalo mozzarella</x:v>
      </x:c>
      <x:c r="D377" s="28" t="str">
        <x:v>Молочные продукты и сыры</x:v>
      </x:c>
      <x:c r="E377" s="28" t="str">
        <x:v>жировая экстракция и связывание полифенолов белком</x:v>
      </x:c>
      <x:c r="F377" s="28" t="str">
        <x:v>Фундук имеет профиль «ореховый, жареный, сладкий, землистый и какаоподобный». Партнёр «buffalo mozzarella»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7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7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I377" s="28" t="str">
        <x:v>пралине, паста, выпечка, гарнир, соус, молочный или коктейльный компонент с buffalo mozzarella</x:v>
      </x:c>
      <x:c r="J377" s="28" t="str">
        <x:v>Средняя</x:v>
      </x:c>
      <x:c r="K377" s="28" t="str">
        <x:v>The Art &amp; Science of Foodpairing.pdf</x:v>
      </x:c>
      <x:c r="L377" s="28" t="str">
        <x:v>The Art &amp; Science of Foodpairing.pdf: 332</x:v>
      </x:c>
    </x:row>
    <x:row r="378" ht="64" customHeight="1">
      <x:c r="A378" s="28" t="str">
        <x:v>NCT-0459</x:v>
      </x:c>
      <x:c r="B378" s="28" t="str">
        <x:v>фундук</x:v>
      </x:c>
      <x:c r="C378" s="28" t="str">
        <x:v>carrot</x:v>
      </x:c>
      <x:c r="D378" s="28" t="str">
        <x:v>Овощи, бобовые и грибы</x:v>
      </x:c>
      <x:c r="E378" s="28" t="str">
        <x:v>общие ароматические соединения</x:v>
      </x:c>
      <x:c r="F378" s="28" t="str">
        <x:v>Фундук имеет профиль «ореховый, жареный, сладкий, землистый и какаоподобный». Партнёр «carrot»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7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8" s="28" t="str">
        <x:v>аллерген и чувствительность к прогорканию; пережаривание даёт дымную горечь</x:v>
      </x:c>
      <x:c r="I378" s="28" t="str">
        <x:v>пралине, паста, выпечка, гарнир, соус, молочный или коктейльный компонент с carrot</x:v>
      </x:c>
      <x:c r="J378" s="28" t="str">
        <x:v>Средняя</x:v>
      </x:c>
      <x:c r="K378" s="28" t="str">
        <x:v>The Art &amp; Science of Foodpairing.pdf</x:v>
      </x:c>
      <x:c r="L378" s="28" t="str">
        <x:v>The Art &amp; Science of Foodpairing.pdf: 232</x:v>
      </x:c>
    </x:row>
    <x:row r="379" ht="64" customHeight="1">
      <x:c r="A379" s="28" t="str">
        <x:v>NCT-0460</x:v>
      </x:c>
      <x:c r="B379" s="28" t="str">
        <x:v>фундук</x:v>
      </x:c>
      <x:c r="C379" s="28" t="str">
        <x:v>chilli peppers</x:v>
      </x:c>
      <x:c r="D379" s="28" t="str">
        <x:v>Специи</x:v>
      </x:c>
      <x:c r="E379" s="28" t="str">
        <x:v>сенсорная комплементарность</x:v>
      </x:c>
      <x:c r="F379" s="28" t="str">
        <x:v>Фундук имеет профиль «ореховый, жареный, сладкий, землистый и какаоподобный». Партнёр «chilli peppers»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7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79" s="28" t="str">
        <x:v>аллерген и чувствительность к прогорканию; пережаривание даёт дымную горечь</x:v>
      </x:c>
      <x:c r="I379" s="28" t="str">
        <x:v>пралине, паста, выпечка, гарнир, соус, молочный или коктейльный компонент с chilli peppers</x:v>
      </x:c>
      <x:c r="J379" s="28" t="str">
        <x:v>Средняя</x:v>
      </x:c>
      <x:c r="K379" s="28" t="str">
        <x:v>The Art &amp; Science of Foodpairing.pdf</x:v>
      </x:c>
      <x:c r="L379" s="28" t="str">
        <x:v>The Art &amp; Science of Foodpairing.pdf: 94</x:v>
      </x:c>
    </x:row>
    <x:row r="380" ht="64" customHeight="1">
      <x:c r="A380" s="28" t="str">
        <x:v>NCT-0461</x:v>
      </x:c>
      <x:c r="B380" s="28" t="str">
        <x:v>фундук</x:v>
      </x:c>
      <x:c r="C380" s="28" t="str">
        <x:v>cooked mussels</x:v>
      </x:c>
      <x:c r="D380" s="28" t="str">
        <x:v>Рыба и морепродукты</x:v>
      </x:c>
      <x:c r="E380" s="28" t="str">
        <x:v>общие ароматические соединения, солёно-умами контраст</x:v>
      </x:c>
      <x:c r="F380" s="28" t="str">
        <x:v>Фундук имеет профиль «ореховый, жареный, сладкий, землистый и какаоподобный». Партнёр «cooked mussels»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8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0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380" s="28" t="str">
        <x:v>пралине, паста, выпечка, гарнир, соус, молочный или коктейльный компонент с cooked mussels</x:v>
      </x:c>
      <x:c r="J380" s="28" t="str">
        <x:v>Средняя</x:v>
      </x:c>
      <x:c r="K380" s="28" t="str">
        <x:v>The Art &amp; Science of Foodpairing.pdf</x:v>
      </x:c>
      <x:c r="L380" s="28" t="str">
        <x:v>The Art &amp; Science of Foodpairing.pdf: 332</x:v>
      </x:c>
    </x:row>
    <x:row r="381" ht="64" customHeight="1">
      <x:c r="A381" s="28" t="str">
        <x:v>NCT-0462</x:v>
      </x:c>
      <x:c r="B381" s="28" t="str">
        <x:v>фундук</x:v>
      </x:c>
      <x:c r="C381" s="28" t="str">
        <x:v>cow's milk mozzarella</x:v>
      </x:c>
      <x:c r="D381" s="28" t="str">
        <x:v>Молочные продукты и сыры</x:v>
      </x:c>
      <x:c r="E381" s="28" t="str">
        <x:v>жировая экстракция и связывание полифенолов белком</x:v>
      </x:c>
      <x:c r="F381" s="28" t="str">
        <x:v>Фундук имеет профиль «ореховый, жареный, сладкий, землистый и какаоподобный». Партнёр «cow's milk mozzarella»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8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1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I381" s="28" t="str">
        <x:v>пралине, паста, выпечка, гарнир, соус, молочный или коктейльный компонент с cow's milk mozzarella</x:v>
      </x:c>
      <x:c r="J381" s="28" t="str">
        <x:v>Средняя</x:v>
      </x:c>
      <x:c r="K381" s="28" t="str">
        <x:v>The Art &amp; Science of Foodpairing.pdf</x:v>
      </x:c>
      <x:c r="L381" s="28" t="str">
        <x:v>The Art &amp; Science of Foodpairing.pdf: 332</x:v>
      </x:c>
    </x:row>
    <x:row r="382" ht="64" customHeight="1">
      <x:c r="A382" s="28" t="str">
        <x:v>NCT-0463</x:v>
      </x:c>
      <x:c r="B382" s="28" t="str">
        <x:v>фундук</x:v>
      </x:c>
      <x:c r="C382" s="28" t="str">
        <x:v>crayfish</x:v>
      </x:c>
      <x:c r="D382" s="28" t="str">
        <x:v>Рыба и морепродукты</x:v>
      </x:c>
      <x:c r="E382" s="28" t="str">
        <x:v>общие ароматические соединения, солёно-умами контраст</x:v>
      </x:c>
      <x:c r="F382" s="28" t="str">
        <x:v>Фундук имеет профиль «ореховый, жареный, сладкий, землистый и какаоподобный». Партнёр «crayfish»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8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2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382" s="28" t="str">
        <x:v>пралине, паста, выпечка, гарнир, соус, молочный или коктейльный компонент с crayfish</x:v>
      </x:c>
      <x:c r="J382" s="28" t="str">
        <x:v>Средняя</x:v>
      </x:c>
      <x:c r="K382" s="28" t="str">
        <x:v>The Art &amp; Science of Foodpairing.pdf</x:v>
      </x:c>
      <x:c r="L382" s="28" t="str">
        <x:v>The Art &amp; Science of Foodpairing.pdf: 332</x:v>
      </x:c>
    </x:row>
    <x:row r="383" ht="64" customHeight="1">
      <x:c r="A383" s="28" t="str">
        <x:v>NCT-0464</x:v>
      </x:c>
      <x:c r="B383" s="28" t="str">
        <x:v>фундук</x:v>
      </x:c>
      <x:c r="C383" s="28" t="str">
        <x:v>dry-aged beef</x:v>
      </x:c>
      <x:c r="D383" s="28" t="str">
        <x:v>Мясо и птица</x:v>
      </x:c>
      <x:c r="E383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83" s="28" t="str">
        <x:v>Фундук имеет профиль «ореховый, жареный, сладкий, землистый и какаоподобный». Партнёр «dry-aged 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38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3" s="28" t="str">
        <x:v>аллерген и чувствительность к прогорканию; пережаривание даёт дымную горечь</x:v>
      </x:c>
      <x:c r="I383" s="28" t="str">
        <x:v>пралине, паста, выпечка, гарнир, соус, молочный или коктейльный компонент с dry-aged beef</x:v>
      </x:c>
      <x:c r="J383" s="28" t="str">
        <x:v>Средняя</x:v>
      </x:c>
      <x:c r="K383" s="28" t="str">
        <x:v>The Art &amp; Science of Foodpairing.pdf</x:v>
      </x:c>
      <x:c r="L383" s="28" t="str">
        <x:v>The Art &amp; Science of Foodpairing.pdf: 332</x:v>
      </x:c>
    </x:row>
    <x:row r="384" ht="64" customHeight="1">
      <x:c r="A384" s="28" t="str">
        <x:v>NCT-0465</x:v>
      </x:c>
      <x:c r="B384" s="28" t="str">
        <x:v>фундук</x:v>
      </x:c>
      <x:c r="C384" s="28" t="str">
        <x:v>dry-agedbeef</x:v>
      </x:c>
      <x:c r="D384" s="28" t="str">
        <x:v>Мясо и птица</x:v>
      </x:c>
      <x:c r="E38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84" s="28" t="str">
        <x:v>Фундук имеет профиль «ореховый, жареный, сладкий, землистый и какаоподобный». Партнёр «dry-agedbeef»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38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4" s="28" t="str">
        <x:v>аллерген и чувствительность к прогорканию; пережаривание даёт дымную горечь</x:v>
      </x:c>
      <x:c r="I384" s="28" t="str">
        <x:v>пралине, паста, выпечка, гарнир, соус, молочный или коктейльный компонент с dry-agedbeef</x:v>
      </x:c>
      <x:c r="J384" s="28" t="str">
        <x:v>Средняя</x:v>
      </x:c>
      <x:c r="K384" s="28" t="str">
        <x:v>The Art &amp; Science of Foodpairing.pdf</x:v>
      </x:c>
      <x:c r="L384" s="28" t="str">
        <x:v>The Art &amp; Science of Foodpairing.pdf: 332</x:v>
      </x:c>
    </x:row>
    <x:row r="385" ht="64" customHeight="1">
      <x:c r="A385" s="28" t="str">
        <x:v>NCT-0466</x:v>
      </x:c>
      <x:c r="B385" s="28" t="str">
        <x:v>фундук</x:v>
      </x:c>
      <x:c r="C385" s="28" t="str">
        <x:v>elderberryjuice</x:v>
      </x:c>
      <x:c r="D385" s="28" t="str">
        <x:v>Фрукты и ягоды</x:v>
      </x:c>
      <x:c r="E385" s="28" t="str">
        <x:v>общие ароматические соединения, контраст кислоты и жирной/горькой матрицы</x:v>
      </x:c>
      <x:c r="F385" s="28" t="str">
        <x:v>Фундук имеет профиль «ореховый, жареный, сладкий, землистый и какаоподобный». Партнёр «elderberryjuice»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8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5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85" s="28" t="str">
        <x:v>пралине, паста, выпечка, гарнир, соус, молочный или коктейльный компонент с elderberryjuice</x:v>
      </x:c>
      <x:c r="J385" s="28" t="str">
        <x:v>Средняя</x:v>
      </x:c>
      <x:c r="K385" s="28" t="str">
        <x:v>The Art &amp; Science of Foodpairing.pdf</x:v>
      </x:c>
      <x:c r="L385" s="28" t="str">
        <x:v>The Art &amp; Science of Foodpairing.pdf: 332</x:v>
      </x:c>
    </x:row>
    <x:row r="386" ht="64" customHeight="1">
      <x:c r="A386" s="28" t="str">
        <x:v>NCT-0467</x:v>
      </x:c>
      <x:c r="B386" s="28" t="str">
        <x:v>фундук</x:v>
      </x:c>
      <x:c r="C386" s="28" t="str">
        <x:v>finger lime</x:v>
      </x:c>
      <x:c r="D386" s="28" t="str">
        <x:v>Фрукты и ягоды</x:v>
      </x:c>
      <x:c r="E386" s="28" t="str">
        <x:v>общие ароматические соединения, контраст кислоты и жирной/горькой матрицы</x:v>
      </x:c>
      <x:c r="F386" s="28" t="str">
        <x:v>Фундук имеет профиль «ореховый, жареный, сладкий, землистый и какаоподобный». Партнёр «finger lime»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8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6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86" s="28" t="str">
        <x:v>пралине, паста, выпечка, гарнир, соус, молочный или коктейльный компонент с finger lime</x:v>
      </x:c>
      <x:c r="J386" s="28" t="str">
        <x:v>Средняя</x:v>
      </x:c>
      <x:c r="K386" s="28" t="str">
        <x:v>The Art &amp; Science of Foodpairing.pdf</x:v>
      </x:c>
      <x:c r="L386" s="28" t="str">
        <x:v>The Art &amp; Science of Foodpairing.pdf: 332</x:v>
      </x:c>
    </x:row>
    <x:row r="387" ht="64" customHeight="1">
      <x:c r="A387" s="28" t="str">
        <x:v>NCT-0468</x:v>
      </x:c>
      <x:c r="B387" s="28" t="str">
        <x:v>фундук</x:v>
      </x:c>
      <x:c r="C387" s="28" t="str">
        <x:v>fresh cream cheese</x:v>
      </x:c>
      <x:c r="D387" s="28" t="str">
        <x:v>Молочные продукты и сыры</x:v>
      </x:c>
      <x:c r="E387" s="28" t="str">
        <x:v>жировая экстракция и связывание полифенолов белком</x:v>
      </x:c>
      <x:c r="F387" s="28" t="str">
        <x:v>Фундук имеет профиль «ореховый, жареный, сладкий, землистый и какаоподобный». Партнёр «fresh cream cheese»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38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7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I387" s="28" t="str">
        <x:v>пралине, паста, выпечка, гарнир, соус, молочный или коктейльный компонент с fresh cream cheese</x:v>
      </x:c>
      <x:c r="J387" s="28" t="str">
        <x:v>Средняя</x:v>
      </x:c>
      <x:c r="K387" s="28" t="str">
        <x:v>The Art &amp; Science of Foodpairing.pdf</x:v>
      </x:c>
      <x:c r="L387" s="28" t="str">
        <x:v>The Art &amp; Science of Foodpairing.pdf: 332</x:v>
      </x:c>
    </x:row>
    <x:row r="388" ht="64" customHeight="1">
      <x:c r="A388" s="28" t="str">
        <x:v>NCT-0469</x:v>
      </x:c>
      <x:c r="B388" s="28" t="str">
        <x:v>фундук</x:v>
      </x:c>
      <x:c r="C388" s="28" t="str">
        <x:v>gandaham</x:v>
      </x:c>
      <x:c r="D388" s="28" t="str">
        <x:v>Мясо и птица</x:v>
      </x:c>
      <x:c r="E38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88" s="28" t="str">
        <x:v>Фундук имеет профиль «ореховый, жареный, сладкий, землистый и какаоподобный». Партнёр «gandaham»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38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8" s="28" t="str">
        <x:v>аллерген и чувствительность к прогорканию; пережаривание даёт дымную горечь</x:v>
      </x:c>
      <x:c r="I388" s="28" t="str">
        <x:v>пралине, паста, выпечка, гарнир, соус, молочный или коктейльный компонент с gandaham</x:v>
      </x:c>
      <x:c r="J388" s="28" t="str">
        <x:v>Средняя</x:v>
      </x:c>
      <x:c r="K388" s="28" t="str">
        <x:v>The Art &amp; Science of Foodpairing.pdf</x:v>
      </x:c>
      <x:c r="L388" s="28" t="str">
        <x:v>The Art &amp; Science of Foodpairing.pdf: 332</x:v>
      </x:c>
    </x:row>
    <x:row r="389" ht="64" customHeight="1">
      <x:c r="A389" s="28" t="str">
        <x:v>NCT-0470</x:v>
      </x:c>
      <x:c r="B389" s="28" t="str">
        <x:v>фундук</x:v>
      </x:c>
      <x:c r="C389" s="28" t="str">
        <x:v>grapes</x:v>
      </x:c>
      <x:c r="D389" s="28" t="str">
        <x:v>Фрукты и ягоды</x:v>
      </x:c>
      <x:c r="E389" s="28" t="str">
        <x:v>общие ароматические соединения, контраст кислоты и жирной/горькой матрицы</x:v>
      </x:c>
      <x:c r="F389" s="28" t="str">
        <x:v>Фундук имеет профиль «ореховый, жареный, сладкий, землистый и какаоподобный». Партнёр «grapes»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8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89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89" s="28" t="str">
        <x:v>пралине, паста, выпечка, гарнир, соус, молочный или коктейльный компонент с grapes</x:v>
      </x:c>
      <x:c r="J389" s="28" t="str">
        <x:v>Средняя</x:v>
      </x:c>
      <x:c r="K389" s="28" t="str">
        <x:v>The Art &amp; Science of Foodpairing.pdf</x:v>
      </x:c>
      <x:c r="L389" s="28" t="str">
        <x:v>The Art &amp; Science of Foodpairing.pdf: 332</x:v>
      </x:c>
    </x:row>
    <x:row r="390" ht="64" customHeight="1">
      <x:c r="A390" s="28" t="str">
        <x:v>NCT-0471</x:v>
      </x:c>
      <x:c r="B390" s="28" t="str">
        <x:v>фундук</x:v>
      </x:c>
      <x:c r="C390" s="28" t="str">
        <x:v>horse mackerel</x:v>
      </x:c>
      <x:c r="D390" s="28" t="str">
        <x:v>Рыба и морепродукты</x:v>
      </x:c>
      <x:c r="E390" s="28" t="str">
        <x:v>общие ароматические соединения, солёно-умами контраст</x:v>
      </x:c>
      <x:c r="F390" s="28" t="str">
        <x:v>Фундук имеет профиль «ореховый, жареный, сладкий, землистый и какаоподобный». Партнёр «horse mackerel»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9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0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390" s="28" t="str">
        <x:v>пралине, паста, выпечка, гарнир, соус, молочный или коктейльный компонент с horse mackerel</x:v>
      </x:c>
      <x:c r="J390" s="28" t="str">
        <x:v>Средняя</x:v>
      </x:c>
      <x:c r="K390" s="28" t="str">
        <x:v>The Art &amp; Science of Foodpairing.pdf</x:v>
      </x:c>
      <x:c r="L390" s="28" t="str">
        <x:v>The Art &amp; Science of Foodpairing.pdf: 332</x:v>
      </x:c>
    </x:row>
    <x:row r="391" ht="64" customHeight="1">
      <x:c r="A391" s="28" t="str">
        <x:v>NCT-0472</x:v>
      </x:c>
      <x:c r="B391" s="28" t="str">
        <x:v>фундук</x:v>
      </x:c>
      <x:c r="C391" s="28" t="str">
        <x:v>iambic beer</x:v>
      </x:c>
      <x:c r="D391" s="28" t="str">
        <x:v>Алкогольные напитки</x:v>
      </x:c>
      <x:c r="E391" s="28" t="str">
        <x:v>общие ароматические соединения</x:v>
      </x:c>
      <x:c r="F391" s="28" t="str">
        <x:v>Фундук имеет профиль «ореховый, жареный, сладкий, землистый и какаоподобный». Партнёр «iambic beer» относится к группе «Алкогольные напитки» и даёт спиртовой, фруктовый или древесный.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9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1" s="28" t="str">
        <x:v>аллерген и чувствительность к прогорканию; пережаривание даёт дымную горечь</x:v>
      </x:c>
      <x:c r="I391" s="28" t="str">
        <x:v>пралине, паста, выпечка, гарнир, соус, молочный или коктейльный компонент с iambic beer</x:v>
      </x:c>
      <x:c r="J391" s="28" t="str">
        <x:v>Средняя</x:v>
      </x:c>
      <x:c r="K391" s="28" t="str">
        <x:v>The Art &amp; Science of Foodpairing.pdf</x:v>
      </x:c>
      <x:c r="L391" s="28" t="str">
        <x:v>The Art &amp; Science of Foodpairing.pdf: 178</x:v>
      </x:c>
    </x:row>
    <x:row r="392" ht="64" customHeight="1">
      <x:c r="A392" s="28" t="str">
        <x:v>NCT-0473</x:v>
      </x:c>
      <x:c r="B392" s="28" t="str">
        <x:v>фундук</x:v>
      </x:c>
      <x:c r="C392" s="28" t="str">
        <x:v>korean fish sauce</x:v>
      </x:c>
      <x:c r="D392" s="28" t="str">
        <x:v>Рыба и морепродукты</x:v>
      </x:c>
      <x:c r="E392" s="28" t="str">
        <x:v>общие ароматические соединения, солёно-умами контраст</x:v>
      </x:c>
      <x:c r="F392" s="28" t="str">
        <x:v>Фундук имеет профиль «ореховый, жареный, сладкий, землистый и какаоподобный». Партнёр «korean fish sauce»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9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2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392" s="28" t="str">
        <x:v>пралине, паста, выпечка, гарнир, соус, молочный или коктейльный компонент с korean fish sauce</x:v>
      </x:c>
      <x:c r="J392" s="28" t="str">
        <x:v>Средняя</x:v>
      </x:c>
      <x:c r="K392" s="28" t="str">
        <x:v>The Art &amp; Science of Foodpairing.pdf</x:v>
      </x:c>
      <x:c r="L392" s="28" t="str">
        <x:v>The Art &amp; Science of Foodpairing.pdf: 332</x:v>
      </x:c>
    </x:row>
    <x:row r="393" ht="64" customHeight="1">
      <x:c r="A393" s="28" t="str">
        <x:v>NCT-0474</x:v>
      </x:c>
      <x:c r="B393" s="28" t="str">
        <x:v>фундук</x:v>
      </x:c>
      <x:c r="C393" s="28" t="str">
        <x:v>lemon balm</x:v>
      </x:c>
      <x:c r="D393" s="28" t="str">
        <x:v>Фрукты и ягоды</x:v>
      </x:c>
      <x:c r="E393" s="28" t="str">
        <x:v>общие ароматические соединения, контраст кислоты и жирной/горькой матрицы</x:v>
      </x:c>
      <x:c r="F393" s="28" t="str">
        <x:v>Фундук имеет профиль «ореховый, жареный, сладкий, землистый и какаоподобный». Партнёр «lemon balm»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9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3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93" s="28" t="str">
        <x:v>пралине, паста, выпечка, гарнир, соус, молочный или коктейльный компонент с lemon balm</x:v>
      </x:c>
      <x:c r="J393" s="28" t="str">
        <x:v>Средняя</x:v>
      </x:c>
      <x:c r="K393" s="28" t="str">
        <x:v>The Art &amp; Science of Foodpairing.pdf</x:v>
      </x:c>
      <x:c r="L393" s="28" t="str">
        <x:v>The Art &amp; Science of Foodpairing.pdf: 332</x:v>
      </x:c>
    </x:row>
    <x:row r="394" ht="64" customHeight="1">
      <x:c r="A394" s="28" t="str">
        <x:v>NCT-0475</x:v>
      </x:c>
      <x:c r="B394" s="28" t="str">
        <x:v>фундук</x:v>
      </x:c>
      <x:c r="C394" s="28" t="str">
        <x:v>lemon vodka</x:v>
      </x:c>
      <x:c r="D394" s="28" t="str">
        <x:v>Алкогольные напитки</x:v>
      </x:c>
      <x:c r="E394" s="28" t="str">
        <x:v>общие ароматические соединения</x:v>
      </x:c>
      <x:c r="F394" s="28" t="str">
        <x:v>Фундук имеет профиль «ореховый, жареный, сладкий, землистый и какаоподобный». Партнёр «lemon vodka» относится к группе «Алкогольные напитки» и даёт спиртовой, фруктовый или древесный.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9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4" s="28" t="str">
        <x:v>аллерген и чувствительность к прогорканию; пережаривание даёт дымную горечь</x:v>
      </x:c>
      <x:c r="I394" s="28" t="str">
        <x:v>пралине, паста, выпечка, гарнир, соус, молочный или коктейльный компонент с lemon vodka</x:v>
      </x:c>
      <x:c r="J394" s="28" t="str">
        <x:v>Средняя</x:v>
      </x:c>
      <x:c r="K394" s="28" t="str">
        <x:v>The Art &amp; Science of Foodpairing.pdf</x:v>
      </x:c>
      <x:c r="L394" s="28" t="str">
        <x:v>The Art &amp; Science of Foodpairing.pdf: 332</x:v>
      </x:c>
    </x:row>
    <x:row r="395" ht="64" customHeight="1">
      <x:c r="A395" s="28" t="str">
        <x:v>NCT-0476</x:v>
      </x:c>
      <x:c r="B395" s="28" t="str">
        <x:v>фундук</x:v>
      </x:c>
      <x:c r="C395" s="28" t="str">
        <x:v>meat</x:v>
      </x:c>
      <x:c r="D395" s="28" t="str">
        <x:v>Мясо и птица</x:v>
      </x:c>
      <x:c r="E395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95" s="28" t="str">
        <x:v>Фундук имеет профиль «ореховый, жареный, сладкий, землистый и какаоподобный». Партнёр «meat»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39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5" s="28" t="str">
        <x:v>аллерген и чувствительность к прогорканию; пережаривание даёт дымную горечь</x:v>
      </x:c>
      <x:c r="I395" s="28" t="str">
        <x:v>пралине, паста, выпечка, гарнир, соус, молочный или коктейльный компонент с meat</x:v>
      </x:c>
      <x:c r="J395" s="28" t="str">
        <x:v>Средняя</x:v>
      </x:c>
      <x:c r="K395" s="28" t="str">
        <x:v>The Art &amp; Science of Foodpairing.pdf</x:v>
      </x:c>
      <x:c r="L395" s="28" t="str">
        <x:v>The Art &amp; Science of Foodpairing.pdf: 186</x:v>
      </x:c>
    </x:row>
    <x:row r="396" ht="64" customHeight="1">
      <x:c r="A396" s="28" t="str">
        <x:v>NCT-0477</x:v>
      </x:c>
      <x:c r="B396" s="28" t="str">
        <x:v>фундук</x:v>
      </x:c>
      <x:c r="C396" s="28" t="str">
        <x:v>orange tomato</x:v>
      </x:c>
      <x:c r="D396" s="28" t="str">
        <x:v>Фрукты и ягоды</x:v>
      </x:c>
      <x:c r="E396" s="28" t="str">
        <x:v>общие ароматические соединения, контраст кислоты и жирной/горькой матрицы</x:v>
      </x:c>
      <x:c r="F396" s="28" t="str">
        <x:v>Фундук имеет профиль «ореховый, жареный, сладкий, землистый и какаоподобный». Партнёр «orange tomato»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9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6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396" s="28" t="str">
        <x:v>пралине, паста, выпечка, гарнир, соус, молочный или коктейльный компонент с orange tomato</x:v>
      </x:c>
      <x:c r="J396" s="28" t="str">
        <x:v>Средняя</x:v>
      </x:c>
      <x:c r="K396" s="28" t="str">
        <x:v>The Art &amp; Science of Foodpairing.pdf</x:v>
      </x:c>
      <x:c r="L396" s="28" t="str">
        <x:v>The Art &amp; Science of Foodpairing.pdf: 332</x:v>
      </x:c>
    </x:row>
    <x:row r="397" ht="64" customHeight="1">
      <x:c r="A397" s="28" t="str">
        <x:v>NCT-0478</x:v>
      </x:c>
      <x:c r="B397" s="28" t="str">
        <x:v>фундук</x:v>
      </x:c>
      <x:c r="C397" s="28" t="str">
        <x:v>pan-fried duck breast</x:v>
      </x:c>
      <x:c r="D397" s="28" t="str">
        <x:v>Мясо и птица</x:v>
      </x:c>
      <x:c r="E397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97" s="28" t="str">
        <x:v>Фундук имеет профиль «ореховый, жареный, сладкий, землистый и какаоподобный». Партнёр «pan-fried duck breast»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39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7" s="28" t="str">
        <x:v>аллерген и чувствительность к прогорканию; пережаривание даёт дымную горечь</x:v>
      </x:c>
      <x:c r="I397" s="28" t="str">
        <x:v>пралине, паста, выпечка, гарнир, соус, молочный или коктейльный компонент с pan-fried duck breast</x:v>
      </x:c>
      <x:c r="J397" s="28" t="str">
        <x:v>Средняя</x:v>
      </x:c>
      <x:c r="K397" s="28" t="str">
        <x:v>The Art &amp; Science of Foodpairing.pdf</x:v>
      </x:c>
      <x:c r="L397" s="28" t="str">
        <x:v>The Art &amp; Science of Foodpairing.pdf: 332</x:v>
      </x:c>
    </x:row>
    <x:row r="398" ht="64" customHeight="1">
      <x:c r="A398" s="28" t="str">
        <x:v>NCT-0479</x:v>
      </x:c>
      <x:c r="B398" s="28" t="str">
        <x:v>фундук</x:v>
      </x:c>
      <x:c r="C398" s="28" t="str">
        <x:v>pan-fried duck foie gras</x:v>
      </x:c>
      <x:c r="D398" s="28" t="str">
        <x:v>Мясо и птица</x:v>
      </x:c>
      <x:c r="E39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98" s="28" t="str">
        <x:v>Фундук имеет профиль «ореховый, жареный, сладкий, землистый и какаоподобный». Партнёр «pan-fried duck foie gras»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39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8" s="28" t="str">
        <x:v>аллерген и чувствительность к прогорканию; пережаривание даёт дымную горечь</x:v>
      </x:c>
      <x:c r="I398" s="28" t="str">
        <x:v>пралине, паста, выпечка, гарнир, соус, молочный или коктейльный компонент с pan-fried duck foie gras</x:v>
      </x:c>
      <x:c r="J398" s="28" t="str">
        <x:v>Средняя</x:v>
      </x:c>
      <x:c r="K398" s="28" t="str">
        <x:v>The Art &amp; Science of Foodpairing.pdf</x:v>
      </x:c>
      <x:c r="L398" s="28" t="str">
        <x:v>The Art &amp; Science of Foodpairing.pdf: 332</x:v>
      </x:c>
    </x:row>
    <x:row r="399" ht="64" customHeight="1">
      <x:c r="A399" s="28" t="str">
        <x:v>NCT-0480</x:v>
      </x:c>
      <x:c r="B399" s="28" t="str">
        <x:v>фундук</x:v>
      </x:c>
      <x:c r="C399" s="28" t="str">
        <x:v>pan-fried wild duck</x:v>
      </x:c>
      <x:c r="D399" s="28" t="str">
        <x:v>Мясо и птица</x:v>
      </x:c>
      <x:c r="E399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399" s="28" t="str">
        <x:v>Фундук имеет профиль «ореховый, жареный, сладкий, землистый и какаоподобный». Партнёр «pan-fried wild duck»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39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399" s="28" t="str">
        <x:v>аллерген и чувствительность к прогорканию; пережаривание даёт дымную горечь</x:v>
      </x:c>
      <x:c r="I399" s="28" t="str">
        <x:v>пралине, паста, выпечка, гарнир, соус, молочный или коктейльный компонент с pan-fried wild duck</x:v>
      </x:c>
      <x:c r="J399" s="28" t="str">
        <x:v>Средняя</x:v>
      </x:c>
      <x:c r="K399" s="28" t="str">
        <x:v>The Art &amp; Science of Foodpairing.pdf</x:v>
      </x:c>
      <x:c r="L399" s="28" t="str">
        <x:v>The Art &amp; Science of Foodpairing.pdf: 332</x:v>
      </x:c>
    </x:row>
    <x:row r="400" ht="64" customHeight="1">
      <x:c r="A400" s="28" t="str">
        <x:v>NCT-0481</x:v>
      </x:c>
      <x:c r="B400" s="28" t="str">
        <x:v>фундук</x:v>
      </x:c>
      <x:c r="C400" s="28" t="str">
        <x:v>pandanleaf</x:v>
      </x:c>
      <x:c r="D400" s="28" t="str">
        <x:v>Травы, цветы и листья</x:v>
      </x:c>
      <x:c r="E400" s="28" t="str">
        <x:v>сенсорная комплементарность</x:v>
      </x:c>
      <x:c r="F400" s="28" t="str">
        <x:v>Фундук имеет профиль «ореховый, жареный, сладкий, землистый и какаоподобный». Партнёр «pandanleaf»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0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00" s="28" t="str">
        <x:v>аллерген и чувствительность к прогорканию; пережаривание даёт дымную горечь</x:v>
      </x:c>
      <x:c r="I400" s="28" t="str">
        <x:v>пралине, паста, выпечка, гарнир, соус, молочный или коктейльный компонент с pandanleaf</x:v>
      </x:c>
      <x:c r="J400" s="28" t="str">
        <x:v>Средняя</x:v>
      </x:c>
      <x:c r="K400" s="28" t="str">
        <x:v>The Art &amp; Science of Foodpairing.pdf</x:v>
      </x:c>
      <x:c r="L400" s="28" t="str">
        <x:v>The Art &amp; Science of Foodpairing.pdf: 332</x:v>
      </x:c>
    </x:row>
    <x:row r="401" ht="64" customHeight="1">
      <x:c r="A401" s="28" t="str">
        <x:v>NCT-0482</x:v>
      </x:c>
      <x:c r="B401" s="28" t="str">
        <x:v>фундук</x:v>
      </x:c>
      <x:c r="C401" s="28" t="str">
        <x:v>poached cod fillet</x:v>
      </x:c>
      <x:c r="D401" s="28" t="str">
        <x:v>Рыба и морепродукты</x:v>
      </x:c>
      <x:c r="E401" s="28" t="str">
        <x:v>общие ароматические соединения, солёно-умами контраст</x:v>
      </x:c>
      <x:c r="F401" s="28" t="str">
        <x:v>Фундук имеет профиль «ореховый, жареный, сладкий, землистый и какаоподобный». Партнёр «poached cod fillet»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0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01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401" s="28" t="str">
        <x:v>пралине, паста, выпечка, гарнир, соус, молочный или коктейльный компонент с poached cod fillet</x:v>
      </x:c>
      <x:c r="J401" s="28" t="str">
        <x:v>Средняя</x:v>
      </x:c>
      <x:c r="K401" s="28" t="str">
        <x:v>The Art &amp; Science of Foodpairing.pdf</x:v>
      </x:c>
      <x:c r="L401" s="28" t="str">
        <x:v>The Art &amp; Science of Foodpairing.pdf: 332</x:v>
      </x:c>
    </x:row>
    <x:row r="402" ht="64" customHeight="1">
      <x:c r="A402" s="28" t="str">
        <x:v>NCT-0483</x:v>
      </x:c>
      <x:c r="B402" s="28" t="str">
        <x:v>фундук</x:v>
      </x:c>
      <x:c r="C402" s="28" t="str">
        <x:v>poached salmon</x:v>
      </x:c>
      <x:c r="D402" s="28" t="str">
        <x:v>Рыба и морепродукты</x:v>
      </x:c>
      <x:c r="E402" s="28" t="str">
        <x:v>общие ароматические соединения, солёно-умами контраст</x:v>
      </x:c>
      <x:c r="F402" s="28" t="str">
        <x:v>Фундук имеет профиль «ореховый, жареный, сладкий, землистый и какаоподобный». Партнёр «poached salmon»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0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02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402" s="28" t="str">
        <x:v>пралине, паста, выпечка, гарнир, соус, молочный или коктейльный компонент с poached salmon</x:v>
      </x:c>
      <x:c r="J402" s="28" t="str">
        <x:v>Средняя</x:v>
      </x:c>
      <x:c r="K402" s="28" t="str">
        <x:v>The Art &amp; Science of Foodpairing.pdf</x:v>
      </x:c>
      <x:c r="L402" s="28" t="str">
        <x:v>The Art &amp; Science of Foodpairing.pdf: 332</x:v>
      </x:c>
    </x:row>
    <x:row r="403" ht="64" customHeight="1">
      <x:c r="A403" s="28" t="str">
        <x:v>NCT-0484</x:v>
      </x:c>
      <x:c r="B403" s="28" t="str">
        <x:v>фундук</x:v>
      </x:c>
      <x:c r="C403" s="28" t="str">
        <x:v>poached turbot</x:v>
      </x:c>
      <x:c r="D403" s="28" t="str">
        <x:v>Рыба и морепродукты</x:v>
      </x:c>
      <x:c r="E403" s="28" t="str">
        <x:v>общие ароматические соединения, солёно-умами контраст</x:v>
      </x:c>
      <x:c r="F403" s="28" t="str">
        <x:v>Фундук имеет профиль «ореховый, жареный, сладкий, землистый и какаоподобный». Партнёр «poached turbot»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0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03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403" s="28" t="str">
        <x:v>пралине, паста, выпечка, гарнир, соус, молочный или коктейльный компонент с poached turbot</x:v>
      </x:c>
      <x:c r="J403" s="28" t="str">
        <x:v>Средняя</x:v>
      </x:c>
      <x:c r="K403" s="28" t="str">
        <x:v>The Art &amp; Science of Foodpairing.pdf</x:v>
      </x:c>
      <x:c r="L403" s="28" t="str">
        <x:v>The Art &amp; Science of Foodpairing.pdf: 332</x:v>
      </x:c>
    </x:row>
    <x:row r="404" ht="64" customHeight="1">
      <x:c r="A404" s="28" t="str">
        <x:v>NCT-0485</x:v>
      </x:c>
      <x:c r="B404" s="28" t="str">
        <x:v>фундук</x:v>
      </x:c>
      <x:c r="C404" s="28" t="str">
        <x:v>pumpkin seed oil</x:v>
      </x:c>
      <x:c r="D404" s="28" t="str">
        <x:v>Овощи, бобовые и грибы</x:v>
      </x:c>
      <x:c r="E404" s="28" t="str">
        <x:v>общие ароматические соединения</x:v>
      </x:c>
      <x:c r="F404" s="28" t="str">
        <x:v>Фундук имеет профиль «ореховый, жареный, сладкий, землистый и какаоподобный». Партнёр «pumpkin seed oil»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0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04" s="28" t="str">
        <x:v>аллерген и чувствительность к прогорканию; пережаривание даёт дымную горечь</x:v>
      </x:c>
      <x:c r="I404" s="28" t="str">
        <x:v>пралине, паста, выпечка, гарнир, соус, молочный или коктейльный компонент с pumpkin seed oil</x:v>
      </x:c>
      <x:c r="J404" s="28" t="str">
        <x:v>Средняя</x:v>
      </x:c>
      <x:c r="K404" s="28" t="str">
        <x:v>The Art &amp; Science of Foodpairing.pdf</x:v>
      </x:c>
      <x:c r="L404" s="28" t="str">
        <x:v>The Art &amp; Science of Foodpairing.pdf: 332</x:v>
      </x:c>
    </x:row>
    <x:row r="405" ht="64" customHeight="1">
      <x:c r="A405" s="28" t="str">
        <x:v>NCT-0486</x:v>
      </x:c>
      <x:c r="B405" s="28" t="str">
        <x:v>фундук</x:v>
      </x:c>
      <x:c r="C405" s="28" t="str">
        <x:v>red bell pepper and paprika</x:v>
      </x:c>
      <x:c r="D405" s="28" t="str">
        <x:v>Специи</x:v>
      </x:c>
      <x:c r="E405" s="28" t="str">
        <x:v>сенсорная комплементарность</x:v>
      </x:c>
      <x:c r="F405" s="28" t="str">
        <x:v>Фундук имеет профиль «ореховый, жареный, сладкий, землистый и какаоподобный». Партнёр «red bell pepper and paprika» относится к группе «Специи» и даёт пряный и древесный.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0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05" s="28" t="str">
        <x:v>аллерген и чувствительность к прогорканию; пережаривание даёт дымную горечь</x:v>
      </x:c>
      <x:c r="I405" s="28" t="str">
        <x:v>пралине, паста, выпечка, гарнир, соус, молочный или коктейльный компонент с red bell pepper and paprika</x:v>
      </x:c>
      <x:c r="J405" s="28" t="str">
        <x:v>Средняя</x:v>
      </x:c>
      <x:c r="K405" s="28" t="str">
        <x:v>The Art &amp; Science of Foodpairing.pdf</x:v>
      </x:c>
      <x:c r="L405" s="28" t="str">
        <x:v>The Art &amp; Science of Foodpairing.pdf: 108</x:v>
      </x:c>
    </x:row>
    <x:row r="406" ht="64" customHeight="1">
      <x:c r="A406" s="28" t="str">
        <x:v>NCT-0487</x:v>
      </x:c>
      <x:c r="B406" s="28" t="str">
        <x:v>фундук</x:v>
      </x:c>
      <x:c r="C406" s="28" t="str">
        <x:v>salted sardine</x:v>
      </x:c>
      <x:c r="D406" s="28" t="str">
        <x:v>Рыба и морепродукты</x:v>
      </x:c>
      <x:c r="E406" s="28" t="str">
        <x:v>общие ароматические соединения, солёно-умами контраст</x:v>
      </x:c>
      <x:c r="F406" s="28" t="str">
        <x:v>Фундук имеет профиль «ореховый, жареный, сладкий, землистый и какаоподобный». Партнёр «salted sardine»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0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06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406" s="28" t="str">
        <x:v>пралине, паста, выпечка, гарнир, соус, молочный или коктейльный компонент с salted sardine</x:v>
      </x:c>
      <x:c r="J406" s="28" t="str">
        <x:v>Средняя</x:v>
      </x:c>
      <x:c r="K406" s="28" t="str">
        <x:v>The Art &amp; Science of Foodpairing.pdf</x:v>
      </x:c>
      <x:c r="L406" s="28" t="str">
        <x:v>The Art &amp; Science of Foodpairing.pdf: 332</x:v>
      </x:c>
    </x:row>
    <x:row r="407" ht="64" customHeight="1">
      <x:c r="A407" s="28" t="str">
        <x:v>NCT-0488</x:v>
      </x:c>
      <x:c r="B407" s="28" t="str">
        <x:v>фундук</x:v>
      </x:c>
      <x:c r="C407" s="28" t="str">
        <x:v>senchatea</x:v>
      </x:c>
      <x:c r="D407" s="28" t="str">
        <x:v>Чай</x:v>
      </x:c>
      <x:c r="E407" s="28" t="str">
        <x:v>сенсорная комплементарность</x:v>
      </x:c>
      <x:c r="F407" s="28" t="str">
        <x:v>Фундук имеет профиль «ореховый, жареный, сладкий, землистый и какаоподобный». Партнёр «senchatea» относится к группе «Чай» и даёт цветочный, древесный или зелёный.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0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07" s="28" t="str">
        <x:v>аллерген и чувствительность к прогорканию; пережаривание даёт дымную горечь</x:v>
      </x:c>
      <x:c r="I407" s="28" t="str">
        <x:v>пралине, паста, выпечка, гарнир, соус, молочный или коктейльный компонент с senchatea</x:v>
      </x:c>
      <x:c r="J407" s="28" t="str">
        <x:v>Средняя</x:v>
      </x:c>
      <x:c r="K407" s="28" t="str">
        <x:v>The Art &amp; Science of Foodpairing.pdf</x:v>
      </x:c>
      <x:c r="L407" s="28" t="str">
        <x:v>The Art &amp; Science of Foodpairing.pdf: 332</x:v>
      </x:c>
    </x:row>
    <x:row r="408" ht="64" customHeight="1">
      <x:c r="A408" s="28" t="str">
        <x:v>NCT-0489</x:v>
      </x:c>
      <x:c r="B408" s="28" t="str">
        <x:v>фундук</x:v>
      </x:c>
      <x:c r="C408" s="28" t="str">
        <x:v>sweet potato</x:v>
      </x:c>
      <x:c r="D408" s="28" t="str">
        <x:v>Овощи, бобовые и грибы</x:v>
      </x:c>
      <x:c r="E408" s="28" t="str">
        <x:v>общие ароматические соединения</x:v>
      </x:c>
      <x:c r="F408" s="28" t="str">
        <x:v>Фундук имеет профиль «ореховый, жареный, сладкий, землистый и какаоподобный». Партнёр «sweet potato»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0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08" s="28" t="str">
        <x:v>аллерген и чувствительность к прогорканию; пережаривание даёт дымную горечь</x:v>
      </x:c>
      <x:c r="I408" s="28" t="str">
        <x:v>пралине, паста, выпечка, гарнир, соус, молочный или коктейльный компонент с sweet potato</x:v>
      </x:c>
      <x:c r="J408" s="28" t="str">
        <x:v>Средняя</x:v>
      </x:c>
      <x:c r="K408" s="28" t="str">
        <x:v>The Art &amp; Science of Foodpairing.pdf</x:v>
      </x:c>
      <x:c r="L408" s="28" t="str">
        <x:v>The Art &amp; Science of Foodpairing.pdf: 119</x:v>
      </x:c>
    </x:row>
    <x:row r="409" ht="64" customHeight="1">
      <x:c r="A409" s="28" t="str">
        <x:v>NCT-0490</x:v>
      </x:c>
      <x:c r="B409" s="28" t="str">
        <x:v>фундук</x:v>
      </x:c>
      <x:c r="C409" s="28" t="str">
        <x:v>watermelon</x:v>
      </x:c>
      <x:c r="D409" s="28" t="str">
        <x:v>Фрукты и ягоды</x:v>
      </x:c>
      <x:c r="E409" s="28" t="str">
        <x:v>общие ароматические соединения, контраст кислоты и жирной/горькой матрицы</x:v>
      </x:c>
      <x:c r="F409" s="28" t="str">
        <x:v>Фундук имеет профиль «ореховый, жареный, сладкий, землистый и какаоподобный». Партнёр «watermelon»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0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09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409" s="28" t="str">
        <x:v>пралине, паста, выпечка, гарнир, соус, молочный или коктейльный компонент с watermelon</x:v>
      </x:c>
      <x:c r="J409" s="28" t="str">
        <x:v>Средняя</x:v>
      </x:c>
      <x:c r="K409" s="28" t="str">
        <x:v>The Art &amp; Science of Foodpairing.pdf</x:v>
      </x:c>
      <x:c r="L409" s="28" t="str">
        <x:v>The Art &amp; Science of Foodpairing.pdf: 78</x:v>
      </x:c>
    </x:row>
    <x:row r="410" ht="64" customHeight="1">
      <x:c r="A410" s="28" t="str">
        <x:v>NCT-0491</x:v>
      </x:c>
      <x:c r="B410" s="28" t="str">
        <x:v>фундук</x:v>
      </x:c>
      <x:c r="C410" s="28" t="str">
        <x:v>абрикос</x:v>
      </x:c>
      <x:c r="D410" s="28" t="str">
        <x:v>Фрукты и ягоды</x:v>
      </x:c>
      <x:c r="E410" s="28" t="str">
        <x:v>контраст кислоты и жирной/горькой матрицы</x:v>
      </x:c>
      <x:c r="F410" s="28" t="str">
        <x:v>Фундук имеет профиль «ореховый, жареный, сладкий, землистый и какаоподобный». Партнёр «абрикос» относится к группе «Фрукты и ягоды» и даёт лактонный, миндальный,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1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10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410" s="28" t="str">
        <x:v>пралине, паста, выпечка, гарнир, соус, молочный или коктейльный компонент с абрикос</x:v>
      </x:c>
      <x:c r="J410" s="28" t="str">
        <x:v>Средняя</x:v>
      </x:c>
      <x:c r="K410" s="28" t="str">
        <x:v>The Art &amp; Science of Foodpairing.pdf</x:v>
      </x:c>
      <x:c r="L410" s="28" t="str">
        <x:v>The Art &amp; Science of Foodpairing.pdf: 206</x:v>
      </x:c>
    </x:row>
    <x:row r="411" ht="64" customHeight="1">
      <x:c r="A411" s="28" t="str">
        <x:v>NCT-0492</x:v>
      </x:c>
      <x:c r="B411" s="28" t="str">
        <x:v>фундук</x:v>
      </x:c>
      <x:c r="C411" s="28" t="str">
        <x:v>авокадо</x:v>
      </x:c>
      <x:c r="D411" s="28" t="str">
        <x:v>Прочее</x:v>
      </x:c>
      <x:c r="E411" s="28" t="str">
        <x:v>сенсорная комплементарность</x:v>
      </x:c>
      <x:c r="F411" s="28" t="str">
        <x:v>Фундук имеет профиль «ореховый, жареный, сладкий, землистый и какаоподобный». Партнёр «авокадо»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1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11" s="28" t="str">
        <x:v>аллерген и чувствительность к прогорканию; пережаривание даёт дымную горечь</x:v>
      </x:c>
      <x:c r="I411" s="28" t="str">
        <x:v>пралине, паста, выпечка, гарнир, соус, молочный или коктейльный компонент с авокадо</x:v>
      </x:c>
      <x:c r="J411" s="28" t="str">
        <x:v>Средняя</x:v>
      </x:c>
      <x:c r="K411" s="28" t="str">
        <x:v>Тезариус вкусов (Ники Сегнит)(1).pdf</x:v>
      </x:c>
      <x:c r="L411" s="28" t="str">
        <x:v>Тезариус вкусов (Ники Сегнит)(1).pdf: 531, 632</x:v>
      </x:c>
    </x:row>
    <x:row r="412" ht="64" customHeight="1">
      <x:c r="A412" s="28" t="str">
        <x:v>NCT-0493</x:v>
      </x:c>
      <x:c r="B412" s="28" t="str">
        <x:v>фундук</x:v>
      </x:c>
      <x:c r="C412" s="28" t="str">
        <x:v>айва</x:v>
      </x:c>
      <x:c r="D412" s="28" t="str">
        <x:v>Прочее</x:v>
      </x:c>
      <x:c r="E412" s="28" t="str">
        <x:v>сенсорная комплементарность</x:v>
      </x:c>
      <x:c r="F412" s="28" t="str">
        <x:v>Фундук имеет профиль «ореховый, жареный, сладкий, землистый и какаоподобный». Партнёр «айва»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1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12" s="28" t="str">
        <x:v>аллерген и чувствительность к прогорканию; пережаривание даёт дымную горечь</x:v>
      </x:c>
      <x:c r="I412" s="28" t="str">
        <x:v>пралине, паста, выпечка, гарнир, соус, молочный или коктейльный компонент с айва</x:v>
      </x:c>
      <x:c r="J412" s="28" t="str">
        <x:v>Гипотеза / практическая</x:v>
      </x:c>
      <x:c r="K412" s="28" t="str">
        <x:v>Таблица сочетания(1).pdf</x:v>
      </x:c>
      <x:c r="L412" s="28" t="str">
        <x:v>Таблица сочетания(1).pdf: 18</x:v>
      </x:c>
    </x:row>
    <x:row r="413" ht="64" customHeight="1">
      <x:c r="A413" s="28" t="str">
        <x:v>NCT-0494</x:v>
      </x:c>
      <x:c r="B413" s="28" t="str">
        <x:v>фундук</x:v>
      </x:c>
      <x:c r="C413" s="28" t="str">
        <x:v>ананас</x:v>
      </x:c>
      <x:c r="D413" s="28" t="str">
        <x:v>Прочее</x:v>
      </x:c>
      <x:c r="E413" s="28" t="str">
        <x:v>сенсорная комплементарность</x:v>
      </x:c>
      <x:c r="F413" s="28" t="str">
        <x:v>Фундук имеет профиль «ореховый, жареный, сладкий, землистый и какаоподобный». Партнёр «ананас»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1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13" s="28" t="str">
        <x:v>аллерген и чувствительность к прогорканию; пережаривание даёт дымную горечь</x:v>
      </x:c>
      <x:c r="I413" s="28" t="str">
        <x:v>пралине, паста, выпечка, гарнир, соус, молочный или коктейльный компонент с ананас</x:v>
      </x:c>
      <x:c r="J413" s="28" t="str">
        <x:v>Гипотеза / практическая</x:v>
      </x:c>
      <x:c r="K413" s="28" t="str">
        <x:v>Таблица сочетания(1).pdf</x:v>
      </x:c>
      <x:c r="L413" s="28" t="str">
        <x:v>Таблица сочетания(1).pdf: 17</x:v>
      </x:c>
    </x:row>
    <x:row r="414" ht="64" customHeight="1">
      <x:c r="A414" s="28" t="str">
        <x:v>NCT-0495</x:v>
      </x:c>
      <x:c r="B414" s="28" t="str">
        <x:v>фундук</x:v>
      </x:c>
      <x:c r="C414" s="28" t="str">
        <x:v>апельсин</x:v>
      </x:c>
      <x:c r="D414" s="28" t="str">
        <x:v>Фрукты и ягоды</x:v>
      </x:c>
      <x:c r="E414" s="28" t="str">
        <x:v>контраст кислоты и жирной/горькой матрицы</x:v>
      </x:c>
      <x:c r="F414" s="28" t="str">
        <x:v>Фундук имеет профиль «ореховый, жареный, сладкий, землистый и какаоподобный». Партнёр «апельсин»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1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14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414" s="28" t="str">
        <x:v>пралине, паста, выпечка, гарнир, соус, молочный или коктейльный компонент с апельсин</x:v>
      </x:c>
      <x:c r="J414" s="28" t="str">
        <x:v>Средняя</x:v>
      </x:c>
      <x:c r="K414" s="28" t="str">
        <x:v>The Art &amp; Science of Foodpairing.pdf</x:v>
      </x:c>
      <x:c r="L414" s="28" t="str">
        <x:v>The Art &amp; Science of Foodpairing.pdf: 332</x:v>
      </x:c>
    </x:row>
    <x:row r="415" ht="64" customHeight="1">
      <x:c r="A415" s="28" t="str">
        <x:v>NCT-0496</x:v>
      </x:c>
      <x:c r="B415" s="28" t="str">
        <x:v>фундук</x:v>
      </x:c>
      <x:c r="C415" s="28" t="str">
        <x:v>багет</x:v>
      </x:c>
      <x:c r="D415" s="28" t="str">
        <x:v>Прочее</x:v>
      </x:c>
      <x:c r="E415" s="28" t="str">
        <x:v>сенсорная комплементарность</x:v>
      </x:c>
      <x:c r="F415" s="28" t="str">
        <x:v>Фундук имеет профиль «ореховый, жареный, сладкий, землистый и какаоподобный». Партнёр «багет»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1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15" s="28" t="str">
        <x:v>аллерген и чувствительность к прогорканию; пережаривание даёт дымную горечь</x:v>
      </x:c>
      <x:c r="I415" s="28" t="str">
        <x:v>пралине, паста, выпечка, гарнир, соус, молочный или коктейльный компонент с багет</x:v>
      </x:c>
      <x:c r="J415" s="28" t="str">
        <x:v>Средняя</x:v>
      </x:c>
      <x:c r="K415" s="28" t="str">
        <x:v>The Art &amp; Science of Foodpairing.pdf</x:v>
      </x:c>
      <x:c r="L415" s="28" t="str">
        <x:v>The Art &amp; Science of Foodpairing.pdf: 332</x:v>
      </x:c>
    </x:row>
    <x:row r="416" ht="64" customHeight="1">
      <x:c r="A416" s="28" t="str">
        <x:v>NCT-0497</x:v>
      </x:c>
      <x:c r="B416" s="28" t="str">
        <x:v>фундук</x:v>
      </x:c>
      <x:c r="C416" s="28" t="str">
        <x:v>банан</x:v>
      </x:c>
      <x:c r="D416" s="28" t="str">
        <x:v>Фрукты и ягоды</x:v>
      </x:c>
      <x:c r="E416" s="28" t="str">
        <x:v>контраст кислоты и жирной/горькой матрицы</x:v>
      </x:c>
      <x:c r="F416" s="28" t="str">
        <x:v>Фундук имеет профиль «ореховый, жареный, сладкий, землистый и какаоподобный». Партнёр «банан» относится к группе «Фрукты и ягоды» и даёт сливочный,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1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16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416" s="28" t="str">
        <x:v>пралине, паста, выпечка, гарнир, соус, молочный или коктейльный компонент с банан</x:v>
      </x:c>
      <x:c r="J416" s="28" t="str">
        <x:v>Высокая</x:v>
      </x:c>
      <x:c r="K416" s="28" t="str">
        <x:v>Таблица сочетания(1).pdf | Тезариус вкусов (Ники Сегнит)(1).pdf</x:v>
      </x:c>
      <x:c r="L416" s="28" t="str">
        <x:v>Таблица сочетания(1).pdf: 2; Тезариус вкусов (Ники Сегнит)(1).pdf: 632, 734</x:v>
      </x:c>
    </x:row>
    <x:row r="417" ht="64" customHeight="1">
      <x:c r="A417" s="28" t="str">
        <x:v>NCT-0498</x:v>
      </x:c>
      <x:c r="B417" s="28" t="str">
        <x:v>фундук</x:v>
      </x:c>
      <x:c r="C417" s="28" t="str">
        <x:v>белая рыба</x:v>
      </x:c>
      <x:c r="D417" s="28" t="str">
        <x:v>Рыба и морепродукты</x:v>
      </x:c>
      <x:c r="E417" s="28" t="str">
        <x:v>общие ароматические соединения, солёно-умами контраст</x:v>
      </x:c>
      <x:c r="F417" s="28" t="str">
        <x:v>Фундук имеет профиль «ореховый, жареный, сладкий, землистый и какаоподобный». Партнёр «белая рыба»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1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17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417" s="28" t="str">
        <x:v>пралине, паста, выпечка, гарнир, соус, молочный или коктейльный компонент с белая рыба</x:v>
      </x:c>
      <x:c r="J417" s="28" t="str">
        <x:v>Средняя</x:v>
      </x:c>
      <x:c r="K417" s="28" t="str">
        <x:v>Тезариус вкусов (Ники Сегнит)(1).pdf</x:v>
      </x:c>
      <x:c r="L417" s="28" t="str">
        <x:v>Тезариус вкусов (Ники Сегнит)(1).pdf: 393, 633</x:v>
      </x:c>
    </x:row>
    <x:row r="418" ht="64" customHeight="1">
      <x:c r="A418" s="28" t="str">
        <x:v>NCT-0499</x:v>
      </x:c>
      <x:c r="B418" s="28" t="str">
        <x:v>фундук</x:v>
      </x:c>
      <x:c r="C418" s="28" t="str">
        <x:v>бергамот</x:v>
      </x:c>
      <x:c r="D418" s="28" t="str">
        <x:v>Прочее</x:v>
      </x:c>
      <x:c r="E418" s="28" t="str">
        <x:v>сенсорная комплементарность</x:v>
      </x:c>
      <x:c r="F418" s="28" t="str">
        <x:v>Фундук имеет профиль «ореховый, жареный, сладкий, землистый и какаоподобный». Партнёр «бергамот» относится к группе «Прочее» и даёт цветочный, цитрусовый.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1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18" s="28" t="str">
        <x:v>аллерген и чувствительность к прогорканию; пережаривание даёт дымную горечь</x:v>
      </x:c>
      <x:c r="I418" s="28" t="str">
        <x:v>пралине, паста, выпечка, гарнир, соус, молочный или коктейльный компонент с бергамот</x:v>
      </x:c>
      <x:c r="J418" s="28" t="str">
        <x:v>Средняя</x:v>
      </x:c>
      <x:c r="K418" s="28" t="str">
        <x:v>The Art &amp; Science of Foodpairing.pdf</x:v>
      </x:c>
      <x:c r="L418" s="28" t="str">
        <x:v>The Art &amp; Science of Foodpairing.pdf: 332</x:v>
      </x:c>
    </x:row>
    <x:row r="419" ht="64" customHeight="1">
      <x:c r="A419" s="28" t="str">
        <x:v>NCT-0500</x:v>
      </x:c>
      <x:c r="B419" s="28" t="str">
        <x:v>фундук</x:v>
      </x:c>
      <x:c r="C419" s="28" t="str">
        <x:v>ваниль</x:v>
      </x:c>
      <x:c r="D419" s="28" t="str">
        <x:v>Специи</x:v>
      </x:c>
      <x:c r="E419" s="28" t="str">
        <x:v>сенсорная комплементарность</x:v>
      </x:c>
      <x:c r="F419" s="28" t="str">
        <x:v>Фундук имеет профиль «ореховый, жареный, сладкий, землистый и какаоподобный». Партнёр «ваниль» относится к группе «Специи» и даёт ванильный, цветочный.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1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19" s="28" t="str">
        <x:v>аллерген и чувствительность к прогорканию; пережаривание даёт дымную горечь</x:v>
      </x:c>
      <x:c r="I419" s="28" t="str">
        <x:v>пралине, паста, выпечка, гарнир, соус, молочный или коктейльный компонент с ваниль</x:v>
      </x:c>
      <x:c r="J419" s="28" t="str">
        <x:v>Средняя</x:v>
      </x:c>
      <x:c r="K419" s="28" t="str">
        <x:v>Тезариус вкусов (Ники Сегнит)(1).pdf</x:v>
      </x:c>
      <x:c r="L419" s="28" t="str">
        <x:v>Тезариус вкусов (Ники Сегнит)(1).pdf: 633, 920</x:v>
      </x:c>
    </x:row>
    <x:row r="420" ht="64" customHeight="1">
      <x:c r="A420" s="28" t="str">
        <x:v>NCT-0501</x:v>
      </x:c>
      <x:c r="B420" s="28" t="str">
        <x:v>фундук</x:v>
      </x:c>
      <x:c r="C420" s="28" t="str">
        <x:v>вишня</x:v>
      </x:c>
      <x:c r="D420" s="28" t="str">
        <x:v>Фрукты и ягоды</x:v>
      </x:c>
      <x:c r="E420" s="28" t="str">
        <x:v>контраст кислоты и жирной/горькой матрицы</x:v>
      </x:c>
      <x:c r="F420" s="28" t="str">
        <x:v>Фундук имеет профиль «ореховый, жареный, сладкий, землистый и какаоподобный». Партнёр «вишня» относится к группе «Фрукты и ягоды» и даёт миндальный, фруктовый.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2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20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420" s="28" t="str">
        <x:v>пралине, паста, выпечка, гарнир, соус, молочный или коктейльный компонент с вишня</x:v>
      </x:c>
      <x:c r="J420" s="28" t="str">
        <x:v>Средняя</x:v>
      </x:c>
      <x:c r="K420" s="28" t="str">
        <x:v>Тезариус вкусов (Ники Сегнит)(1).pdf</x:v>
      </x:c>
      <x:c r="L420" s="28" t="str">
        <x:v>Тезариус вкусов (Ники Сегнит)(1).pdf: 634, 656</x:v>
      </x:c>
    </x:row>
    <x:row r="421" ht="64" customHeight="1">
      <x:c r="A421" s="28" t="str">
        <x:v>NCT-0502</x:v>
      </x:c>
      <x:c r="B421" s="28" t="str">
        <x:v>фундук</x:v>
      </x:c>
      <x:c r="C421" s="28" t="str">
        <x:v>голубика</x:v>
      </x:c>
      <x:c r="D421" s="28" t="str">
        <x:v>Прочее</x:v>
      </x:c>
      <x:c r="E421" s="28" t="str">
        <x:v>сенсорная комплементарность</x:v>
      </x:c>
      <x:c r="F421" s="28" t="str">
        <x:v>Фундук имеет профиль «ореховый, жареный, сладкий, землистый и какаоподобный». Партнёр «голубика»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2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21" s="28" t="str">
        <x:v>аллерген и чувствительность к прогорканию; пережаривание даёт дымную горечь</x:v>
      </x:c>
      <x:c r="I421" s="28" t="str">
        <x:v>пралине, паста, выпечка, гарнир, соус, молочный или коктейльный компонент с голубика</x:v>
      </x:c>
      <x:c r="J421" s="28" t="str">
        <x:v>Гипотеза / практическая</x:v>
      </x:c>
      <x:c r="K421" s="28" t="str">
        <x:v>Таблица сочетания(1).pdf</x:v>
      </x:c>
      <x:c r="L421" s="28" t="str">
        <x:v>Таблица сочетания(1).pdf: 3</x:v>
      </x:c>
    </x:row>
    <x:row r="422" ht="64" customHeight="1">
      <x:c r="A422" s="28" t="str">
        <x:v>NCT-0503</x:v>
      </x:c>
      <x:c r="B422" s="28" t="str">
        <x:v>фундук</x:v>
      </x:c>
      <x:c r="C422" s="28" t="str">
        <x:v>груша</x:v>
      </x:c>
      <x:c r="D422" s="28" t="str">
        <x:v>Фрукты и ягоды</x:v>
      </x:c>
      <x:c r="E422" s="28" t="str">
        <x:v>общие ароматические соединения, контраст кислоты и жирной/горькой матрицы</x:v>
      </x:c>
      <x:c r="F422" s="28" t="str">
        <x:v>Фундук имеет профиль «ореховый, жареный, сладкий, землистый и какаоподобный». Партнёр «груша»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2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22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422" s="28" t="str">
        <x:v>пралине, паста, выпечка, гарнир, соус, молочный или коктейльный компонент с груша</x:v>
      </x:c>
      <x:c r="J422" s="28" t="str">
        <x:v>Высокая</x:v>
      </x:c>
      <x:c r="K422" s="28" t="str">
        <x:v>Таблица сочетания(1).pdf | Тезариус вкусов (Ники Сегнит)(1).pdf</x:v>
      </x:c>
      <x:c r="L422" s="28" t="str">
        <x:v>Таблица сочетания(1).pdf: 16; Тезариус вкусов (Ники Сегнит)(1).pdf: 634, 727</x:v>
      </x:c>
    </x:row>
    <x:row r="423" ht="64" customHeight="1">
      <x:c r="A423" s="28" t="str">
        <x:v>NCT-0504</x:v>
      </x:c>
      <x:c r="B423" s="28" t="str">
        <x:v>фундук</x:v>
      </x:c>
      <x:c r="C423" s="28" t="str">
        <x:v>джекфрут</x:v>
      </x:c>
      <x:c r="D423" s="28" t="str">
        <x:v>Прочее</x:v>
      </x:c>
      <x:c r="E423" s="28" t="str">
        <x:v>сенсорная комплементарность</x:v>
      </x:c>
      <x:c r="F423" s="28" t="str">
        <x:v>Фундук имеет профиль «ореховый, жареный, сладкий, землистый и какаоподобный». Партнёр «джекфрут»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2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23" s="28" t="str">
        <x:v>аллерген и чувствительность к прогорканию; пережаривание даёт дымную горечь</x:v>
      </x:c>
      <x:c r="I423" s="28" t="str">
        <x:v>пралине, паста, выпечка, гарнир, соус, молочный или коктейльный компонент с джекфрут</x:v>
      </x:c>
      <x:c r="J423" s="28" t="str">
        <x:v>Гипотеза / практическая</x:v>
      </x:c>
      <x:c r="K423" s="28" t="str">
        <x:v>Таблица сочетания(1).pdf</x:v>
      </x:c>
      <x:c r="L423" s="28" t="str">
        <x:v>Таблица сочетания(1).pdf: 10</x:v>
      </x:c>
    </x:row>
    <x:row r="424" ht="64" customHeight="1">
      <x:c r="A424" s="28" t="str">
        <x:v>NCT-0505</x:v>
      </x:c>
      <x:c r="B424" s="28" t="str">
        <x:v>фундук</x:v>
      </x:c>
      <x:c r="C424" s="28" t="str">
        <x:v>древовидная полынь</x:v>
      </x:c>
      <x:c r="D424" s="28" t="str">
        <x:v>Прочее</x:v>
      </x:c>
      <x:c r="E424" s="28" t="str">
        <x:v>сенсорная комплементарность</x:v>
      </x:c>
      <x:c r="F424" s="28" t="str">
        <x:v>Фундук имеет профиль «ореховый, жареный, сладкий, землистый и какаоподобный». Партнёр «древовидная полынь»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2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24" s="28" t="str">
        <x:v>аллерген и чувствительность к прогорканию; пережаривание даёт дымную горечь</x:v>
      </x:c>
      <x:c r="I424" s="28" t="str">
        <x:v>пралине, паста, выпечка, гарнир, соус, молочный или коктейльный компонент с древовидная полынь</x:v>
      </x:c>
      <x:c r="J424" s="28" t="str">
        <x:v>Высокая</x:v>
      </x:c>
      <x:c r="K424" s="28" t="str">
        <x:v>The Art &amp; Science of Foodpairing.pdf</x:v>
      </x:c>
      <x:c r="L424" s="28" t="str">
        <x:v>The Art &amp; Science of Foodpairing.pdf: 333</x:v>
      </x:c>
    </x:row>
    <x:row r="425" ht="64" customHeight="1">
      <x:c r="A425" s="28" t="str">
        <x:v>NCT-0506</x:v>
      </x:c>
      <x:c r="B425" s="28" t="str">
        <x:v>фундук</x:v>
      </x:c>
      <x:c r="C425" s="28" t="str">
        <x:v>ежевика</x:v>
      </x:c>
      <x:c r="D425" s="28" t="str">
        <x:v>Прочее</x:v>
      </x:c>
      <x:c r="E425" s="28" t="str">
        <x:v>сенсорная комплементарность</x:v>
      </x:c>
      <x:c r="F425" s="28" t="str">
        <x:v>Фундук имеет профиль «ореховый, жареный, сладкий, землистый и какаоподобный». Партнёр «ежевика»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2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25" s="28" t="str">
        <x:v>аллерген и чувствительность к прогорканию; пережаривание даёт дымную горечь</x:v>
      </x:c>
      <x:c r="I425" s="28" t="str">
        <x:v>пралине, паста, выпечка, гарнир, соус, молочный или коктейльный компонент с ежевика</x:v>
      </x:c>
      <x:c r="J425" s="28" t="str">
        <x:v>Гипотеза / практическая</x:v>
      </x:c>
      <x:c r="K425" s="28" t="str">
        <x:v>Таблица сочетания(1).pdf</x:v>
      </x:c>
      <x:c r="L425" s="28" t="str">
        <x:v>Таблица сочетания(1).pdf: 2</x:v>
      </x:c>
    </x:row>
    <x:row r="426" ht="64" customHeight="1">
      <x:c r="A426" s="28" t="str">
        <x:v>NCT-0507</x:v>
      </x:c>
      <x:c r="B426" s="28" t="str">
        <x:v>фундук</x:v>
      </x:c>
      <x:c r="C426" s="28" t="str">
        <x:v>запечённая морская камбала</x:v>
      </x:c>
      <x:c r="D426" s="28" t="str">
        <x:v>Прочее</x:v>
      </x:c>
      <x:c r="E426" s="28" t="str">
        <x:v>сенсорная комплементарность</x:v>
      </x:c>
      <x:c r="F426" s="28" t="str">
        <x:v>Фундук имеет профиль «ореховый, жареный, сладкий, землистый и какаоподобный». Партнёр «запечённая морская камбала»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2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26" s="28" t="str">
        <x:v>аллерген и чувствительность к прогорканию; пережаривание даёт дымную горечь</x:v>
      </x:c>
      <x:c r="I426" s="28" t="str">
        <x:v>пралине, паста, выпечка, гарнир, соус, молочный или коктейльный компонент с запечённая морская камбала</x:v>
      </x:c>
      <x:c r="J426" s="28" t="str">
        <x:v>Средняя</x:v>
      </x:c>
      <x:c r="K426" s="28" t="str">
        <x:v>The Art &amp; Science of Foodpairing.pdf</x:v>
      </x:c>
      <x:c r="L426" s="28" t="str">
        <x:v>The Art &amp; Science of Foodpairing.pdf: 332</x:v>
      </x:c>
    </x:row>
    <x:row r="427" ht="64" customHeight="1">
      <x:c r="A427" s="28" t="str">
        <x:v>NCT-0508</x:v>
      </x:c>
      <x:c r="B427" s="28" t="str">
        <x:v>фундук</x:v>
      </x:c>
      <x:c r="C427" s="28" t="str">
        <x:v>зелёная спаржа</x:v>
      </x:c>
      <x:c r="D427" s="28" t="str">
        <x:v>Овощи, бобовые и грибы</x:v>
      </x:c>
      <x:c r="E427" s="28" t="str">
        <x:v>общие ароматические соединения</x:v>
      </x:c>
      <x:c r="F427" s="28" t="str">
        <x:v>Фундук имеет профиль «ореховый, жареный, сладкий, землистый и какаоподобный». Партнёр «зелёная спаржа»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2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27" s="28" t="str">
        <x:v>аллерген и чувствительность к прогорканию; пережаривание даёт дымную горечь</x:v>
      </x:c>
      <x:c r="I427" s="28" t="str">
        <x:v>пралине, паста, выпечка, гарнир, соус, молочный или коктейльный компонент с зелёная спаржа</x:v>
      </x:c>
      <x:c r="J427" s="28" t="str">
        <x:v>Средняя</x:v>
      </x:c>
      <x:c r="K427" s="28" t="str">
        <x:v>The Art &amp; Science of Foodpairing.pdf</x:v>
      </x:c>
      <x:c r="L427" s="28" t="str">
        <x:v>The Art &amp; Science of Foodpairing.pdf: 332</x:v>
      </x:c>
    </x:row>
    <x:row r="428" ht="64" customHeight="1">
      <x:c r="A428" s="28" t="str">
        <x:v>NCT-0509</x:v>
      </x:c>
      <x:c r="B428" s="28" t="str">
        <x:v>фундук</x:v>
      </x:c>
      <x:c r="C428" s="28" t="str">
        <x:v>зелёная фасоль</x:v>
      </x:c>
      <x:c r="D428" s="28" t="str">
        <x:v>Овощи, бобовые и грибы</x:v>
      </x:c>
      <x:c r="E428" s="28" t="str">
        <x:v>общие ароматические соединения</x:v>
      </x:c>
      <x:c r="F428" s="28" t="str">
        <x:v>Фундук имеет профиль «ореховый, жареный, сладкий, землистый и какаоподобный». Партнёр «зелёная фасоль»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2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28" s="28" t="str">
        <x:v>аллерген и чувствительность к прогорканию; пережаривание даёт дымную горечь</x:v>
      </x:c>
      <x:c r="I428" s="28" t="str">
        <x:v>пралине, паста, выпечка, гарнир, соус, молочный или коктейльный компонент с зелёная фасоль</x:v>
      </x:c>
      <x:c r="J428" s="28" t="str">
        <x:v>Средняя</x:v>
      </x:c>
      <x:c r="K428" s="28" t="str">
        <x:v>The Art &amp; Science of Foodpairing.pdf</x:v>
      </x:c>
      <x:c r="L428" s="28" t="str">
        <x:v>The Art &amp; Science of Foodpairing.pdf: 332</x:v>
      </x:c>
    </x:row>
    <x:row r="429" ht="64" customHeight="1">
      <x:c r="A429" s="28" t="str">
        <x:v>NCT-0510</x:v>
      </x:c>
      <x:c r="B429" s="28" t="str">
        <x:v>фундук</x:v>
      </x:c>
      <x:c r="C429" s="28" t="str">
        <x:v>зелёный чай</x:v>
      </x:c>
      <x:c r="D429" s="28" t="str">
        <x:v>Чай</x:v>
      </x:c>
      <x:c r="E429" s="28" t="str">
        <x:v>сенсорная комплементарность</x:v>
      </x:c>
      <x:c r="F429" s="28" t="str">
        <x:v>Фундук имеет профиль «ореховый, жареный, сладкий, землистый и какаоподобный». Партнёр «зелёный чай» относится к группе «Чай» и даёт зелёный, морской, травянистый, цветочный и слегка жареный; у матча —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2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29" s="28" t="str">
        <x:v>аллерген и чувствительность к прогорканию; пережаривание даёт дымную горечь</x:v>
      </x:c>
      <x:c r="I429" s="28" t="str">
        <x:v>пралине, паста, выпечка, гарнир, соус, молочный или коктейльный компонент с зелёный чай</x:v>
      </x:c>
      <x:c r="J429" s="28" t="str">
        <x:v>Средняя</x:v>
      </x:c>
      <x:c r="K429" s="28" t="str">
        <x:v>The Art &amp; Science of Foodpairing.pdf</x:v>
      </x:c>
      <x:c r="L429" s="28" t="str">
        <x:v>The Art &amp; Science of Foodpairing.pdf: 332</x:v>
      </x:c>
    </x:row>
    <x:row r="430" ht="64" customHeight="1">
      <x:c r="A430" s="28" t="str">
        <x:v>NCT-0511</x:v>
      </x:c>
      <x:c r="B430" s="28" t="str">
        <x:v>фундук</x:v>
      </x:c>
      <x:c r="C430" s="28" t="str">
        <x:v>изюм</x:v>
      </x:c>
      <x:c r="D430" s="28" t="str">
        <x:v>Прочее</x:v>
      </x:c>
      <x:c r="E430" s="28" t="str">
        <x:v>сенсорная комплементарность</x:v>
      </x:c>
      <x:c r="F430" s="28" t="str">
        <x:v>Фундук имеет профиль «ореховый, жареный, сладкий, землистый и какаоподобный». Партнёр «изюм»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3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30" s="28" t="str">
        <x:v>аллерген и чувствительность к прогорканию; пережаривание даёт дымную горечь</x:v>
      </x:c>
      <x:c r="I430" s="28" t="str">
        <x:v>пралине, паста, выпечка, гарнир, соус, молочный или коктейльный компонент с изюм</x:v>
      </x:c>
      <x:c r="J430" s="28" t="str">
        <x:v>Средняя</x:v>
      </x:c>
      <x:c r="K430" s="28" t="str">
        <x:v>The Art &amp; Science of Foodpairing.pdf</x:v>
      </x:c>
      <x:c r="L430" s="28" t="str">
        <x:v>The Art &amp; Science of Foodpairing.pdf: 332</x:v>
      </x:c>
    </x:row>
    <x:row r="431" ht="64" customHeight="1">
      <x:c r="A431" s="28" t="str">
        <x:v>NCT-0512</x:v>
      </x:c>
      <x:c r="B431" s="28" t="str">
        <x:v>фундук</x:v>
      </x:c>
      <x:c r="C431" s="28" t="str">
        <x:v>инжир</x:v>
      </x:c>
      <x:c r="D431" s="28" t="str">
        <x:v>Фрукты и ягоды</x:v>
      </x:c>
      <x:c r="E431" s="28" t="str">
        <x:v>общие ароматические соединения, контраст кислоты и жирной/горькой матрицы</x:v>
      </x:c>
      <x:c r="F431" s="28" t="str">
        <x:v>Фундук имеет профиль «ореховый, жареный, сладкий, землистый и какаоподобный». Партнёр «инжир»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3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31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431" s="28" t="str">
        <x:v>пралине, паста, выпечка, гарнир, соус, молочный или коктейльный компонент с инжир</x:v>
      </x:c>
      <x:c r="J431" s="28" t="str">
        <x:v>Высокая</x:v>
      </x:c>
      <x:c r="K431" s="28" t="str">
        <x:v>Таблица сочетания(1).pdf | Тезариус вкусов (Ники Сегнит)(1).pdf</x:v>
      </x:c>
      <x:c r="L431" s="28" t="str">
        <x:v>Таблица сочетания(1).pdf: 8; Тезариус вкусов (Ники Сегнит)(1).pdf: 634, 896</x:v>
      </x:c>
    </x:row>
    <x:row r="432" ht="64" customHeight="1">
      <x:c r="A432" s="28" t="str">
        <x:v>NCT-0513</x:v>
      </x:c>
      <x:c r="B432" s="28" t="str">
        <x:v>фундук</x:v>
      </x:c>
      <x:c r="C432" s="28" t="str">
        <x:v>кабачок</x:v>
      </x:c>
      <x:c r="D432" s="28" t="str">
        <x:v>Овощи, бобовые и грибы</x:v>
      </x:c>
      <x:c r="E432" s="28" t="str">
        <x:v>общие ароматические соединения</x:v>
      </x:c>
      <x:c r="F432" s="28" t="str">
        <x:v>Фундук имеет профиль «ореховый, жареный, сладкий, землистый и какаоподобный». Партнёр «кабачок»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3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32" s="28" t="str">
        <x:v>аллерген и чувствительность к прогорканию; пережаривание даёт дымную горечь</x:v>
      </x:c>
      <x:c r="I432" s="28" t="str">
        <x:v>пралине, паста, выпечка, гарнир, соус, молочный или коктейльный компонент с кабачок</x:v>
      </x:c>
      <x:c r="J432" s="28" t="str">
        <x:v>Высокая</x:v>
      </x:c>
      <x:c r="K432" s="28" t="str">
        <x:v>The Art &amp; Science of Foodpairing.pdf</x:v>
      </x:c>
      <x:c r="L432" s="28" t="str">
        <x:v>The Art &amp; Science of Foodpairing.pdf: 332</x:v>
      </x:c>
    </x:row>
    <x:row r="433" ht="64" customHeight="1">
      <x:c r="A433" s="28" t="str">
        <x:v>NCT-0514</x:v>
      </x:c>
      <x:c r="B433" s="28" t="str">
        <x:v>фундук</x:v>
      </x:c>
      <x:c r="C433" s="28" t="str">
        <x:v>картофель фри</x:v>
      </x:c>
      <x:c r="D433" s="28" t="str">
        <x:v>Овощи, бобовые и грибы</x:v>
      </x:c>
      <x:c r="E433" s="28" t="str">
        <x:v>общие ароматические соединения</x:v>
      </x:c>
      <x:c r="F433" s="28" t="str">
        <x:v>Фундук имеет профиль «ореховый, жареный, сладкий, землистый и какаоподобный». Партнёр «картофель фри»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3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33" s="28" t="str">
        <x:v>аллерген и чувствительность к прогорканию; пережаривание даёт дымную горечь</x:v>
      </x:c>
      <x:c r="I433" s="28" t="str">
        <x:v>пралине, паста, выпечка, гарнир, соус, молочный или коктейльный компонент с картофель фри</x:v>
      </x:c>
      <x:c r="J433" s="28" t="str">
        <x:v>Средняя</x:v>
      </x:c>
      <x:c r="K433" s="28" t="str">
        <x:v>The Art &amp; Science of Foodpairing.pdf</x:v>
      </x:c>
      <x:c r="L433" s="28" t="str">
        <x:v>The Art &amp; Science of Foodpairing.pdf: 196, 332</x:v>
      </x:c>
    </x:row>
    <x:row r="434" ht="64" customHeight="1">
      <x:c r="A434" s="28" t="str">
        <x:v>NCT-0515</x:v>
      </x:c>
      <x:c r="B434" s="28" t="str">
        <x:v>фундук</x:v>
      </x:c>
      <x:c r="C434" s="28" t="str">
        <x:v>кейл</x:v>
      </x:c>
      <x:c r="D434" s="28" t="str">
        <x:v>Прочее</x:v>
      </x:c>
      <x:c r="E434" s="28" t="str">
        <x:v>сенсорная комплементарность</x:v>
      </x:c>
      <x:c r="F434" s="28" t="str">
        <x:v>Фундук имеет профиль «ореховый, жареный, сладкий, землистый и какаоподобный». Партнёр «кейл»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3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34" s="28" t="str">
        <x:v>аллерген и чувствительность к прогорканию; пережаривание даёт дымную горечь</x:v>
      </x:c>
      <x:c r="I434" s="28" t="str">
        <x:v>пралине, паста, выпечка, гарнир, соус, молочный или коктейльный компонент с кейл</x:v>
      </x:c>
      <x:c r="J434" s="28" t="str">
        <x:v>Средняя</x:v>
      </x:c>
      <x:c r="K434" s="28" t="str">
        <x:v>The Art &amp; Science of Foodpairing.pdf</x:v>
      </x:c>
      <x:c r="L434" s="28" t="str">
        <x:v>The Art &amp; Science of Foodpairing.pdf: 332</x:v>
      </x:c>
    </x:row>
    <x:row r="435" ht="64" customHeight="1">
      <x:c r="A435" s="28" t="str">
        <x:v>NCT-0516</x:v>
      </x:c>
      <x:c r="B435" s="28" t="str">
        <x:v>фундук</x:v>
      </x:c>
      <x:c r="C435" s="28" t="str">
        <x:v>киви</x:v>
      </x:c>
      <x:c r="D435" s="28" t="str">
        <x:v>Фрукты и ягоды</x:v>
      </x:c>
      <x:c r="E435" s="28" t="str">
        <x:v>общие ароматические соединения, контраст кислоты и жирной/горькой матрицы</x:v>
      </x:c>
      <x:c r="F435" s="28" t="str">
        <x:v>Фундук имеет профиль «ореховый, жареный, сладкий, землистый и какаоподобный». Партнёр «киви»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3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35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435" s="28" t="str">
        <x:v>пралине, паста, выпечка, гарнир, соус, молочный или коктейльный компонент с киви</x:v>
      </x:c>
      <x:c r="J435" s="28" t="str">
        <x:v>Средняя</x:v>
      </x:c>
      <x:c r="K435" s="28" t="str">
        <x:v>The Art &amp; Science of Foodpairing.pdf</x:v>
      </x:c>
      <x:c r="L435" s="28" t="str">
        <x:v>The Art &amp; Science of Foodpairing.pdf: 332</x:v>
      </x:c>
    </x:row>
    <x:row r="436" ht="64" customHeight="1">
      <x:c r="A436" s="28" t="str">
        <x:v>NCT-0517</x:v>
      </x:c>
      <x:c r="B436" s="28" t="str">
        <x:v>фундук</x:v>
      </x:c>
      <x:c r="C436" s="28" t="str">
        <x:v>кленовый сироп</x:v>
      </x:c>
      <x:c r="D436" s="28" t="str">
        <x:v>Выпечка, сахара и десерты</x:v>
      </x:c>
      <x:c r="E436" s="28" t="str">
        <x:v>общие ароматические соединения, пересечение ароматических семейств, жареная химия и реакции Майяра</x:v>
      </x:c>
      <x:c r="F436" s="28" t="str">
        <x:v>Фундук имеет профиль «ореховый, жареный, сладкий, землистый и какаоподобный».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43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36" s="28" t="str">
        <x:v>аллерген и чувствительность к прогорканию; пережаривание даёт дымную горечь</x:v>
      </x:c>
      <x:c r="I436" s="28" t="str">
        <x:v>пралине, паста, выпечка, гарнир, соус, молочный или коктейльный компонент с кленовый сироп</x:v>
      </x:c>
      <x:c r="J436" s="28" t="str">
        <x:v>Средняя</x:v>
      </x:c>
      <x:c r="K436" s="28" t="str">
        <x:v>The Art &amp; Science of Foodpairing.pdf</x:v>
      </x:c>
      <x:c r="L436" s="28" t="str">
        <x:v>The Art &amp; Science of Foodpairing.pdf: 332</x:v>
      </x:c>
    </x:row>
    <x:row r="437" ht="64" customHeight="1">
      <x:c r="A437" s="28" t="str">
        <x:v>NCT-0518</x:v>
      </x:c>
      <x:c r="B437" s="28" t="str">
        <x:v>фундук</x:v>
      </x:c>
      <x:c r="C437" s="28" t="str">
        <x:v>клубника</x:v>
      </x:c>
      <x:c r="D437" s="28" t="str">
        <x:v>Прочее</x:v>
      </x:c>
      <x:c r="E437" s="28" t="str">
        <x:v>сенсорная комплементарность</x:v>
      </x:c>
      <x:c r="F437" s="28" t="str">
        <x:v>Фундук имеет профиль «ореховый, жареный, сладкий, землистый и какаоподобный». Партнёр «клубника» относится к группе «Прочее» и даёт зелёный, карамельный, фруктовый.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3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37" s="28" t="str">
        <x:v>аллерген и чувствительность к прогорканию; пережаривание даёт дымную горечь</x:v>
      </x:c>
      <x:c r="I437" s="28" t="str">
        <x:v>пралине, паста, выпечка, гарнир, соус, молочный или коктейльный компонент с клубника</x:v>
      </x:c>
      <x:c r="J437" s="28" t="str">
        <x:v>Высокая</x:v>
      </x:c>
      <x:c r="K437" s="28" t="str">
        <x:v>Таблица сочетания(1).pdf | Тезариус вкусов (Ники Сегнит)(1).pdf</x:v>
      </x:c>
      <x:c r="L437" s="28" t="str">
        <x:v>Таблица сочетания(1).pdf: 20; Тезариус вкусов (Ники Сегнит)(1).pdf: 635, 698</x:v>
      </x:c>
    </x:row>
    <x:row r="438" ht="64" customHeight="1">
      <x:c r="A438" s="28" t="str">
        <x:v>NCT-0519</x:v>
      </x:c>
      <x:c r="B438" s="28" t="str">
        <x:v>фундук</x:v>
      </x:c>
      <x:c r="C438" s="28" t="str">
        <x:v>клюква</x:v>
      </x:c>
      <x:c r="D438" s="28" t="str">
        <x:v>Прочее</x:v>
      </x:c>
      <x:c r="E438" s="28" t="str">
        <x:v>сенсорная комплементарность</x:v>
      </x:c>
      <x:c r="F438" s="28" t="str">
        <x:v>Фундук имеет профиль «ореховый, жареный, сладкий, землистый и какаоподобный». Партнёр «клюква»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3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38" s="28" t="str">
        <x:v>аллерген и чувствительность к прогорканию; пережаривание даёт дымную горечь</x:v>
      </x:c>
      <x:c r="I438" s="28" t="str">
        <x:v>пралине, паста, выпечка, гарнир, соус, молочный или коктейльный компонент с клюква</x:v>
      </x:c>
      <x:c r="J438" s="28" t="str">
        <x:v>Высокая</x:v>
      </x:c>
      <x:c r="K438" s="28" t="str">
        <x:v>The Art &amp; Science of Foodpairing.pdf | Таблица сочетания(1).pdf</x:v>
      </x:c>
      <x:c r="L438" s="28" t="str">
        <x:v>The Art &amp; Science of Foodpairing.pdf: 332; Таблица сочетания(1).pdf: 6</x:v>
      </x:c>
    </x:row>
    <x:row r="439" ht="64" customHeight="1">
      <x:c r="A439" s="28" t="str">
        <x:v>NCT-0520</x:v>
      </x:c>
      <x:c r="B439" s="28" t="str">
        <x:v>фундук</x:v>
      </x:c>
      <x:c r="C439" s="28" t="str">
        <x:v>кокосовая вода</x:v>
      </x:c>
      <x:c r="D439" s="28" t="str">
        <x:v>Прочее</x:v>
      </x:c>
      <x:c r="E439" s="28" t="str">
        <x:v>сенсорная комплементарность</x:v>
      </x:c>
      <x:c r="F439" s="28" t="str">
        <x:v>Фундук имеет профиль «ореховый, жареный, сладкий, землистый и какаоподобный». Партнёр «кокосовая вода» относится к группе «Прочее» и даёт лактонный, сливочный.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3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39" s="28" t="str">
        <x:v>аллерген и чувствительность к прогорканию; пережаривание даёт дымную горечь</x:v>
      </x:c>
      <x:c r="I439" s="28" t="str">
        <x:v>пралине, паста, выпечка, гарнир, соус, молочный или коктейльный компонент с кокосовая вода</x:v>
      </x:c>
      <x:c r="J439" s="28" t="str">
        <x:v>Средняя</x:v>
      </x:c>
      <x:c r="K439" s="28" t="str">
        <x:v>The Art &amp; Science of Foodpairing.pdf</x:v>
      </x:c>
      <x:c r="L439" s="28" t="str">
        <x:v>The Art &amp; Science of Foodpairing.pdf: 332</x:v>
      </x:c>
    </x:row>
    <x:row r="440" ht="64" customHeight="1">
      <x:c r="A440" s="28" t="str">
        <x:v>NCT-0521</x:v>
      </x:c>
      <x:c r="B440" s="28" t="str">
        <x:v>фундук</x:v>
      </x:c>
      <x:c r="C440" s="28" t="str">
        <x:v>корица и кассия</x:v>
      </x:c>
      <x:c r="D440" s="28" t="str">
        <x:v>Специи</x:v>
      </x:c>
      <x:c r="E440" s="28" t="str">
        <x:v>сенсорная комплементарность</x:v>
      </x:c>
      <x:c r="F440" s="28" t="str">
        <x:v>Фундук имеет профиль «ореховый, жареный, сладкий, землистый и какаоподобный». Партнёр «корица и кассия» относится к группе «Специи» и даёт древесный, пряный.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4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40" s="28" t="str">
        <x:v>аллерген и чувствительность к прогорканию; пережаривание даёт дымную горечь</x:v>
      </x:c>
      <x:c r="I440" s="28" t="str">
        <x:v>пралине, паста, выпечка, гарнир, соус, молочный или коктейльный компонент с корица и кассия</x:v>
      </x:c>
      <x:c r="J440" s="28" t="str">
        <x:v>Средняя</x:v>
      </x:c>
      <x:c r="K440" s="28" t="str">
        <x:v>The Art &amp; Science of Foodpairing.pdf</x:v>
      </x:c>
      <x:c r="L440" s="28" t="str">
        <x:v>The Art &amp; Science of Foodpairing.pdf: 130</x:v>
      </x:c>
    </x:row>
    <x:row r="441" ht="64" customHeight="1">
      <x:c r="A441" s="28" t="str">
        <x:v>NCT-0522</x:v>
      </x:c>
      <x:c r="B441" s="28" t="str">
        <x:v>фундук</x:v>
      </x:c>
      <x:c r="C441" s="28" t="str">
        <x:v>кофе</x:v>
      </x:c>
      <x:c r="D441" s="28" t="str">
        <x:v>Кофе</x:v>
      </x:c>
      <x:c r="E441" s="28" t="str">
        <x:v>общие ароматические соединения, пересечение ароматических семейств, жареная химия и реакции Майяра</x:v>
      </x:c>
      <x:c r="F441" s="28" t="str">
        <x:v>Фундук имеет профиль «ореховый, жареный, сладкий, землистый и какаоподобный».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ореховый; пиразины, фураны.</x:v>
      </x:c>
      <x:c r="G44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41" s="28" t="str">
        <x:v>аллерген и чувствительность к прогорканию; пережаривание даёт дымную горечь</x:v>
      </x:c>
      <x:c r="I441" s="28" t="str">
        <x:v>пралине, паста, выпечка, гарнир, соус, молочный или коктейльный компонент с кофе</x:v>
      </x:c>
      <x:c r="J441" s="28" t="str">
        <x:v>Высокая</x:v>
      </x:c>
      <x:c r="K441" s="28" t="str">
        <x:v>Таблица сочетания(1).pdf | Тезариус вкусов (Ники Сегнит)(1).pdf</x:v>
      </x:c>
      <x:c r="L441" s="28" t="str">
        <x:v>Таблица сочетания(1).pdf: 6; Тезариус вкусов (Ники Сегнит)(1).pdf: 47, 635</x:v>
      </x:c>
    </x:row>
    <x:row r="442" ht="64" customHeight="1">
      <x:c r="A442" s="28" t="str">
        <x:v>NCT-0523</x:v>
      </x:c>
      <x:c r="B442" s="28" t="str">
        <x:v>фундук</x:v>
      </x:c>
      <x:c r="C442" s="28" t="str">
        <x:v>лепестки розы</x:v>
      </x:c>
      <x:c r="D442" s="28" t="str">
        <x:v>Прочее</x:v>
      </x:c>
      <x:c r="E442" s="28" t="str">
        <x:v>сенсорная комплементарность</x:v>
      </x:c>
      <x:c r="F442" s="28" t="str">
        <x:v>Фундук имеет профиль «ореховый, жареный, сладкий, землистый и какаоподобный». Партнёр «лепестки розы»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4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42" s="28" t="str">
        <x:v>аллерген и чувствительность к прогорканию; пережаривание даёт дымную горечь</x:v>
      </x:c>
      <x:c r="I442" s="28" t="str">
        <x:v>пралине, паста, выпечка, гарнир, соус, молочный или коктейльный компонент с лепестки розы</x:v>
      </x:c>
      <x:c r="J442" s="28" t="str">
        <x:v>Средняя</x:v>
      </x:c>
      <x:c r="K442" s="28" t="str">
        <x:v>The Art &amp; Science of Foodpairing.pdf</x:v>
      </x:c>
      <x:c r="L442" s="28" t="str">
        <x:v>The Art &amp; Science of Foodpairing.pdf: 332</x:v>
      </x:c>
    </x:row>
    <x:row r="443" ht="64" customHeight="1">
      <x:c r="A443" s="28" t="str">
        <x:v>NCT-0524</x:v>
      </x:c>
      <x:c r="B443" s="28" t="str">
        <x:v>фундук</x:v>
      </x:c>
      <x:c r="C443" s="28" t="str">
        <x:v>лимон</x:v>
      </x:c>
      <x:c r="D443" s="28" t="str">
        <x:v>Фрукты и ягоды</x:v>
      </x:c>
      <x:c r="E443" s="28" t="str">
        <x:v>контраст кислоты и жирной/горькой матрицы</x:v>
      </x:c>
      <x:c r="F443" s="28" t="str">
        <x:v>Фундук имеет профиль «ореховый, жареный, сладкий, землистый и какаоподобный».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4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43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443" s="28" t="str">
        <x:v>пралине, паста, выпечка, гарнир, соус, молочный или коктейльный компонент с лимон</x:v>
      </x:c>
      <x:c r="J443" s="28" t="str">
        <x:v>Гипотеза / практическая</x:v>
      </x:c>
      <x:c r="K443" s="28" t="str">
        <x:v>Таблица сочетания(1).pdf</x:v>
      </x:c>
      <x:c r="L443" s="28" t="str">
        <x:v>Таблица сочетания(1).pdf: 11</x:v>
      </x:c>
    </x:row>
    <x:row r="444" ht="64" customHeight="1">
      <x:c r="A444" s="28" t="str">
        <x:v>NCT-0525</x:v>
      </x:c>
      <x:c r="B444" s="28" t="str">
        <x:v>фундук</x:v>
      </x:c>
      <x:c r="C444" s="28" t="str">
        <x:v>личи</x:v>
      </x:c>
      <x:c r="D444" s="28" t="str">
        <x:v>Фрукты и ягоды</x:v>
      </x:c>
      <x:c r="E444" s="28" t="str">
        <x:v>общие ароматические соединения, контраст кислоты и жирной/горькой матрицы</x:v>
      </x:c>
      <x:c r="F444" s="28" t="str">
        <x:v>Фундук имеет профиль «ореховый, жареный, сладкий, землистый и какаоподобный». Партнёр «личи»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4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44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444" s="28" t="str">
        <x:v>пралине, паста, выпечка, гарнир, соус, молочный или коктейльный компонент с личи</x:v>
      </x:c>
      <x:c r="J444" s="28" t="str">
        <x:v>Средняя</x:v>
      </x:c>
      <x:c r="K444" s="28" t="str">
        <x:v>The Art &amp; Science of Foodpairing.pdf</x:v>
      </x:c>
      <x:c r="L444" s="28" t="str">
        <x:v>The Art &amp; Science of Foodpairing.pdf: 332</x:v>
      </x:c>
    </x:row>
    <x:row r="445" ht="64" customHeight="1">
      <x:c r="A445" s="28" t="str">
        <x:v>NCT-0526</x:v>
      </x:c>
      <x:c r="B445" s="28" t="str">
        <x:v>фундук</x:v>
      </x:c>
      <x:c r="C445" s="28" t="str">
        <x:v>малина</x:v>
      </x:c>
      <x:c r="D445" s="28" t="str">
        <x:v>Прочее</x:v>
      </x:c>
      <x:c r="E445" s="28" t="str">
        <x:v>сенсорная комплементарность</x:v>
      </x:c>
      <x:c r="F445" s="28" t="str">
        <x:v>Фундук имеет профиль «ореховый, жареный, сладкий, землистый и какаоподобный». Партнёр «малина» относится к группе «Прочее» и даёт цветочный, ягодный.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4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45" s="28" t="str">
        <x:v>аллерген и чувствительность к прогорканию; пережаривание даёт дымную горечь</x:v>
      </x:c>
      <x:c r="I445" s="28" t="str">
        <x:v>пралине, паста, выпечка, гарнир, соус, молочный или коктейльный компонент с малина</x:v>
      </x:c>
      <x:c r="J445" s="28" t="str">
        <x:v>Высокая</x:v>
      </x:c>
      <x:c r="K445" s="28" t="str">
        <x:v>The Art &amp; Science of Foodpairing.pdf | Тезариус вкусов (Ники Сегнит)(1).pdf</x:v>
      </x:c>
      <x:c r="L445" s="28" t="str">
        <x:v>The Art &amp; Science of Foodpairing.pdf: 332; Тезариус вкусов (Ники Сегнит)(1).pdf: 635, 889</x:v>
      </x:c>
    </x:row>
    <x:row r="446" ht="64" customHeight="1">
      <x:c r="A446" s="28" t="str">
        <x:v>NCT-0527</x:v>
      </x:c>
      <x:c r="B446" s="28" t="str">
        <x:v>фундук</x:v>
      </x:c>
      <x:c r="C446" s="28" t="str">
        <x:v>морковь</x:v>
      </x:c>
      <x:c r="D446" s="28" t="str">
        <x:v>Овощи, бобовые и грибы</x:v>
      </x:c>
      <x:c r="E446" s="28" t="str">
        <x:v>общие ароматические соединения</x:v>
      </x:c>
      <x:c r="F446" s="28" t="str">
        <x:v>Фундук имеет профиль «ореховый, жареный, сладкий, землистый и какаоподобный». Партнёр «морковь»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4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46" s="28" t="str">
        <x:v>аллерген и чувствительность к прогорканию; пережаривание даёт дымную горечь</x:v>
      </x:c>
      <x:c r="I446" s="28" t="str">
        <x:v>пралине, паста, выпечка, гарнир, соус, молочный или коктейльный компонент с морковь</x:v>
      </x:c>
      <x:c r="J446" s="28" t="str">
        <x:v>Средняя</x:v>
      </x:c>
      <x:c r="K446" s="28" t="str">
        <x:v>Тезариус вкусов (Ники Сегнит)(1).pdf</x:v>
      </x:c>
      <x:c r="L446" s="28" t="str">
        <x:v>Тезариус вкусов (Ники Сегнит)(1).pdf: 607, 636</x:v>
      </x:c>
    </x:row>
    <x:row r="447" ht="64" customHeight="1">
      <x:c r="A447" s="28" t="str">
        <x:v>NCT-0528</x:v>
      </x:c>
      <x:c r="B447" s="28" t="str">
        <x:v>фундук</x:v>
      </x:c>
      <x:c r="C447" s="28" t="str">
        <x:v>мускатный орех</x:v>
      </x:c>
      <x:c r="D447" s="28" t="str">
        <x:v>Орехи и семена</x:v>
      </x:c>
      <x:c r="E447" s="28" t="str">
        <x:v>пересечение ароматических семейств, жареная химия и реакции Майяра</x:v>
      </x:c>
      <x:c r="F447" s="28" t="str">
        <x:v>Фундук имеет профиль «ореховый, жареный, сладкий, землистый и какаоподобный». Партнёр «мускатный орех» относится к группе «Орехи и семена» и даёт камфорный, ореховый, пряный. Профили пересекаются в семействах: ореховый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ореховый; механизм не следует сводить к одной общей молекуле.</x:v>
      </x:c>
      <x:c r="G44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47" s="28" t="str">
        <x:v>аллерген и чувствительность к прогорканию; пережаривание даёт дымную горечь</x:v>
      </x:c>
      <x:c r="I447" s="28" t="str">
        <x:v>пралине, паста, выпечка, гарнир, соус, молочный или коктейльный компонент с мускатный орех</x:v>
      </x:c>
      <x:c r="J447" s="28" t="str">
        <x:v>Средняя</x:v>
      </x:c>
      <x:c r="K447" s="28" t="str">
        <x:v>The Art &amp; Science of Foodpairing.pdf</x:v>
      </x:c>
      <x:c r="L447" s="28" t="str">
        <x:v>The Art &amp; Science of Foodpairing.pdf: 332</x:v>
      </x:c>
    </x:row>
    <x:row r="448" ht="64" customHeight="1">
      <x:c r="A448" s="28" t="str">
        <x:v>NCT-0529</x:v>
      </x:c>
      <x:c r="B448" s="28" t="str">
        <x:v>фундук</x:v>
      </x:c>
      <x:c r="C448" s="28" t="str">
        <x:v>нектарин</x:v>
      </x:c>
      <x:c r="D448" s="28" t="str">
        <x:v>Прочее</x:v>
      </x:c>
      <x:c r="E448" s="28" t="str">
        <x:v>сенсорная комплементарность</x:v>
      </x:c>
      <x:c r="F448" s="28" t="str">
        <x:v>Фундук имеет профиль «ореховый, жареный, сладкий, землистый и какаоподобный». Партнёр «нектарин»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4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48" s="28" t="str">
        <x:v>аллерген и чувствительность к прогорканию; пережаривание даёт дымную горечь</x:v>
      </x:c>
      <x:c r="I448" s="28" t="str">
        <x:v>пралине, паста, выпечка, гарнир, соус, молочный или коктейльный компонент с нектарин</x:v>
      </x:c>
      <x:c r="J448" s="28" t="str">
        <x:v>Гипотеза / практическая</x:v>
      </x:c>
      <x:c r="K448" s="28" t="str">
        <x:v>Таблица сочетания(1).pdf</x:v>
      </x:c>
      <x:c r="L448" s="28" t="str">
        <x:v>Таблица сочетания(1).pdf: 14</x:v>
      </x:c>
    </x:row>
    <x:row r="449" ht="64" customHeight="1">
      <x:c r="A449" s="28" t="str">
        <x:v>NCT-0530</x:v>
      </x:c>
      <x:c r="B449" s="28" t="str">
        <x:v>фундук</x:v>
      </x:c>
      <x:c r="C449" s="28" t="str">
        <x:v>обжаренный корень цикория</x:v>
      </x:c>
      <x:c r="D449" s="28" t="str">
        <x:v>Прочее</x:v>
      </x:c>
      <x:c r="E449" s="28" t="str">
        <x:v>сенсорная комплементарность</x:v>
      </x:c>
      <x:c r="F449" s="28" t="str">
        <x:v>Фундук имеет профиль «ореховый, жареный, сладкий, землистый и какаоподобный». Партнёр «обжаренный корень цикория»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4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49" s="28" t="str">
        <x:v>аллерген и чувствительность к прогорканию; пережаривание даёт дымную горечь</x:v>
      </x:c>
      <x:c r="I449" s="28" t="str">
        <x:v>пралине, паста, выпечка, гарнир, соус, молочный или коктейльный компонент с обжаренный корень цикория</x:v>
      </x:c>
      <x:c r="J449" s="28" t="str">
        <x:v>Высокая</x:v>
      </x:c>
      <x:c r="K449" s="28" t="str">
        <x:v>The Art &amp; Science of Foodpairing.pdf</x:v>
      </x:c>
      <x:c r="L449" s="28" t="str">
        <x:v>The Art &amp; Science of Foodpairing.pdf: 332</x:v>
      </x:c>
    </x:row>
    <x:row r="450" ht="64" customHeight="1">
      <x:c r="A450" s="28" t="str">
        <x:v>NCT-0531</x:v>
      </x:c>
      <x:c r="B450" s="28" t="str">
        <x:v>фундук</x:v>
      </x:c>
      <x:c r="C450" s="28" t="str">
        <x:v>пак-чой</x:v>
      </x:c>
      <x:c r="D450" s="28" t="str">
        <x:v>Прочее</x:v>
      </x:c>
      <x:c r="E450" s="28" t="str">
        <x:v>сенсорная комплементарность</x:v>
      </x:c>
      <x:c r="F450" s="28" t="str">
        <x:v>Фундук имеет профиль «ореховый, жареный, сладкий, землистый и какаоподобный». Партнёр «пак-чой»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5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50" s="28" t="str">
        <x:v>аллерген и чувствительность к прогорканию; пережаривание даёт дымную горечь</x:v>
      </x:c>
      <x:c r="I450" s="28" t="str">
        <x:v>пралине, паста, выпечка, гарнир, соус, молочный или коктейльный компонент с пак-чой</x:v>
      </x:c>
      <x:c r="J450" s="28" t="str">
        <x:v>Средняя</x:v>
      </x:c>
      <x:c r="K450" s="28" t="str">
        <x:v>The Art &amp; Science of Foodpairing.pdf</x:v>
      </x:c>
      <x:c r="L450" s="28" t="str">
        <x:v>The Art &amp; Science of Foodpairing.pdf: 332</x:v>
      </x:c>
    </x:row>
    <x:row r="451" ht="64" customHeight="1">
      <x:c r="A451" s="28" t="str">
        <x:v>NCT-0532</x:v>
      </x:c>
      <x:c r="B451" s="28" t="str">
        <x:v>фундук</x:v>
      </x:c>
      <x:c r="C451" s="28" t="str">
        <x:v>паприка</x:v>
      </x:c>
      <x:c r="D451" s="28" t="str">
        <x:v>Прочее</x:v>
      </x:c>
      <x:c r="E451" s="28" t="str">
        <x:v>сенсорная комплементарность</x:v>
      </x:c>
      <x:c r="F451" s="28" t="str">
        <x:v>Фундук имеет профиль «ореховый, жареный, сладкий, землистый и какаоподобный». Партнёр «паприка»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5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51" s="28" t="str">
        <x:v>аллерген и чувствительность к прогорканию; пережаривание даёт дымную горечь</x:v>
      </x:c>
      <x:c r="I451" s="28" t="str">
        <x:v>пралине, паста, выпечка, гарнир, соус, молочный или коктейльный компонент с паприка</x:v>
      </x:c>
      <x:c r="J451" s="28" t="str">
        <x:v>Средняя</x:v>
      </x:c>
      <x:c r="K451" s="28" t="str">
        <x:v>The Art &amp; Science of Foodpairing.pdf</x:v>
      </x:c>
      <x:c r="L451" s="28" t="str">
        <x:v>The Art &amp; Science of Foodpairing.pdf: 332</x:v>
      </x:c>
    </x:row>
    <x:row r="452" ht="64" customHeight="1">
      <x:c r="A452" s="28" t="str">
        <x:v>NCT-0533</x:v>
      </x:c>
      <x:c r="B452" s="28" t="str">
        <x:v>фундук</x:v>
      </x:c>
      <x:c r="C452" s="28" t="str">
        <x:v>персик</x:v>
      </x:c>
      <x:c r="D452" s="28" t="str">
        <x:v>Фрукты и ягоды</x:v>
      </x:c>
      <x:c r="E452" s="28" t="str">
        <x:v>контраст кислоты и жирной/горькой матрицы</x:v>
      </x:c>
      <x:c r="F452" s="28" t="str">
        <x:v>Фундук имеет профиль «ореховый, жареный, сладкий, землистый и какаоподобный». Партнёр «персик» относится к группе «Фрукты и ягоды» и даёт лактонный, фруктовый, цветочный.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5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52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452" s="28" t="str">
        <x:v>пралине, паста, выпечка, гарнир, соус, молочный или коктейльный компонент с персик</x:v>
      </x:c>
      <x:c r="J452" s="28" t="str">
        <x:v>Гипотеза / практическая</x:v>
      </x:c>
      <x:c r="K452" s="28" t="str">
        <x:v>Таблица сочетания(1).pdf</x:v>
      </x:c>
      <x:c r="L452" s="28" t="str">
        <x:v>Таблица сочетания(1).pdf: 15</x:v>
      </x:c>
    </x:row>
    <x:row r="453" ht="64" customHeight="1">
      <x:c r="A453" s="28" t="str">
        <x:v>NCT-0534</x:v>
      </x:c>
      <x:c r="B453" s="28" t="str">
        <x:v>фундук</x:v>
      </x:c>
      <x:c r="C453" s="28" t="str">
        <x:v>розмарин</x:v>
      </x:c>
      <x:c r="D453" s="28" t="str">
        <x:v>Травы, цветы и листья</x:v>
      </x:c>
      <x:c r="E453" s="28" t="str">
        <x:v>сенсорная комплементарность</x:v>
      </x:c>
      <x:c r="F453" s="28" t="str">
        <x:v>Фундук имеет профиль «ореховый, жареный, сладкий, землистый и какаоподобный». Партнёр «розмарин»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5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53" s="28" t="str">
        <x:v>аллерген и чувствительность к прогорканию; пережаривание даёт дымную горечь</x:v>
      </x:c>
      <x:c r="I453" s="28" t="str">
        <x:v>пралине, паста, выпечка, гарнир, соус, молочный или коктейльный компонент с розмарин</x:v>
      </x:c>
      <x:c r="J453" s="28" t="str">
        <x:v>Средняя</x:v>
      </x:c>
      <x:c r="K453" s="28" t="str">
        <x:v>Тезариус вкусов (Ники Сегнит)(1).pdf</x:v>
      </x:c>
      <x:c r="L453" s="28" t="str">
        <x:v>Тезариус вкусов (Ники Сегнит)(1).pdf: 637, 840</x:v>
      </x:c>
    </x:row>
    <x:row r="454" ht="64" customHeight="1">
      <x:c r="A454" s="28" t="str">
        <x:v>NCT-0535</x:v>
      </x:c>
      <x:c r="B454" s="28" t="str">
        <x:v>фундук</x:v>
      </x:c>
      <x:c r="C454" s="28" t="str">
        <x:v>свёкла</x:v>
      </x:c>
      <x:c r="D454" s="28" t="str">
        <x:v>Овощи, бобовые и грибы</x:v>
      </x:c>
      <x:c r="E454" s="28" t="str">
        <x:v>сенсорная комплементарность</x:v>
      </x:c>
      <x:c r="F454" s="28" t="str">
        <x:v>Фундук имеет профиль «ореховый, жареный, сладкий, землистый и какаоподобный». Партнёр «свёкла» относится к группе «Овощи, бобовые и грибы» и даёт землистый, сладкий.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5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54" s="28" t="str">
        <x:v>аллерген и чувствительность к прогорканию; пережаривание даёт дымную горечь</x:v>
      </x:c>
      <x:c r="I454" s="28" t="str">
        <x:v>пралине, паста, выпечка, гарнир, соус, молочный или коктейльный компонент с свёкла</x:v>
      </x:c>
      <x:c r="J454" s="28" t="str">
        <x:v>Средняя</x:v>
      </x:c>
      <x:c r="K454" s="28" t="str">
        <x:v>The Art &amp; Science of Foodpairing.pdf</x:v>
      </x:c>
      <x:c r="L454" s="28" t="str">
        <x:v>The Art &amp; Science of Foodpairing.pdf: 332</x:v>
      </x:c>
    </x:row>
    <x:row r="455" ht="64" customHeight="1">
      <x:c r="A455" s="28" t="str">
        <x:v>NCT-0536</x:v>
      </x:c>
      <x:c r="B455" s="28" t="str">
        <x:v>фундук</x:v>
      </x:c>
      <x:c r="C455" s="28" t="str">
        <x:v>слива</x:v>
      </x:c>
      <x:c r="D455" s="28" t="str">
        <x:v>Фрукты и ягоды</x:v>
      </x:c>
      <x:c r="E455" s="28" t="str">
        <x:v>общие ароматические соединения, контраст кислоты и жирной/горькой матрицы</x:v>
      </x:c>
      <x:c r="F455" s="28" t="str">
        <x:v>Фундук имеет профиль «ореховый, жареный, сладкий, землистый и какаоподобный». Партнёр «слива»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5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55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455" s="28" t="str">
        <x:v>пралине, паста, выпечка, гарнир, соус, молочный или коктейльный компонент с слива</x:v>
      </x:c>
      <x:c r="J455" s="28" t="str">
        <x:v>Гипотеза / практическая</x:v>
      </x:c>
      <x:c r="K455" s="28" t="str">
        <x:v>Таблица сочетания(1).pdf</x:v>
      </x:c>
      <x:c r="L455" s="28" t="str">
        <x:v>Таблица сочетания(1).pdf: 17</x:v>
      </x:c>
    </x:row>
    <x:row r="456" ht="64" customHeight="1">
      <x:c r="A456" s="28" t="str">
        <x:v>NCT-0537</x:v>
      </x:c>
      <x:c r="B456" s="28" t="str">
        <x:v>фундук</x:v>
      </x:c>
      <x:c r="C456" s="28" t="str">
        <x:v>сыр</x:v>
      </x:c>
      <x:c r="D456" s="28" t="str">
        <x:v>Молочные продукты и сыры</x:v>
      </x:c>
      <x:c r="E456" s="28" t="str">
        <x:v>жировая экстракция и связывание полифенолов белком</x:v>
      </x:c>
      <x:c r="F456" s="28" t="str">
        <x:v>Фундук имеет профиль «ореховый, жареный, сладкий, землистый и какаоподобный». Партнёр «сыр»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5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56" s="28" t="str">
        <x:v>аллерген и чувствительность к прогорканию; пережаривание даёт дымную горечь; жир способен приглушить тонкую ароматику; белок связывает полифенолы</x:v>
      </x:c>
      <x:c r="I456" s="28" t="str">
        <x:v>пралине, паста, выпечка, гарнир, соус, молочный или коктейльный компонент с сыр</x:v>
      </x:c>
      <x:c r="J456" s="28" t="str">
        <x:v>Высокая</x:v>
      </x:c>
      <x:c r="K456" s="28" t="str">
        <x:v>The Art &amp; Science of Foodpairing.pdf</x:v>
      </x:c>
      <x:c r="L456" s="28" t="str">
        <x:v>The Art &amp; Science of Foodpairing.pdf: 333</x:v>
      </x:c>
    </x:row>
    <x:row r="457" ht="64" customHeight="1">
      <x:c r="A457" s="28" t="str">
        <x:v>NCT-0538</x:v>
      </x:c>
      <x:c r="B457" s="28" t="str">
        <x:v>фундук</x:v>
      </x:c>
      <x:c r="C457" s="28" t="str">
        <x:v>торфяной виски</x:v>
      </x:c>
      <x:c r="D457" s="28" t="str">
        <x:v>Алкогольные напитки</x:v>
      </x:c>
      <x:c r="E457" s="28" t="str">
        <x:v>общие ароматические соединения</x:v>
      </x:c>
      <x:c r="F457" s="28" t="str">
        <x:v>Фундук имеет профиль «ореховый, жареный, сладкий, землистый и какаоподобный». Партнёр «торфяной виски» относится к группе «Алкогольные напитки» и даёт спиртовой, фруктовый или древесный.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5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57" s="28" t="str">
        <x:v>аллерген и чувствительность к прогорканию; пережаривание даёт дымную горечь</x:v>
      </x:c>
      <x:c r="I457" s="28" t="str">
        <x:v>пралине, паста, выпечка, гарнир, соус, молочный или коктейльный компонент с торфяной виски</x:v>
      </x:c>
      <x:c r="J457" s="28" t="str">
        <x:v>Средняя</x:v>
      </x:c>
      <x:c r="K457" s="28" t="str">
        <x:v>The Art &amp; Science of Foodpairing.pdf</x:v>
      </x:c>
      <x:c r="L457" s="28" t="str">
        <x:v>The Art &amp; Science of Foodpairing.pdf: 332</x:v>
      </x:c>
    </x:row>
    <x:row r="458" ht="64" customHeight="1">
      <x:c r="A458" s="28" t="str">
        <x:v>NCT-0539</x:v>
      </x:c>
      <x:c r="B458" s="28" t="str">
        <x:v>фундук</x:v>
      </x:c>
      <x:c r="C458" s="28" t="str">
        <x:v>тёмный соевый соус</x:v>
      </x:c>
      <x:c r="D458" s="28" t="str">
        <x:v>Ферментированные продукты и соусы</x:v>
      </x:c>
      <x:c r="E458" s="28" t="str">
        <x:v>общие ароматические соединения, пересечение ароматических семейств, солёно-умами контраст</x:v>
      </x:c>
      <x:c r="F458" s="28" t="str">
        <x:v>Фундук имеет профиль «ореховый, жареный, сладкий, землистый и какаоподобный». Партнёр «тёмный 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45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58" s="28" t="str">
        <x:v>аллерген и чувствительность к прогорканию; пережаривание даёт дымную горечь</x:v>
      </x:c>
      <x:c r="I458" s="28" t="str">
        <x:v>пралине, паста, выпечка, гарнир, соус, молочный или коктейльный компонент с тёмный соевый соус</x:v>
      </x:c>
      <x:c r="J458" s="28" t="str">
        <x:v>Средняя</x:v>
      </x:c>
      <x:c r="K458" s="28" t="str">
        <x:v>The Art &amp; Science of Foodpairing.pdf</x:v>
      </x:c>
      <x:c r="L458" s="28" t="str">
        <x:v>The Art &amp; Science of Foodpairing.pdf: 332</x:v>
      </x:c>
    </x:row>
    <x:row r="459" ht="64" customHeight="1">
      <x:c r="A459" s="28" t="str">
        <x:v>NCT-0540</x:v>
      </x:c>
      <x:c r="B459" s="28" t="str">
        <x:v>фундук</x:v>
      </x:c>
      <x:c r="C459" s="28" t="str">
        <x:v>финик</x:v>
      </x:c>
      <x:c r="D459" s="28" t="str">
        <x:v>Прочее</x:v>
      </x:c>
      <x:c r="E459" s="28" t="str">
        <x:v>сенсорная комплементарность</x:v>
      </x:c>
      <x:c r="F459" s="28" t="str">
        <x:v>Фундук имеет профиль «ореховый, жареный, сладкий, землистый и какаоподобный». Партнёр «финик»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5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59" s="28" t="str">
        <x:v>аллерген и чувствительность к прогорканию; пережаривание даёт дымную горечь</x:v>
      </x:c>
      <x:c r="I459" s="28" t="str">
        <x:v>пралине, паста, выпечка, гарнир, соус, молочный или коктейльный компонент с финик</x:v>
      </x:c>
      <x:c r="J459" s="28" t="str">
        <x:v>Гипотеза / практическая</x:v>
      </x:c>
      <x:c r="K459" s="28" t="str">
        <x:v>Таблица сочетания(1).pdf</x:v>
      </x:c>
      <x:c r="L459" s="28" t="str">
        <x:v>Таблица сочетания(1).pdf: 7</x:v>
      </x:c>
    </x:row>
    <x:row r="460" ht="64" customHeight="1">
      <x:c r="A460" s="28" t="str">
        <x:v>NCT-0541</x:v>
      </x:c>
      <x:c r="B460" s="28" t="str">
        <x:v>фундук</x:v>
      </x:c>
      <x:c r="C460" s="28" t="str">
        <x:v>цесарка</x:v>
      </x:c>
      <x:c r="D460" s="28" t="str">
        <x:v>Прочее</x:v>
      </x:c>
      <x:c r="E460" s="28" t="str">
        <x:v>сенсорная комплементарность</x:v>
      </x:c>
      <x:c r="F460" s="28" t="str">
        <x:v>Фундук имеет профиль «ореховый, жареный, сладкий, землистый и какаоподобный». Партнёр «цесарка»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6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60" s="28" t="str">
        <x:v>аллерген и чувствительность к прогорканию; пережаривание даёт дымную горечь</x:v>
      </x:c>
      <x:c r="I460" s="28" t="str">
        <x:v>пралине, паста, выпечка, гарнир, соус, молочный или коктейльный компонент с цесарка</x:v>
      </x:c>
      <x:c r="J460" s="28" t="str">
        <x:v>Средняя</x:v>
      </x:c>
      <x:c r="K460" s="28" t="str">
        <x:v>The Art &amp; Science of Foodpairing.pdf</x:v>
      </x:c>
      <x:c r="L460" s="28" t="str">
        <x:v>The Art &amp; Science of Foodpairing.pdf: 332</x:v>
      </x:c>
    </x:row>
    <x:row r="461" ht="64" customHeight="1">
      <x:c r="A461" s="28" t="str">
        <x:v>NCT-0542</x:v>
      </x:c>
      <x:c r="B461" s="28" t="str">
        <x:v>фундук</x:v>
      </x:c>
      <x:c r="C461" s="28" t="str">
        <x:v>цыпленок</x:v>
      </x:c>
      <x:c r="D461" s="28" t="str">
        <x:v>Прочее</x:v>
      </x:c>
      <x:c r="E461" s="28" t="str">
        <x:v>сенсорная комплементарность</x:v>
      </x:c>
      <x:c r="F461" s="28" t="str">
        <x:v>Фундук имеет профиль «ореховый, жареный, сладкий, землистый и какаоподобный». Партнёр «цыпленок» относится к группе «Прочее» и даёт профиль зависит от конкретного продукта.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6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61" s="28" t="str">
        <x:v>аллерген и чувствительность к прогорканию; пережаривание даёт дымную горечь</x:v>
      </x:c>
      <x:c r="I461" s="28" t="str">
        <x:v>пралине, паста, выпечка, гарнир, соус, молочный или коктейльный компонент с цыпленок</x:v>
      </x:c>
      <x:c r="J461" s="28" t="str">
        <x:v>Средняя</x:v>
      </x:c>
      <x:c r="K461" s="28" t="str">
        <x:v>Тезариус вкусов (Ники Сегнит)(1).pdf</x:v>
      </x:c>
      <x:c r="L461" s="28" t="str">
        <x:v>Тезариус вкусов (Ники Сегнит)(1).pdf: 74, 637</x:v>
      </x:c>
    </x:row>
    <x:row r="462" ht="64" customHeight="1">
      <x:c r="A462" s="28" t="str">
        <x:v>NCT-0543</x:v>
      </x:c>
      <x:c r="B462" s="28" t="str">
        <x:v>фундук</x:v>
      </x:c>
      <x:c r="C462" s="28" t="str">
        <x:v>черная икра</x:v>
      </x:c>
      <x:c r="D462" s="28" t="str">
        <x:v>Рыба и морепродукты</x:v>
      </x:c>
      <x:c r="E462" s="28" t="str">
        <x:v>общие ароматические соединения, солёно-умами контраст</x:v>
      </x:c>
      <x:c r="F462" s="28" t="str">
        <x:v>Фундук имеет профиль «ореховый, жареный, сладкий, землистый и какаоподобный». Партнёр «черная икра»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6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62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462" s="28" t="str">
        <x:v>пралине, паста, выпечка, гарнир, соус, молочный или коктейльный компонент с черная икра</x:v>
      </x:c>
      <x:c r="J462" s="28" t="str">
        <x:v>Средняя</x:v>
      </x:c>
      <x:c r="K462" s="28" t="str">
        <x:v>Тезариус вкусов (Ники Сегнит)(1).pdf</x:v>
      </x:c>
      <x:c r="L462" s="28" t="str">
        <x:v>Тезариус вкусов (Ники Сегнит)(1).pdf: 408, 638</x:v>
      </x:c>
    </x:row>
    <x:row r="463" ht="64" customHeight="1">
      <x:c r="A463" s="28" t="str">
        <x:v>NCT-0544</x:v>
      </x:c>
      <x:c r="B463" s="28" t="str">
        <x:v>фундук</x:v>
      </x:c>
      <x:c r="C463" s="28" t="str">
        <x:v>чернослив</x:v>
      </x:c>
      <x:c r="D463" s="28" t="str">
        <x:v>Фрукты и ягоды</x:v>
      </x:c>
      <x:c r="E463" s="28" t="str">
        <x:v>общие ароматические соединения, контраст кислоты и жирной/горькой матрицы</x:v>
      </x:c>
      <x:c r="F463" s="28" t="str">
        <x:v>Фундук имеет профиль «ореховый, жареный, сладкий, землистый и какаоподобный». Партнёр «чернослив»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6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63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463" s="28" t="str">
        <x:v>пралине, паста, выпечка, гарнир, соус, молочный или коктейльный компонент с чернослив</x:v>
      </x:c>
      <x:c r="J463" s="28" t="str">
        <x:v>Гипотеза / практическая</x:v>
      </x:c>
      <x:c r="K463" s="28" t="str">
        <x:v>Таблица сочетания(1).pdf</x:v>
      </x:c>
      <x:c r="L463" s="28" t="str">
        <x:v>Таблица сочетания(1).pdf: 18</x:v>
      </x:c>
    </x:row>
    <x:row r="464" ht="64" customHeight="1">
      <x:c r="A464" s="28" t="str">
        <x:v>NCT-0545</x:v>
      </x:c>
      <x:c r="B464" s="28" t="str">
        <x:v>фундук</x:v>
      </x:c>
      <x:c r="C464" s="28" t="str">
        <x:v>чеснок</x:v>
      </x:c>
      <x:c r="D464" s="28" t="str">
        <x:v>Овощи, бобовые и грибы</x:v>
      </x:c>
      <x:c r="E464" s="28" t="str">
        <x:v>общие ароматические соединения</x:v>
      </x:c>
      <x:c r="F464" s="28" t="str">
        <x:v>Фундук имеет профиль «ореховый, жареный, сладкий, землистый и какаоподобный». Партнёр «чеснок»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6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64" s="28" t="str">
        <x:v>аллерген и чувствительность к прогорканию; пережаривание даёт дымную горечь</x:v>
      </x:c>
      <x:c r="I464" s="28" t="str">
        <x:v>пралине, паста, выпечка, гарнир, соус, молочный или коктейльный компонент с чеснок</x:v>
      </x:c>
      <x:c r="J464" s="28" t="str">
        <x:v>Средняя</x:v>
      </x:c>
      <x:c r="K464" s="28" t="str">
        <x:v>Тезариус вкусов (Ники Сегнит)(1).pdf</x:v>
      </x:c>
      <x:c r="L464" s="28" t="str">
        <x:v>Тезариус вкусов (Ники Сегнит)(1).pdf: 299, 377, 638</x:v>
      </x:c>
    </x:row>
    <x:row r="465" ht="64" customHeight="1">
      <x:c r="A465" s="28" t="str">
        <x:v>NCT-0546</x:v>
      </x:c>
      <x:c r="B465" s="28" t="str">
        <x:v>фундук</x:v>
      </x:c>
      <x:c r="C465" s="28" t="str">
        <x:v>чёрный чай</x:v>
      </x:c>
      <x:c r="D465" s="28" t="str">
        <x:v>Чай</x:v>
      </x:c>
      <x:c r="E465" s="28" t="str">
        <x:v>сенсорная комплементарность</x:v>
      </x:c>
      <x:c r="F465" s="28" t="str">
        <x:v>Фундук имеет профиль «ореховый, жареный, сладкий, землистый и какаоподобный». Партнёр «чёрный чай» относится к группе «Чай» и даёт мальтовый, цветочный, фруктовый, древесный и слегка дымный.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6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65" s="28" t="str">
        <x:v>аллерген и чувствительность к прогорканию; пережаривание даёт дымную горечь</x:v>
      </x:c>
      <x:c r="I465" s="28" t="str">
        <x:v>пралине, паста, выпечка, гарнир, соус, молочный или коктейльный компонент с чёрный чай</x:v>
      </x:c>
      <x:c r="J465" s="28" t="str">
        <x:v>Средняя</x:v>
      </x:c>
      <x:c r="K465" s="28" t="str">
        <x:v>The Art &amp; Science of Foodpairing.pdf</x:v>
      </x:c>
      <x:c r="L465" s="28" t="str">
        <x:v>The Art &amp; Science of Foodpairing.pdf: 332</x:v>
      </x:c>
    </x:row>
    <x:row r="466" ht="64" customHeight="1">
      <x:c r="A466" s="28" t="str">
        <x:v>NCT-0547</x:v>
      </x:c>
      <x:c r="B466" s="28" t="str">
        <x:v>фундук</x:v>
      </x:c>
      <x:c r="C466" s="28" t="str">
        <x:v>шисо</x:v>
      </x:c>
      <x:c r="D466" s="28" t="str">
        <x:v>Травы, цветы и листья</x:v>
      </x:c>
      <x:c r="E466" s="28" t="str">
        <x:v>сенсорная комплементарность</x:v>
      </x:c>
      <x:c r="F466" s="28" t="str">
        <x:v>Фундук имеет профиль «ореховый, жареный, сладкий, землистый и какаоподобный». Партнёр «шисо» относится к группе «Травы, цветы и листья» и даёт зелёный, цветочный и терпеновый.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46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66" s="28" t="str">
        <x:v>аллерген и чувствительность к прогорканию; пережаривание даёт дымную горечь</x:v>
      </x:c>
      <x:c r="I466" s="28" t="str">
        <x:v>пралине, паста, выпечка, гарнир, соус, молочный или коктейльный компонент с шисо</x:v>
      </x:c>
      <x:c r="J466" s="28" t="str">
        <x:v>Средняя</x:v>
      </x:c>
      <x:c r="K466" s="28" t="str">
        <x:v>The Art &amp; Science of Foodpairing.pdf</x:v>
      </x:c>
      <x:c r="L466" s="28" t="str">
        <x:v>The Art &amp; Science of Foodpairing.pdf: 332</x:v>
      </x:c>
    </x:row>
    <x:row r="467" ht="64" customHeight="1">
      <x:c r="A467" s="28" t="str">
        <x:v>NCT-0548</x:v>
      </x:c>
      <x:c r="B467" s="28" t="str">
        <x:v>фундук</x:v>
      </x:c>
      <x:c r="C467" s="28" t="str">
        <x:v>шоколад</x:v>
      </x:c>
      <x:c r="D467" s="28" t="str">
        <x:v>Какао и шоколад</x:v>
      </x:c>
      <x:c r="E467" s="28" t="str">
        <x:v>общие ароматические соединения, пересечение ароматических семейств, жареная химия и реакции Майяра</x:v>
      </x:c>
      <x:c r="F467" s="28" t="str">
        <x:v>Фундук имеет профиль «ореховый, жареный, сладкий, землистый и какаоподобный». Партнёр «шоколад» относится к группе «Какао и шоколад» и даёт жареный, какаовый, фруктовый, цветочный, древесный и пряный; профиль зависит от происхождения и обжарки.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Ореховый жир служит носителем ароматов и создаёт текстурный контраст, но окисление быстро превращает профиль в прогорклый. Итог: жареный, какаовый; альдегиды, пиразины, фураны.</x:v>
      </x:c>
      <x:c r="G46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67" s="28" t="str">
        <x:v>аллерген и чувствительность к прогорканию; пережаривание даёт дымную горечь</x:v>
      </x:c>
      <x:c r="I467" s="28" t="str">
        <x:v>пралине, паста, выпечка, гарнир, соус, молочный или коктейльный компонент с шоколад</x:v>
      </x:c>
      <x:c r="J467" s="28" t="str">
        <x:v>Высокая</x:v>
      </x:c>
      <x:c r="K467" s="28" t="str">
        <x:v>The Art &amp; Science of Foodpairing.pdf | Таблица сочетания(1).pdf | Тезариус вкусов (Ники Сегнит)(1).pdf</x:v>
      </x:c>
      <x:c r="L467" s="28" t="str">
        <x:v>The Art &amp; Science of Foodpairing.pdf: 332; Таблица сочетания(1).pdf: 5; Тезариус вкусов (Ники Сегнит)(1).pdf: 36, 639</x:v>
      </x:c>
    </x:row>
    <x:row r="468" ht="64" customHeight="1">
      <x:c r="A468" s="28" t="str">
        <x:v>NCT-0549</x:v>
      </x:c>
      <x:c r="B468" s="28" t="str">
        <x:v>фундук</x:v>
      </x:c>
      <x:c r="C468" s="28" t="str">
        <x:v>яблоко</x:v>
      </x:c>
      <x:c r="D468" s="28" t="str">
        <x:v>Фрукты и ягоды</x:v>
      </x:c>
      <x:c r="E468" s="28" t="str">
        <x:v>общие ароматические соединения, контраст кислоты и жирной/горькой матрицы</x:v>
      </x:c>
      <x:c r="F468" s="28" t="str">
        <x:v>Фундук имеет профиль «ореховый, жареный, сладкий, землистый и какаоподобный». Партнёр «яблоко»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6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68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468" s="28" t="str">
        <x:v>пралине, паста, выпечка, гарнир, соус, молочный или коктейльный компонент с яблоко</x:v>
      </x:c>
      <x:c r="J468" s="28" t="str">
        <x:v>Высокая</x:v>
      </x:c>
      <x:c r="K468" s="28" t="str">
        <x:v>Таблица сочетания(1).pdf | Тезариус вкусов (Ники Сегнит)(1).pdf</x:v>
      </x:c>
      <x:c r="L468" s="28" t="str">
        <x:v>Таблица сочетания(1).pdf: 1; Тезариус вкусов (Ники Сегнит)(1).pdf: 639, 717</x:v>
      </x:c>
    </x:row>
    <x:row r="469" ht="64" customHeight="1">
      <x:c r="A469" s="28" t="str">
        <x:v>NCT-0550</x:v>
      </x:c>
      <x:c r="B469" s="28" t="str">
        <x:v>фундук</x:v>
      </x:c>
      <x:c r="C469" s="28" t="str">
        <x:v>ягоды годжи</x:v>
      </x:c>
      <x:c r="D469" s="28" t="str">
        <x:v>Фрукты и ягоды</x:v>
      </x:c>
      <x:c r="E469" s="28" t="str">
        <x:v>общие ароматические соединения, контраст кислоты и жирной/горькой матрицы</x:v>
      </x:c>
      <x:c r="F469" s="28" t="str">
        <x:v>Фундук имеет профиль «ореховый, жареный, сладкий, землистый и какаоподобный». Партнёр «ягоды годжи» относится к группе «Фрукты и ягоды» и даёт фруктовый, цветочный и свежий. Молекулярный мост создают альдегиды Фруктовая кислота и эфиры облегчают жирный или горький профиль, а сахар поддерживает сладко-жареные ноты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6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469" s="28" t="str">
        <x:v>аллерген и чувствительность к прогорканию; пережаривание даёт дымную горечь; избыток кислоты может сделать чай или кофе резкими и разрушить молочную эмульсию</x:v>
      </x:c>
      <x:c r="I469" s="28" t="str">
        <x:v>пралине, паста, выпечка, гарнир, соус, молочный или коктейльный компонент с ягоды годжи</x:v>
      </x:c>
      <x:c r="J469" s="28" t="str">
        <x:v>Гипотеза / практическая</x:v>
      </x:c>
      <x:c r="K469" s="28" t="str">
        <x:v>Таблица сочетания(1).pdf</x:v>
      </x:c>
      <x:c r="L469" s="28" t="str">
        <x:v>Таблица сочетания(1).pdf: 8</x:v>
      </x:c>
    </x:row>
    <x:row r="470" ht="64" customHeight="1">
      <x:c r="A470" s="28" t="str">
        <x:v>NCT-0553</x:v>
      </x:c>
      <x:c r="B470" s="28" t="str">
        <x:v>чёрный чай</x:v>
      </x:c>
      <x:c r="C470" s="28" t="str">
        <x:v>blue cheese</x:v>
      </x:c>
      <x:c r="D470" s="28" t="str">
        <x:v>Молочные продукты и сыры</x:v>
      </x:c>
      <x:c r="E470" s="28" t="str">
        <x:v>жировая экстракция и связывание полифенолов белком</x:v>
      </x:c>
      <x:c r="F470" s="28" t="str">
        <x:v>Чёрный чай имеет профиль «мальтовый, цветочный, фруктовый, древесный и слегка дымный». Партнёр «blue cheese»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470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470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терпкость; жир способен приглушить тонкую ароматику; белок связывает полифенолы</x:v>
      </x:c>
      <x:c r="I470" s="28" t="str">
        <x:v>чайный настой, холодный чай, кордиал, молочный пунш, десерт или соус с blue cheese</x:v>
      </x:c>
      <x:c r="J470" s="28" t="str">
        <x:v>Средняя</x:v>
      </x:c>
      <x:c r="K470" s="28" t="str">
        <x:v>The Art &amp; Science of Foodpairing.pdf</x:v>
      </x:c>
      <x:c r="L470" s="28" t="str">
        <x:v>The Art &amp; Science of Foodpairing.pdf: 164</x:v>
      </x:c>
    </x:row>
    <x:row r="471" ht="64" customHeight="1">
      <x:c r="A471" s="28" t="str">
        <x:v>NCT-0558</x:v>
      </x:c>
      <x:c r="B471" s="28" t="str">
        <x:v>чёрный чай</x:v>
      </x:c>
      <x:c r="C471" s="28" t="str">
        <x:v>myrtle berry</x:v>
      </x:c>
      <x:c r="D471" s="28" t="str">
        <x:v>Фрукты и ягоды</x:v>
      </x:c>
      <x:c r="E471" s="28" t="str">
        <x:v>пересечение ароматических семейств, контраст кислоты и жирной/горькой матрицы</x:v>
      </x:c>
      <x:c r="F471" s="28" t="str">
        <x:v>Чёрный чай имеет профиль «мальтовый, цветочный, фруктовый, древесный и слегка дымный». Партнёр «myrtle berry»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471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471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471" s="28" t="str">
        <x:v>чайный настой, холодный чай, кордиал, молочный пунш, десерт или соус с myrtle berry</x:v>
      </x:c>
      <x:c r="J471" s="28" t="str">
        <x:v>Высокая</x:v>
      </x:c>
      <x:c r="K471" s="28" t="str">
        <x:v>The Art &amp; Science of Foodpairing.pdf</x:v>
      </x:c>
      <x:c r="L471" s="28" t="str">
        <x:v>The Art &amp; Science of Foodpairing.pdf: 364</x:v>
      </x:c>
    </x:row>
    <x:row r="472" ht="64" customHeight="1">
      <x:c r="A472" s="28" t="str">
        <x:v>NCT-0560</x:v>
      </x:c>
      <x:c r="B472" s="28" t="str">
        <x:v>чёрный чай</x:v>
      </x:c>
      <x:c r="C472" s="28" t="str">
        <x:v>грейпфрут</x:v>
      </x:c>
      <x:c r="D472" s="28" t="str">
        <x:v>Фрукты и ягоды</x:v>
      </x:c>
      <x:c r="E472" s="28" t="str">
        <x:v>пересечение ароматических семейств, контраст кислоты и жирной/горькой матрицы</x:v>
      </x:c>
      <x:c r="F472" s="28" t="str">
        <x:v>Чёрный чай имеет профиль «мальтовый, цветочный, фруктовый, древесный и слегка дымный». Партнёр «грейпфрут»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472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472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472" s="28" t="str">
        <x:v>чайный настой, холодный чай, кордиал, молочный пунш, десерт или соус с грейпфрут</x:v>
      </x:c>
      <x:c r="J472" s="28" t="str">
        <x:v>Высокая</x:v>
      </x:c>
      <x:c r="K472" s="28" t="str">
        <x:v>The Art &amp; Science of Foodpairing.pdf</x:v>
      </x:c>
      <x:c r="L472" s="28" t="str">
        <x:v>The Art &amp; Science of Foodpairing.pdf: 359</x:v>
      </x:c>
    </x:row>
    <x:row r="473" ht="64" customHeight="1">
      <x:c r="A473" s="28" t="str">
        <x:v>NCT-0565</x:v>
      </x:c>
      <x:c r="B473" s="28" t="str">
        <x:v>чёрный чай</x:v>
      </x:c>
      <x:c r="C473" s="28" t="str">
        <x:v>манго</x:v>
      </x:c>
      <x:c r="D473" s="28" t="str">
        <x:v>Фрукты и ягоды</x:v>
      </x:c>
      <x:c r="E473" s="28" t="str">
        <x:v>пересечение ароматических семейств, контраст кислоты и жирной/горькой матрицы</x:v>
      </x:c>
      <x:c r="F473" s="28" t="str">
        <x:v>Чёрный чай имеет профиль «мальтовый, цветочный, фруктовый, древесный и слегка дымный». Партнёр «манго» относится к группе «Фрукты и ягоды» и даёт фруктовый, цветочный и свежий. Профили пересекаются в семействах: цветочный Фруктовая кислота и эфиры облегчают жирный или горький профиль, а сахар поддерживает сладко-жареные ноты Полифенолы создают терпкость, поэтому сахар, жир, соль или умами могут смягчить сухость; чрезмерно танинный партнёр, наоборот, её усиливает. Итог: цветочный; механизм не следует сводить к одной общей молекуле.</x:v>
      </x:c>
      <x:c r="G473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473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терпкость; избыток кислоты может сделать чай или кофе резкими и разрушить молочную эмульсию</x:v>
      </x:c>
      <x:c r="I473" s="28" t="str">
        <x:v>чайный настой, холодный чай, кордиал, молочный пунш, десерт или соус с манго</x:v>
      </x:c>
      <x:c r="J473" s="28" t="str">
        <x:v>Средняя</x:v>
      </x:c>
      <x:c r="K473" s="28" t="str">
        <x:v>The Art &amp; Science of Foodpairing.pdf</x:v>
      </x:c>
      <x:c r="L473" s="28" t="str">
        <x:v>The Art &amp; Science of Foodpairing.pdf: 312</x:v>
      </x:c>
    </x:row>
    <x:row r="474" ht="64" customHeight="1">
      <x:c r="A474" s="28" t="str">
        <x:v>NCT-0569</x:v>
      </x:c>
      <x:c r="B474" s="28" t="str">
        <x:v>шоколад</x:v>
      </x:c>
      <x:c r="C474" s="28" t="str">
        <x:v>arbequina extra-virgin olive oil</x:v>
      </x:c>
      <x:c r="D474" s="28" t="str">
        <x:v>Масла и жиры</x:v>
      </x:c>
      <x:c r="E474" s="28" t="str">
        <x:v>общие ароматические соединения, пересечение ароматических семейств</x:v>
      </x:c>
      <x:c r="F47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«arbequina extra-virgin olive oil» относится к группе «Масла и жиры» и даёт жирный и мягкий. Молекулярный мост создают альдегиды Какао-масло медленно высвобождает липофильные ароматы, а сахар и соль изменяют воспринимаемую горечь. Итог: фруктовый; альдегиды.</x:v>
      </x:c>
      <x:c r="G47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74" s="28" t="str">
        <x:v>горечь и терпкость способны подавлять нежные продукты; содержит стимуляторы; аллергенные добавки возможны</x:v>
      </x:c>
      <x:c r="I474" s="28" t="str">
        <x:v>ганаш, плитка, крем, мусс, напиток, глазурь или соус с arbequina extra-virgin olive oil</x:v>
      </x:c>
      <x:c r="J474" s="28" t="str">
        <x:v>Средняя</x:v>
      </x:c>
      <x:c r="K474" s="28" t="str">
        <x:v>The Art &amp; Science of Foodpairing.pdf</x:v>
      </x:c>
      <x:c r="L474" s="28" t="str">
        <x:v>The Art &amp; Science of Foodpairing.pdf: 62</x:v>
      </x:c>
    </x:row>
    <x:row r="475" ht="64" customHeight="1">
      <x:c r="A475" s="28" t="str">
        <x:v>NCT-0570</x:v>
      </x:c>
      <x:c r="B475" s="28" t="str">
        <x:v>шоколад</x:v>
      </x:c>
      <x:c r="C475" s="28" t="str">
        <x:v>bacon</x:v>
      </x:c>
      <x:c r="D475" s="28" t="str">
        <x:v>Мясо и птица</x:v>
      </x:c>
      <x:c r="E475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7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«bacon»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47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75" s="28" t="str">
        <x:v>горечь и терпкость способны подавлять нежные продукты; содержит стимуляторы; аллергенные добавки возможны</x:v>
      </x:c>
      <x:c r="I475" s="28" t="str">
        <x:v>ганаш, плитка, крем, мусс, напиток, глазурь или соус с bacon</x:v>
      </x:c>
      <x:c r="J475" s="28" t="str">
        <x:v>Высокая</x:v>
      </x:c>
      <x:c r="K475" s="28" t="str">
        <x:v>The Art &amp; Science of Foodpairing.pdf</x:v>
      </x:c>
      <x:c r="L475" s="28" t="str">
        <x:v>The Art &amp; Science of Foodpairing.pdf: 184</x:v>
      </x:c>
    </x:row>
    <x:row r="476" ht="64" customHeight="1">
      <x:c r="A476" s="28" t="str">
        <x:v>NCT-0571</x:v>
      </x:c>
      <x:c r="B476" s="28" t="str">
        <x:v>шоколад</x:v>
      </x:c>
      <x:c r="C476" s="28" t="str">
        <x:v>baechu kimchi</x:v>
      </x:c>
      <x:c r="D476" s="28" t="str">
        <x:v>Ферментированные продукты и соусы</x:v>
      </x:c>
      <x:c r="E476" s="28" t="str">
        <x:v>общие ароматические соединения, пересечение ароматических семейств, солёно-умами контраст</x:v>
      </x:c>
      <x:c r="F47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«baechu kimchi» относится к группе «Ферментированные продукты и соусы» и даёт ферментированный, умами и сложный. Молекулярный мост создают пиразины, фураны, эфиры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пиразины, фураны, эфиры.</x:v>
      </x:c>
      <x:c r="G47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76" s="28" t="str">
        <x:v>горечь и терпкость способны подавлять нежные продукты; содержит стимуляторы; аллергенные добавки возможны</x:v>
      </x:c>
      <x:c r="I476" s="28" t="str">
        <x:v>ганаш, плитка, крем, мусс, напиток, глазурь или соус с baechu kimchi</x:v>
      </x:c>
      <x:c r="J476" s="28" t="str">
        <x:v>Средняя</x:v>
      </x:c>
      <x:c r="K476" s="28" t="str">
        <x:v>The Art &amp; Science of Foodpairing.pdf</x:v>
      </x:c>
      <x:c r="L476" s="28" t="str">
        <x:v>The Art &amp; Science of Foodpairing.pdf: 305</x:v>
      </x:c>
    </x:row>
    <x:row r="477" ht="64" customHeight="1">
      <x:c r="A477" s="28" t="str">
        <x:v>NCT-0572</x:v>
      </x:c>
      <x:c r="B477" s="28" t="str">
        <x:v>шоколад</x:v>
      </x:c>
      <x:c r="C477" s="28" t="str">
        <x:v>bayonne ham</x:v>
      </x:c>
      <x:c r="D477" s="28" t="str">
        <x:v>Мясо и птица</x:v>
      </x:c>
      <x:c r="E477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7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«bayonne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47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77" s="28" t="str">
        <x:v>горечь и терпкость способны подавлять нежные продукты; содержит стимуляторы; аллергенные добавки возможны</x:v>
      </x:c>
      <x:c r="I477" s="28" t="str">
        <x:v>ганаш, плитка, крем, мусс, напиток, глазурь или соус с bayonne ham</x:v>
      </x:c>
      <x:c r="J477" s="28" t="str">
        <x:v>Средняя</x:v>
      </x:c>
      <x:c r="K477" s="28" t="str">
        <x:v>The Art &amp; Science of Foodpairing.pdf</x:v>
      </x:c>
      <x:c r="L477" s="28" t="str">
        <x:v>The Art &amp; Science of Foodpairing.pdf: 62</x:v>
      </x:c>
    </x:row>
    <x:row r="478" ht="64" customHeight="1">
      <x:c r="A478" s="28" t="str">
        <x:v>NCT-0573</x:v>
      </x:c>
      <x:c r="B478" s="28" t="str">
        <x:v>шоколад</x:v>
      </x:c>
      <x:c r="C478" s="28" t="str">
        <x:v>black garlic</x:v>
      </x:c>
      <x:c r="D478" s="28" t="str">
        <x:v>Овощи, бобовые и грибы</x:v>
      </x:c>
      <x:c r="E478" s="28" t="str">
        <x:v>общие ароматические соединения</x:v>
      </x:c>
      <x:c r="F47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«black garlic»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47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78" s="28" t="str">
        <x:v>горечь и терпкость способны подавлять нежные продукты; содержит стимуляторы; аллергенные добавки возможны</x:v>
      </x:c>
      <x:c r="I478" s="28" t="str">
        <x:v>ганаш, плитка, крем, мусс, напиток, глазурь или соус с black garlic</x:v>
      </x:c>
      <x:c r="J478" s="28" t="str">
        <x:v>Высокая</x:v>
      </x:c>
      <x:c r="K478" s="28" t="str">
        <x:v>The Art &amp; Science of Foodpairing.pdf</x:v>
      </x:c>
      <x:c r="L478" s="28" t="str">
        <x:v>The Art &amp; Science of Foodpairing.pdf: 113</x:v>
      </x:c>
    </x:row>
    <x:row r="479" ht="64" customHeight="1">
      <x:c r="A479" s="28" t="str">
        <x:v>NCT-0574</x:v>
      </x:c>
      <x:c r="B479" s="28" t="str">
        <x:v>шоколад</x:v>
      </x:c>
      <x:c r="C479" s="28" t="str">
        <x:v>blue cheese</x:v>
      </x:c>
      <x:c r="D479" s="28" t="str">
        <x:v>Молочные продукты и сыры</x:v>
      </x:c>
      <x:c r="E479" s="28" t="str">
        <x:v>жировая экстракция и связывание полифенолов белком</x:v>
      </x:c>
      <x:c r="F47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«blue cheese»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47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79" s="28" t="str">
        <x:v>горечь и терпкость способны подавлять нежные продукты; содержит стимуляторы; аллергенные добавки возможны; жир способен приглушить тонкую ароматику; белок связывает полифенолы</x:v>
      </x:c>
      <x:c r="I479" s="28" t="str">
        <x:v>ганаш, плитка, крем, мусс, напиток, глазурь или соус с blue cheese</x:v>
      </x:c>
      <x:c r="J479" s="28" t="str">
        <x:v>Средняя</x:v>
      </x:c>
      <x:c r="K479" s="28" t="str">
        <x:v>The Art &amp; Science of Foodpairing.pdf</x:v>
      </x:c>
      <x:c r="L479" s="28" t="str">
        <x:v>The Art &amp; Science of Foodpairing.pdf: 62, 164</x:v>
      </x:c>
    </x:row>
    <x:row r="480" ht="64" customHeight="1">
      <x:c r="A480" s="28" t="str">
        <x:v>NCT-0575</x:v>
      </x:c>
      <x:c r="B480" s="28" t="str">
        <x:v>шоколад</x:v>
      </x:c>
      <x:c r="C480" s="28" t="str">
        <x:v>boiled potato</x:v>
      </x:c>
      <x:c r="D480" s="28" t="str">
        <x:v>Овощи, бобовые и грибы</x:v>
      </x:c>
      <x:c r="E480" s="28" t="str">
        <x:v>общие ароматические соединения</x:v>
      </x:c>
      <x:c r="F48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«boiled potato»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48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80" s="28" t="str">
        <x:v>горечь и терпкость способны подавлять нежные продукты; содержит стимуляторы; аллергенные добавки возможны</x:v>
      </x:c>
      <x:c r="I480" s="28" t="str">
        <x:v>ганаш, плитка, крем, мусс, напиток, глазурь или соус с boiled potato</x:v>
      </x:c>
      <x:c r="J480" s="28" t="str">
        <x:v>Средняя</x:v>
      </x:c>
      <x:c r="K480" s="28" t="str">
        <x:v>The Art &amp; Science of Foodpairing.pdf</x:v>
      </x:c>
      <x:c r="L480" s="28" t="str">
        <x:v>The Art &amp; Science of Foodpairing.pdf: 62</x:v>
      </x:c>
    </x:row>
    <x:row r="481" ht="64" customHeight="1">
      <x:c r="A481" s="28" t="str">
        <x:v>NCT-0576</x:v>
      </x:c>
      <x:c r="B481" s="28" t="str">
        <x:v>шоколад</x:v>
      </x:c>
      <x:c r="C481" s="28" t="str">
        <x:v>boiledlobster</x:v>
      </x:c>
      <x:c r="D481" s="28" t="str">
        <x:v>Рыба и морепродукты</x:v>
      </x:c>
      <x:c r="E481" s="28" t="str">
        <x:v>общие ароматические соединения, солёно-умами контраст</x:v>
      </x:c>
      <x:c r="F48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«boiledlobster»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48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81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481" s="28" t="str">
        <x:v>ганаш, плитка, крем, мусс, напиток, глазурь или соус с boiledlobster</x:v>
      </x:c>
      <x:c r="J481" s="28" t="str">
        <x:v>Средняя</x:v>
      </x:c>
      <x:c r="K481" s="28" t="str">
        <x:v>The Art &amp; Science of Foodpairing.pdf</x:v>
      </x:c>
      <x:c r="L481" s="28" t="str">
        <x:v>The Art &amp; Science of Foodpairing.pdf: 62</x:v>
      </x:c>
    </x:row>
    <x:row r="482" ht="64" customHeight="1">
      <x:c r="A482" s="28" t="str">
        <x:v>NCT-0577</x:v>
      </x:c>
      <x:c r="B482" s="28" t="str">
        <x:v>шоколад</x:v>
      </x:c>
      <x:c r="C482" s="28" t="str">
        <x:v>brie and camembert</x:v>
      </x:c>
      <x:c r="D482" s="28" t="str">
        <x:v>Молочные продукты и сыры</x:v>
      </x:c>
      <x:c r="E482" s="28" t="str">
        <x:v>жировая экстракция и связывание полифенолов белком</x:v>
      </x:c>
      <x:c r="F48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«brie and camembert»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48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82" s="28" t="str">
        <x:v>горечь и терпкость способны подавлять нежные продукты; содержит стимуляторы; аллергенные добавки возможны; жир способен приглушить тонкую ароматику; белок связывает полифенолы</x:v>
      </x:c>
      <x:c r="I482" s="28" t="str">
        <x:v>ганаш, плитка, крем, мусс, напиток, глазурь или соус с brie and camembert</x:v>
      </x:c>
      <x:c r="J482" s="28" t="str">
        <x:v>Средняя</x:v>
      </x:c>
      <x:c r="K482" s="28" t="str">
        <x:v>The Art &amp; Science of Foodpairing.pdf</x:v>
      </x:c>
      <x:c r="L482" s="28" t="str">
        <x:v>The Art &amp; Science of Foodpairing.pdf: 336</x:v>
      </x:c>
    </x:row>
    <x:row r="483" ht="64" customHeight="1">
      <x:c r="A483" s="28" t="str">
        <x:v>NCT-0578</x:v>
      </x:c>
      <x:c r="B483" s="28" t="str">
        <x:v>шоколад</x:v>
      </x:c>
      <x:c r="C483" s="28" t="str">
        <x:v>buffalo mozzarella</x:v>
      </x:c>
      <x:c r="D483" s="28" t="str">
        <x:v>Молочные продукты и сыры</x:v>
      </x:c>
      <x:c r="E483" s="28" t="str">
        <x:v>жировая экстракция и связывание полифенолов белком</x:v>
      </x:c>
      <x:c r="F48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«buffalo mozzarella»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48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83" s="28" t="str">
        <x:v>горечь и терпкость способны подавлять нежные продукты; содержит стимуляторы; аллергенные добавки возможны; жир способен приглушить тонкую ароматику; белок связывает полифенолы</x:v>
      </x:c>
      <x:c r="I483" s="28" t="str">
        <x:v>ганаш, плитка, крем, мусс, напиток, глазурь или соус с buffalo mozzarella</x:v>
      </x:c>
      <x:c r="J483" s="28" t="str">
        <x:v>Средняя</x:v>
      </x:c>
      <x:c r="K483" s="28" t="str">
        <x:v>The Art &amp; Science of Foodpairing.pdf</x:v>
      </x:c>
      <x:c r="L483" s="28" t="str">
        <x:v>The Art &amp; Science of Foodpairing.pdf: 62</x:v>
      </x:c>
    </x:row>
    <x:row r="484" ht="64" customHeight="1">
      <x:c r="A484" s="28" t="str">
        <x:v>NCT-0579</x:v>
      </x:c>
      <x:c r="B484" s="28" t="str">
        <x:v>шоколад</x:v>
      </x:c>
      <x:c r="C484" s="28" t="str">
        <x:v>camembert</x:v>
      </x:c>
      <x:c r="D484" s="28" t="str">
        <x:v>Молочные продукты и сыры</x:v>
      </x:c>
      <x:c r="E484" s="28" t="str">
        <x:v>жировая экстракция и связывание полифенолов белком</x:v>
      </x:c>
      <x:c r="F48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«camembert»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48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84" s="28" t="str">
        <x:v>горечь и терпкость способны подавлять нежные продукты; содержит стимуляторы; аллергенные добавки возможны; жир способен приглушить тонкую ароматику; белок связывает полифенолы</x:v>
      </x:c>
      <x:c r="I484" s="28" t="str">
        <x:v>ганаш, плитка, крем, мусс, напиток, глазурь или соус с camembert</x:v>
      </x:c>
      <x:c r="J484" s="28" t="str">
        <x:v>Средняя</x:v>
      </x:c>
      <x:c r="K484" s="28" t="str">
        <x:v>The Art &amp; Science of Foodpairing.pdf</x:v>
      </x:c>
      <x:c r="L484" s="28" t="str">
        <x:v>The Art &amp; Science of Foodpairing.pdf: 62</x:v>
      </x:c>
    </x:row>
    <x:row r="485" ht="64" customHeight="1">
      <x:c r="A485" s="28" t="str">
        <x:v>NCT-0580</x:v>
      </x:c>
      <x:c r="B485" s="28" t="str">
        <x:v>шоколад</x:v>
      </x:c>
      <x:c r="C485" s="28" t="str">
        <x:v>carrot</x:v>
      </x:c>
      <x:c r="D485" s="28" t="str">
        <x:v>Овощи, бобовые и грибы</x:v>
      </x:c>
      <x:c r="E485" s="28" t="str">
        <x:v>общие ароматические соединения</x:v>
      </x:c>
      <x:c r="F48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«carrot»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48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85" s="28" t="str">
        <x:v>горечь и терпкость способны подавлять нежные продукты; содержит стимуляторы; аллергенные добавки возможны</x:v>
      </x:c>
      <x:c r="I485" s="28" t="str">
        <x:v>ганаш, плитка, крем, мусс, напиток, глазурь или соус с carrot</x:v>
      </x:c>
      <x:c r="J485" s="28" t="str">
        <x:v>Средняя</x:v>
      </x:c>
      <x:c r="K485" s="28" t="str">
        <x:v>The Art &amp; Science of Foodpairing.pdf</x:v>
      </x:c>
      <x:c r="L485" s="28" t="str">
        <x:v>The Art &amp; Science of Foodpairing.pdf: 232</x:v>
      </x:c>
    </x:row>
    <x:row r="486" ht="64" customHeight="1">
      <x:c r="A486" s="28" t="str">
        <x:v>NCT-0581</x:v>
      </x:c>
      <x:c r="B486" s="28" t="str">
        <x:v>шоколад</x:v>
      </x:c>
      <x:c r="C486" s="28" t="str">
        <x:v>chilli peppers</x:v>
      </x:c>
      <x:c r="D486" s="28" t="str">
        <x:v>Специи</x:v>
      </x:c>
      <x:c r="E486" s="28" t="str">
        <x:v>пересечение ароматических семейств</x:v>
      </x:c>
      <x:c r="F48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«chilli peppers» относится к группе «Специи» и даёт пряный и древесный.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G48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86" s="28" t="str">
        <x:v>горечь и терпкость способны подавлять нежные продукты; содержит стимуляторы; аллергенные добавки возможны</x:v>
      </x:c>
      <x:c r="I486" s="28" t="str">
        <x:v>ганаш, плитка, крем, мусс, напиток, глазурь или соус с chilli peppers</x:v>
      </x:c>
      <x:c r="J486" s="28" t="str">
        <x:v>Средняя</x:v>
      </x:c>
      <x:c r="K486" s="28" t="str">
        <x:v>The Art &amp; Science of Foodpairing.pdf</x:v>
      </x:c>
      <x:c r="L486" s="28" t="str">
        <x:v>The Art &amp; Science of Foodpairing.pdf: 94</x:v>
      </x:c>
    </x:row>
    <x:row r="487" ht="64" customHeight="1">
      <x:c r="A487" s="28" t="str">
        <x:v>NCT-0582</x:v>
      </x:c>
      <x:c r="B487" s="28" t="str">
        <x:v>шоколад</x:v>
      </x:c>
      <x:c r="C487" s="28" t="str">
        <x:v>darkchocolate</x:v>
      </x:c>
      <x:c r="D487" s="28" t="str">
        <x:v>Какао и шоколад</x:v>
      </x:c>
      <x:c r="E487" s="28" t="str">
        <x:v>общие ароматические соединения, пересечение ароматических семейств, жареная химия и реакции Майяра</x:v>
      </x:c>
      <x:c r="F48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«darkchocolate» относится к группе «Какао и шоколад» и даёт какаовый, жареный и горько-сладкий.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жареный, какаовый; альдегиды, пиразины, фураны.</x:v>
      </x:c>
      <x:c r="G48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87" s="28" t="str">
        <x:v>горечь и терпкость способны подавлять нежные продукты; содержит стимуляторы; аллергенные добавки возможны</x:v>
      </x:c>
      <x:c r="I487" s="28" t="str">
        <x:v>ганаш, плитка, крем, мусс, напиток, глазурь или соус с darkchocolate</x:v>
      </x:c>
      <x:c r="J487" s="28" t="str">
        <x:v>Средняя</x:v>
      </x:c>
      <x:c r="K487" s="28" t="str">
        <x:v>The Art &amp; Science of Foodpairing.pdf</x:v>
      </x:c>
      <x:c r="L487" s="28" t="str">
        <x:v>The Art &amp; Science of Foodpairing.pdf: 62</x:v>
      </x:c>
    </x:row>
    <x:row r="488" ht="64" customHeight="1">
      <x:c r="A488" s="28" t="str">
        <x:v>NCT-0583</x:v>
      </x:c>
      <x:c r="B488" s="28" t="str">
        <x:v>шоколад</x:v>
      </x:c>
      <x:c r="C488" s="28" t="str">
        <x:v>dry-aged beef</x:v>
      </x:c>
      <x:c r="D488" s="28" t="str">
        <x:v>Мясо и птица</x:v>
      </x:c>
      <x:c r="E48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8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«dry-aged 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48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88" s="28" t="str">
        <x:v>горечь и терпкость способны подавлять нежные продукты; содержит стимуляторы; аллергенные добавки возможны</x:v>
      </x:c>
      <x:c r="I488" s="28" t="str">
        <x:v>ганаш, плитка, крем, мусс, напиток, глазурь или соус с dry-aged beef</x:v>
      </x:c>
      <x:c r="J488" s="28" t="str">
        <x:v>Средняя</x:v>
      </x:c>
      <x:c r="K488" s="28" t="str">
        <x:v>The Art &amp; Science of Foodpairing.pdf</x:v>
      </x:c>
      <x:c r="L488" s="28" t="str">
        <x:v>The Art &amp; Science of Foodpairing.pdf: 62</x:v>
      </x:c>
    </x:row>
    <x:row r="489" ht="64" customHeight="1">
      <x:c r="A489" s="28" t="str">
        <x:v>NCT-0584</x:v>
      </x:c>
      <x:c r="B489" s="28" t="str">
        <x:v>шоколад</x:v>
      </x:c>
      <x:c r="C489" s="28" t="str">
        <x:v>features an eel-flavoured ganache with green herbs</x:v>
      </x:c>
      <x:c r="D489" s="28" t="str">
        <x:v>Травы, цветы и листья</x:v>
      </x:c>
      <x:c r="E489" s="28" t="str">
        <x:v>сенсорная комплементарность</x:v>
      </x:c>
      <x:c r="F48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«features an eel-flavoured ganache with green herbs»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48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89" s="28" t="str">
        <x:v>горечь и терпкость способны подавлять нежные продукты; содержит стимуляторы; аллергенные добавки возможны</x:v>
      </x:c>
      <x:c r="I489" s="28" t="str">
        <x:v>ганаш, плитка, крем, мусс, напиток, глазурь или соус с features an eel-flavoured ganache with green herbs</x:v>
      </x:c>
      <x:c r="J489" s="28" t="str">
        <x:v>Средняя</x:v>
      </x:c>
      <x:c r="K489" s="28" t="str">
        <x:v>The Art &amp; Science of Foodpairing.pdf</x:v>
      </x:c>
      <x:c r="L489" s="28" t="str">
        <x:v>The Art &amp; Science of Foodpairing.pdf: 61</x:v>
      </x:c>
    </x:row>
    <x:row r="490" ht="64" customHeight="1">
      <x:c r="A490" s="28" t="str">
        <x:v>NCT-0585</x:v>
      </x:c>
      <x:c r="B490" s="28" t="str">
        <x:v>шоколад</x:v>
      </x:c>
      <x:c r="C490" s="28" t="str">
        <x:v>fish</x:v>
      </x:c>
      <x:c r="D490" s="28" t="str">
        <x:v>Рыба и морепродукты</x:v>
      </x:c>
      <x:c r="E490" s="28" t="str">
        <x:v>общие ароматические соединения, солёно-умами контраст</x:v>
      </x:c>
      <x:c r="F49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49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90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490" s="28" t="str">
        <x:v>ганаш, плитка, крем, мусс, напиток, глазурь или соус с fish</x:v>
      </x:c>
      <x:c r="J490" s="28" t="str">
        <x:v>Средняя</x:v>
      </x:c>
      <x:c r="K490" s="28" t="str">
        <x:v>The Art &amp; Science of Foodpairing.pdf</x:v>
      </x:c>
      <x:c r="L490" s="28" t="str">
        <x:v>The Art &amp; Science of Foodpairing.pdf: 104</x:v>
      </x:c>
    </x:row>
    <x:row r="491" ht="64" customHeight="1">
      <x:c r="A491" s="28" t="str">
        <x:v>NCT-0586</x:v>
      </x:c>
      <x:c r="B491" s="28" t="str">
        <x:v>шоколад</x:v>
      </x:c>
      <x:c r="C491" s="28" t="str">
        <x:v>garlic</x:v>
      </x:c>
      <x:c r="D491" s="28" t="str">
        <x:v>Овощи, бобовые и грибы</x:v>
      </x:c>
      <x:c r="E491" s="28" t="str">
        <x:v>общие ароматические соединения</x:v>
      </x:c>
      <x:c r="F49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«garlic»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49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91" s="28" t="str">
        <x:v>горечь и терпкость способны подавлять нежные продукты; содержит стимуляторы; аллергенные добавки возможны</x:v>
      </x:c>
      <x:c r="I491" s="28" t="str">
        <x:v>ганаш, плитка, крем, мусс, напиток, глазурь или соус с garlic</x:v>
      </x:c>
      <x:c r="J491" s="28" t="str">
        <x:v>Средняя</x:v>
      </x:c>
      <x:c r="K491" s="28" t="str">
        <x:v>The Art &amp; Science of Foodpairing.pdf</x:v>
      </x:c>
      <x:c r="L491" s="28" t="str">
        <x:v>The Art &amp; Science of Foodpairing.pdf: 113</x:v>
      </x:c>
    </x:row>
    <x:row r="492" ht="64" customHeight="1">
      <x:c r="A492" s="28" t="str">
        <x:v>NCT-0587</x:v>
      </x:c>
      <x:c r="B492" s="28" t="str">
        <x:v>шоколад</x:v>
      </x:c>
      <x:c r="C492" s="28" t="str">
        <x:v>grilled lamb</x:v>
      </x:c>
      <x:c r="D492" s="28" t="str">
        <x:v>Мясо и птица</x:v>
      </x:c>
      <x:c r="E492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9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«grilled lamb»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49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92" s="28" t="str">
        <x:v>горечь и терпкость способны подавлять нежные продукты; содержит стимуляторы; аллергенные добавки возможны</x:v>
      </x:c>
      <x:c r="I492" s="28" t="str">
        <x:v>ганаш, плитка, крем, мусс, напиток, глазурь или соус с grilled lamb</x:v>
      </x:c>
      <x:c r="J492" s="28" t="str">
        <x:v>Средняя</x:v>
      </x:c>
      <x:c r="K492" s="28" t="str">
        <x:v>The Art &amp; Science of Foodpairing.pdf</x:v>
      </x:c>
      <x:c r="L492" s="28" t="str">
        <x:v>The Art &amp; Science of Foodpairing.pdf: 62</x:v>
      </x:c>
    </x:row>
    <x:row r="493" ht="64" customHeight="1">
      <x:c r="A493" s="28" t="str">
        <x:v>NCT-0588</x:v>
      </x:c>
      <x:c r="B493" s="28" t="str">
        <x:v>шоколад</x:v>
      </x:c>
      <x:c r="C493" s="28" t="str">
        <x:v>gruyere</x:v>
      </x:c>
      <x:c r="D493" s="28" t="str">
        <x:v>Молочные продукты и сыры</x:v>
      </x:c>
      <x:c r="E493" s="28" t="str">
        <x:v>жировая экстракция и связывание полифенолов белком</x:v>
      </x:c>
      <x:c r="F49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«gruyere» относится к группе «Молочные продукты и сыры» и даёт молочный, сливочный и ферментированный.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49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93" s="28" t="str">
        <x:v>горечь и терпкость способны подавлять нежные продукты; содержит стимуляторы; аллергенные добавки возможны; жир способен приглушить тонкую ароматику; белок связывает полифенолы</x:v>
      </x:c>
      <x:c r="I493" s="28" t="str">
        <x:v>ганаш, плитка, крем, мусс, напиток, глазурь или соус с gruyere</x:v>
      </x:c>
      <x:c r="J493" s="28" t="str">
        <x:v>Средняя</x:v>
      </x:c>
      <x:c r="K493" s="28" t="str">
        <x:v>The Art &amp; Science of Foodpairing.pdf</x:v>
      </x:c>
      <x:c r="L493" s="28" t="str">
        <x:v>The Art &amp; Science of Foodpairing.pdf: 62</x:v>
      </x:c>
    </x:row>
    <x:row r="494" ht="64" customHeight="1">
      <x:c r="A494" s="28" t="str">
        <x:v>NCT-0589</x:v>
      </x:c>
      <x:c r="B494" s="28" t="str">
        <x:v>шоколад</x:v>
      </x:c>
      <x:c r="C494" s="28" t="str">
        <x:v>lberico ham</x:v>
      </x:c>
      <x:c r="D494" s="28" t="str">
        <x:v>Мясо и птица</x:v>
      </x:c>
      <x:c r="E49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9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49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94" s="28" t="str">
        <x:v>горечь и терпкость способны подавлять нежные продукты; содержит стимуляторы; аллергенные добавки возможны</x:v>
      </x:c>
      <x:c r="I494" s="28" t="str">
        <x:v>ганаш, плитка, крем, мусс, напиток, глазурь или соус с lberico ham</x:v>
      </x:c>
      <x:c r="J494" s="28" t="str">
        <x:v>Средняя</x:v>
      </x:c>
      <x:c r="K494" s="28" t="str">
        <x:v>The Art &amp; Science of Foodpairing.pdf</x:v>
      </x:c>
      <x:c r="L494" s="28" t="str">
        <x:v>The Art &amp; Science of Foodpairing.pdf: 278</x:v>
      </x:c>
    </x:row>
    <x:row r="495" ht="64" customHeight="1">
      <x:c r="A495" s="28" t="str">
        <x:v>NCT-0590</x:v>
      </x:c>
      <x:c r="B495" s="28" t="str">
        <x:v>шоколад</x:v>
      </x:c>
      <x:c r="C495" s="28" t="str">
        <x:v>lemon balm</x:v>
      </x:c>
      <x:c r="D495" s="28" t="str">
        <x:v>Фрукты и ягоды</x:v>
      </x:c>
      <x:c r="E495" s="28" t="str">
        <x:v>общие ароматические соединения, пересечение ароматических семейств, контраст кислоты и жирной/горькой матрицы</x:v>
      </x:c>
      <x:c r="F49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«lemon balm»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G49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95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495" s="28" t="str">
        <x:v>ганаш, плитка, крем, мусс, напиток, глазурь или соус с lemon balm</x:v>
      </x:c>
      <x:c r="J495" s="28" t="str">
        <x:v>Средняя</x:v>
      </x:c>
      <x:c r="K495" s="28" t="str">
        <x:v>The Art &amp; Science of Foodpairing.pdf</x:v>
      </x:c>
      <x:c r="L495" s="28" t="str">
        <x:v>The Art &amp; Science of Foodpairing.pdf: 62</x:v>
      </x:c>
    </x:row>
    <x:row r="496" ht="64" customHeight="1">
      <x:c r="A496" s="28" t="str">
        <x:v>NCT-0591</x:v>
      </x:c>
      <x:c r="B496" s="28" t="str">
        <x:v>шоколад</x:v>
      </x:c>
      <x:c r="C496" s="28" t="str">
        <x:v>meat</x:v>
      </x:c>
      <x:c r="D496" s="28" t="str">
        <x:v>Мясо и птица</x:v>
      </x:c>
      <x:c r="E496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9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«meat»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49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96" s="28" t="str">
        <x:v>горечь и терпкость способны подавлять нежные продукты; содержит стимуляторы; аллергенные добавки возможны</x:v>
      </x:c>
      <x:c r="I496" s="28" t="str">
        <x:v>ганаш, плитка, крем, мусс, напиток, глазурь или соус с meat</x:v>
      </x:c>
      <x:c r="J496" s="28" t="str">
        <x:v>Средняя</x:v>
      </x:c>
      <x:c r="K496" s="28" t="str">
        <x:v>The Art &amp; Science of Foodpairing.pdf</x:v>
      </x:c>
      <x:c r="L496" s="28" t="str">
        <x:v>The Art &amp; Science of Foodpairing.pdf: 186</x:v>
      </x:c>
    </x:row>
    <x:row r="497" ht="64" customHeight="1">
      <x:c r="A497" s="28" t="str">
        <x:v>NCT-0592</x:v>
      </x:c>
      <x:c r="B497" s="28" t="str">
        <x:v>шоколад</x:v>
      </x:c>
      <x:c r="C497" s="28" t="str">
        <x:v>milkchocolate</x:v>
      </x:c>
      <x:c r="D497" s="28" t="str">
        <x:v>Какао и шоколад</x:v>
      </x:c>
      <x:c r="E497" s="28" t="str">
        <x:v>общие ароматические соединения, пересечение ароматических семейств, жареная химия и реакции Майяра</x:v>
      </x:c>
      <x:c r="F49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«milkchocolate» относится к группе «Какао и шоколад» и даёт какаовый, жареный и горько-сладкий.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жареный, какаовый; альдегиды, пиразины, фураны.</x:v>
      </x:c>
      <x:c r="G49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97" s="28" t="str">
        <x:v>горечь и терпкость способны подавлять нежные продукты; содержит стимуляторы; аллергенные добавки возможны</x:v>
      </x:c>
      <x:c r="I497" s="28" t="str">
        <x:v>ганаш, плитка, крем, мусс, напиток, глазурь или соус с milkchocolate</x:v>
      </x:c>
      <x:c r="J497" s="28" t="str">
        <x:v>Средняя</x:v>
      </x:c>
      <x:c r="K497" s="28" t="str">
        <x:v>The Art &amp; Science of Foodpairing.pdf</x:v>
      </x:c>
      <x:c r="L497" s="28" t="str">
        <x:v>The Art &amp; Science of Foodpairing.pdf: 62</x:v>
      </x:c>
    </x:row>
    <x:row r="498" ht="64" customHeight="1">
      <x:c r="A498" s="28" t="str">
        <x:v>NCT-0593</x:v>
      </x:c>
      <x:c r="B498" s="28" t="str">
        <x:v>шоколад</x:v>
      </x:c>
      <x:c r="C498" s="28" t="str">
        <x:v>mount gay eclipse rum</x:v>
      </x:c>
      <x:c r="D498" s="28" t="str">
        <x:v>Алкогольные напитки</x:v>
      </x:c>
      <x:c r="E498" s="28" t="str">
        <x:v>общие ароматические соединения, пересечение ароматических семейств</x:v>
      </x:c>
      <x:c r="F49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«mount gay eclipse rum» относится к группе «Алкогольные напитки» и даёт спиртовой, фруктовый или древесный. Молекулярный мост создают альдегиды, эфиры Какао-масло медленно высвобождает липофильные ароматы, а сахар и соль изменяют воспринимаемую горечь. Итог: древесный, фруктовый; альдегиды, эфиры.</x:v>
      </x:c>
      <x:c r="G49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98" s="28" t="str">
        <x:v>горечь и терпкость способны подавлять нежные продукты; содержит стимуляторы; аллергенные добавки возможны</x:v>
      </x:c>
      <x:c r="I498" s="28" t="str">
        <x:v>ганаш, плитка, крем, мусс, напиток, глазурь или соус с mount gay eclipse rum</x:v>
      </x:c>
      <x:c r="J498" s="28" t="str">
        <x:v>Средняя</x:v>
      </x:c>
      <x:c r="K498" s="28" t="str">
        <x:v>The Art &amp; Science of Foodpairing.pdf</x:v>
      </x:c>
      <x:c r="L498" s="28" t="str">
        <x:v>The Art &amp; Science of Foodpairing.pdf: 62</x:v>
      </x:c>
    </x:row>
    <x:row r="499" ht="64" customHeight="1">
      <x:c r="A499" s="28" t="str">
        <x:v>NCT-0594</x:v>
      </x:c>
      <x:c r="B499" s="28" t="str">
        <x:v>шоколад</x:v>
      </x:c>
      <x:c r="C499" s="28" t="str">
        <x:v>oyster leaf</x:v>
      </x:c>
      <x:c r="D499" s="28" t="str">
        <x:v>Рыба и морепродукты</x:v>
      </x:c>
      <x:c r="E499" s="28" t="str">
        <x:v>общие ароматические соединения, солёно-умами контраст</x:v>
      </x:c>
      <x:c r="F49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«oyster leaf»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49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499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499" s="28" t="str">
        <x:v>ганаш, плитка, крем, мусс, напиток, глазурь или соус с oyster leaf</x:v>
      </x:c>
      <x:c r="J499" s="28" t="str">
        <x:v>Средняя</x:v>
      </x:c>
      <x:c r="K499" s="28" t="str">
        <x:v>The Art &amp; Science of Foodpairing.pdf</x:v>
      </x:c>
      <x:c r="L499" s="28" t="str">
        <x:v>The Art &amp; Science of Foodpairing.pdf: 62</x:v>
      </x:c>
    </x:row>
    <x:row r="500" ht="64" customHeight="1">
      <x:c r="A500" s="28" t="str">
        <x:v>NCT-0595</x:v>
      </x:c>
      <x:c r="B500" s="28" t="str">
        <x:v>шоколад</x:v>
      </x:c>
      <x:c r="C500" s="28" t="str">
        <x:v>pan-fried king prawns</x:v>
      </x:c>
      <x:c r="D500" s="28" t="str">
        <x:v>Рыба и морепродукты</x:v>
      </x:c>
      <x:c r="E500" s="28" t="str">
        <x:v>общие ароматические соединения, солёно-умами контраст</x:v>
      </x:c>
      <x:c r="F50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king prawns»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50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00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500" s="28" t="str">
        <x:v>ганаш, плитка, крем, мусс, напиток, глазурь или соус с pan-fried king prawns</x:v>
      </x:c>
      <x:c r="J500" s="28" t="str">
        <x:v>Средняя</x:v>
      </x:c>
      <x:c r="K500" s="28" t="str">
        <x:v>The Art &amp; Science of Foodpairing.pdf</x:v>
      </x:c>
      <x:c r="L500" s="28" t="str">
        <x:v>The Art &amp; Science of Foodpairing.pdf: 62</x:v>
      </x:c>
    </x:row>
    <x:row r="501" ht="64" customHeight="1">
      <x:c r="A501" s="28" t="str">
        <x:v>NCT-0596</x:v>
      </x:c>
      <x:c r="B501" s="28" t="str">
        <x:v>шоколад</x:v>
      </x:c>
      <x:c r="C501" s="28" t="str">
        <x:v>pan-fried kingprawn</x:v>
      </x:c>
      <x:c r="D501" s="28" t="str">
        <x:v>Рыба и морепродукты</x:v>
      </x:c>
      <x:c r="E501" s="28" t="str">
        <x:v>общие ароматические соединения, солёно-умами контраст</x:v>
      </x:c>
      <x:c r="F50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kingprawn»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50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01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501" s="28" t="str">
        <x:v>ганаш, плитка, крем, мусс, напиток, глазурь или соус с pan-fried kingprawn</x:v>
      </x:c>
      <x:c r="J501" s="28" t="str">
        <x:v>Средняя</x:v>
      </x:c>
      <x:c r="K501" s="28" t="str">
        <x:v>The Art &amp; Science of Foodpairing.pdf</x:v>
      </x:c>
      <x:c r="L501" s="28" t="str">
        <x:v>The Art &amp; Science of Foodpairing.pdf: 62</x:v>
      </x:c>
    </x:row>
    <x:row r="502" ht="64" customHeight="1">
      <x:c r="A502" s="28" t="str">
        <x:v>NCT-0597</x:v>
      </x:c>
      <x:c r="B502" s="28" t="str">
        <x:v>шоколад</x:v>
      </x:c>
      <x:c r="C502" s="28" t="str">
        <x:v>pan-fried porkloin</x:v>
      </x:c>
      <x:c r="D502" s="28" t="str">
        <x:v>Мясо и птица</x:v>
      </x:c>
      <x:c r="E502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0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porkloin»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50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02" s="28" t="str">
        <x:v>горечь и терпкость способны подавлять нежные продукты; содержит стимуляторы; аллергенные добавки возможны</x:v>
      </x:c>
      <x:c r="I502" s="28" t="str">
        <x:v>ганаш, плитка, крем, мусс, напиток, глазурь или соус с pan-fried porkloin</x:v>
      </x:c>
      <x:c r="J502" s="28" t="str">
        <x:v>Средняя</x:v>
      </x:c>
      <x:c r="K502" s="28" t="str">
        <x:v>The Art &amp; Science of Foodpairing.pdf</x:v>
      </x:c>
      <x:c r="L502" s="28" t="str">
        <x:v>The Art &amp; Science of Foodpairing.pdf: 62</x:v>
      </x:c>
    </x:row>
    <x:row r="503" ht="64" customHeight="1">
      <x:c r="A503" s="28" t="str">
        <x:v>NCT-0598</x:v>
      </x:c>
      <x:c r="B503" s="28" t="str">
        <x:v>шоколад</x:v>
      </x:c>
      <x:c r="C503" s="28" t="str">
        <x:v>pan-fried quail</x:v>
      </x:c>
      <x:c r="D503" s="28" t="str">
        <x:v>Мясо и птица</x:v>
      </x:c>
      <x:c r="E503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0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quail»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50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03" s="28" t="str">
        <x:v>горечь и терпкость способны подавлять нежные продукты; содержит стимуляторы; аллергенные добавки возможны</x:v>
      </x:c>
      <x:c r="I503" s="28" t="str">
        <x:v>ганаш, плитка, крем, мусс, напиток, глазурь или соус с pan-fried quail</x:v>
      </x:c>
      <x:c r="J503" s="28" t="str">
        <x:v>Средняя</x:v>
      </x:c>
      <x:c r="K503" s="28" t="str">
        <x:v>The Art &amp; Science of Foodpairing.pdf</x:v>
      </x:c>
      <x:c r="L503" s="28" t="str">
        <x:v>The Art &amp; Science of Foodpairing.pdf: 62</x:v>
      </x:c>
    </x:row>
    <x:row r="504" ht="64" customHeight="1">
      <x:c r="A504" s="28" t="str">
        <x:v>NCT-0599</x:v>
      </x:c>
      <x:c r="B504" s="28" t="str">
        <x:v>шоколад</x:v>
      </x:c>
      <x:c r="C504" s="28" t="str">
        <x:v>peppercorns</x:v>
      </x:c>
      <x:c r="D504" s="28" t="str">
        <x:v>Специи</x:v>
      </x:c>
      <x:c r="E504" s="28" t="str">
        <x:v>пересечение ароматических семейств</x:v>
      </x:c>
      <x:c r="F50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«peppercorns» относится к группе «Специи» и даёт пряный и древесный.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G50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04" s="28" t="str">
        <x:v>горечь и терпкость способны подавлять нежные продукты; содержит стимуляторы; аллергенные добавки возможны</x:v>
      </x:c>
      <x:c r="I504" s="28" t="str">
        <x:v>ганаш, плитка, крем, мусс, напиток, глазурь или соус с peppercorns</x:v>
      </x:c>
      <x:c r="J504" s="28" t="str">
        <x:v>Средняя</x:v>
      </x:c>
      <x:c r="K504" s="28" t="str">
        <x:v>The Art &amp; Science of Foodpairing.pdf</x:v>
      </x:c>
      <x:c r="L504" s="28" t="str">
        <x:v>The Art &amp; Science of Foodpairing.pdf: 273, 274</x:v>
      </x:c>
    </x:row>
    <x:row r="505" ht="64" customHeight="1">
      <x:c r="A505" s="28" t="str">
        <x:v>NCT-0600</x:v>
      </x:c>
      <x:c r="B505" s="28" t="str">
        <x:v>шоколад</x:v>
      </x:c>
      <x:c r="C505" s="28" t="str">
        <x:v>purple sage</x:v>
      </x:c>
      <x:c r="D505" s="28" t="str">
        <x:v>Травы, цветы и листья</x:v>
      </x:c>
      <x:c r="E505" s="28" t="str">
        <x:v>сенсорная комплементарность</x:v>
      </x:c>
      <x:c r="F50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«purple sage»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0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05" s="28" t="str">
        <x:v>горечь и терпкость способны подавлять нежные продукты; содержит стимуляторы; аллергенные добавки возможны</x:v>
      </x:c>
      <x:c r="I505" s="28" t="str">
        <x:v>ганаш, плитка, крем, мусс, напиток, глазурь или соус с purple sage</x:v>
      </x:c>
      <x:c r="J505" s="28" t="str">
        <x:v>Средняя</x:v>
      </x:c>
      <x:c r="K505" s="28" t="str">
        <x:v>The Art &amp; Science of Foodpairing.pdf</x:v>
      </x:c>
      <x:c r="L505" s="28" t="str">
        <x:v>The Art &amp; Science of Foodpairing.pdf: 62</x:v>
      </x:c>
    </x:row>
    <x:row r="506" ht="64" customHeight="1">
      <x:c r="A506" s="28" t="str">
        <x:v>NCT-0601</x:v>
      </x:c>
      <x:c r="B506" s="28" t="str">
        <x:v>шоколад</x:v>
      </x:c>
      <x:c r="C506" s="28" t="str">
        <x:v>red winevinegar</x:v>
      </x:c>
      <x:c r="D506" s="28" t="str">
        <x:v>Алкогольные напитки</x:v>
      </x:c>
      <x:c r="E506" s="28" t="str">
        <x:v>общие ароматические соединения, пересечение ароматических семейств</x:v>
      </x:c>
      <x:c r="F50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«red winevinegar» относится к группе «Алкогольные напитки» и даёт спиртовой, фруктовый или древесный. Молекулярный мост создают альдегиды, эфиры Какао-масло медленно высвобождает липофильные ароматы, а сахар и соль изменяют воспринимаемую горечь. Итог: древесный, фруктовый; альдегиды, эфиры.</x:v>
      </x:c>
      <x:c r="G50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06" s="28" t="str">
        <x:v>горечь и терпкость способны подавлять нежные продукты; содержит стимуляторы; аллергенные добавки возможны</x:v>
      </x:c>
      <x:c r="I506" s="28" t="str">
        <x:v>ганаш, плитка, крем, мусс, напиток, глазурь или соус с red winevinegar</x:v>
      </x:c>
      <x:c r="J506" s="28" t="str">
        <x:v>Средняя</x:v>
      </x:c>
      <x:c r="K506" s="28" t="str">
        <x:v>The Art &amp; Science of Foodpairing.pdf</x:v>
      </x:c>
      <x:c r="L506" s="28" t="str">
        <x:v>The Art &amp; Science of Foodpairing.pdf: 62</x:v>
      </x:c>
    </x:row>
    <x:row r="507" ht="64" customHeight="1">
      <x:c r="A507" s="28" t="str">
        <x:v>NCT-0602</x:v>
      </x:c>
      <x:c r="B507" s="28" t="str">
        <x:v>шоколад</x:v>
      </x:c>
      <x:c r="C507" s="28" t="str">
        <x:v>rhubarb</x:v>
      </x:c>
      <x:c r="D507" s="28" t="str">
        <x:v>Фрукты и ягоды</x:v>
      </x:c>
      <x:c r="E507" s="28" t="str">
        <x:v>общие ароматические соединения, пересечение ароматических семейств, контраст кислоты и жирной/горькой матрицы</x:v>
      </x:c>
      <x:c r="F50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«rhubarb»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G50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07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507" s="28" t="str">
        <x:v>ганаш, плитка, крем, мусс, напиток, глазурь или соус с rhubarb</x:v>
      </x:c>
      <x:c r="J507" s="28" t="str">
        <x:v>Средняя</x:v>
      </x:c>
      <x:c r="K507" s="28" t="str">
        <x:v>The Art &amp; Science of Foodpairing.pdf</x:v>
      </x:c>
      <x:c r="L507" s="28" t="str">
        <x:v>The Art &amp; Science of Foodpairing.pdf: 62</x:v>
      </x:c>
    </x:row>
    <x:row r="508" ht="64" customHeight="1">
      <x:c r="A508" s="28" t="str">
        <x:v>NCT-0603</x:v>
      </x:c>
      <x:c r="B508" s="28" t="str">
        <x:v>шоколад</x:v>
      </x:c>
      <x:c r="C508" s="28" t="str">
        <x:v>roastedbrown shrimp</x:v>
      </x:c>
      <x:c r="D508" s="28" t="str">
        <x:v>Рыба и морепродукты</x:v>
      </x:c>
      <x:c r="E508" s="28" t="str">
        <x:v>общие ароматические соединения, солёно-умами контраст</x:v>
      </x:c>
      <x:c r="F50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«roastedbrown shrimp»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50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08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508" s="28" t="str">
        <x:v>ганаш, плитка, крем, мусс, напиток, глазурь или соус с roastedbrown shrimp</x:v>
      </x:c>
      <x:c r="J508" s="28" t="str">
        <x:v>Средняя</x:v>
      </x:c>
      <x:c r="K508" s="28" t="str">
        <x:v>The Art &amp; Science of Foodpairing.pdf</x:v>
      </x:c>
      <x:c r="L508" s="28" t="str">
        <x:v>The Art &amp; Science of Foodpairing.pdf: 62</x:v>
      </x:c>
    </x:row>
    <x:row r="509" ht="64" customHeight="1">
      <x:c r="A509" s="28" t="str">
        <x:v>NCT-0604</x:v>
      </x:c>
      <x:c r="B509" s="28" t="str">
        <x:v>шоколад</x:v>
      </x:c>
      <x:c r="C509" s="28" t="str">
        <x:v>roastedcashew nut</x:v>
      </x:c>
      <x:c r="D509" s="28" t="str">
        <x:v>Орехи и семена</x:v>
      </x:c>
      <x:c r="E509" s="28" t="str">
        <x:v>общие ароматические соединения, пересечение ароматических семейств, жареная химия и реакции Майяра</x:v>
      </x:c>
      <x:c r="F50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«roastedcashew nut» относится к группе «Орехи и семена» и даёт ореховый, жареный и жирный.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жареный; альдегиды, пиразины, фураны.</x:v>
      </x:c>
      <x:c r="G50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09" s="28" t="str">
        <x:v>горечь и терпкость способны подавлять нежные продукты; содержит стимуляторы; аллергенные добавки возможны</x:v>
      </x:c>
      <x:c r="I509" s="28" t="str">
        <x:v>ганаш, плитка, крем, мусс, напиток, глазурь или соус с roastedcashew nut</x:v>
      </x:c>
      <x:c r="J509" s="28" t="str">
        <x:v>Средняя</x:v>
      </x:c>
      <x:c r="K509" s="28" t="str">
        <x:v>The Art &amp; Science of Foodpairing.pdf</x:v>
      </x:c>
      <x:c r="L509" s="28" t="str">
        <x:v>The Art &amp; Science of Foodpairing.pdf: 62</x:v>
      </x:c>
    </x:row>
    <x:row r="510" ht="64" customHeight="1">
      <x:c r="A510" s="28" t="str">
        <x:v>NCT-0605</x:v>
      </x:c>
      <x:c r="B510" s="28" t="str">
        <x:v>шоколад</x:v>
      </x:c>
      <x:c r="C510" s="28" t="str">
        <x:v>salted anchovies</x:v>
      </x:c>
      <x:c r="D510" s="28" t="str">
        <x:v>Рыба и морепродукты</x:v>
      </x:c>
      <x:c r="E510" s="28" t="str">
        <x:v>общие ароматические соединения, солёно-умами контраст</x:v>
      </x:c>
      <x:c r="F51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«salted anchovies»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51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10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510" s="28" t="str">
        <x:v>ганаш, плитка, крем, мусс, напиток, глазурь или соус с salted anchovies</x:v>
      </x:c>
      <x:c r="J510" s="28" t="str">
        <x:v>Средняя</x:v>
      </x:c>
      <x:c r="K510" s="28" t="str">
        <x:v>The Art &amp; Science of Foodpairing.pdf</x:v>
      </x:c>
      <x:c r="L510" s="28" t="str">
        <x:v>The Art &amp; Science of Foodpairing.pdf: 62</x:v>
      </x:c>
    </x:row>
    <x:row r="511" ht="64" customHeight="1">
      <x:c r="A511" s="28" t="str">
        <x:v>NCT-0606</x:v>
      </x:c>
      <x:c r="B511" s="28" t="str">
        <x:v>шоколад</x:v>
      </x:c>
      <x:c r="C511" s="28" t="str">
        <x:v>salted dried cod</x:v>
      </x:c>
      <x:c r="D511" s="28" t="str">
        <x:v>Рыба и морепродукты</x:v>
      </x:c>
      <x:c r="E511" s="28" t="str">
        <x:v>общие ароматические соединения, солёно-умами контраст</x:v>
      </x:c>
      <x:c r="F51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«salted dried cod»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51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11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511" s="28" t="str">
        <x:v>ганаш, плитка, крем, мусс, напиток, глазурь или соус с salted dried cod</x:v>
      </x:c>
      <x:c r="J511" s="28" t="str">
        <x:v>Средняя</x:v>
      </x:c>
      <x:c r="K511" s="28" t="str">
        <x:v>The Art &amp; Science of Foodpairing.pdf</x:v>
      </x:c>
      <x:c r="L511" s="28" t="str">
        <x:v>The Art &amp; Science of Foodpairing.pdf: 62</x:v>
      </x:c>
    </x:row>
    <x:row r="512" ht="64" customHeight="1">
      <x:c r="A512" s="28" t="str">
        <x:v>NCT-0607</x:v>
      </x:c>
      <x:c r="B512" s="28" t="str">
        <x:v>шоколад</x:v>
      </x:c>
      <x:c r="C512" s="28" t="str">
        <x:v>steamed collard greens</x:v>
      </x:c>
      <x:c r="D512" s="28" t="str">
        <x:v>Чай</x:v>
      </x:c>
      <x:c r="E512" s="28" t="str">
        <x:v>пересечение ароматических семейств</x:v>
      </x:c>
      <x:c r="F51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«steamed collard greens» относится к группе «Чай» и даёт цветочный, древесный или зелёный.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G51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12" s="28" t="str">
        <x:v>горечь и терпкость способны подавлять нежные продукты; содержит стимуляторы; аллергенные добавки возможны</x:v>
      </x:c>
      <x:c r="I512" s="28" t="str">
        <x:v>ганаш, плитка, крем, мусс, напиток, глазурь или соус с steamed collard greens</x:v>
      </x:c>
      <x:c r="J512" s="28" t="str">
        <x:v>Средняя</x:v>
      </x:c>
      <x:c r="K512" s="28" t="str">
        <x:v>The Art &amp; Science of Foodpairing.pdf</x:v>
      </x:c>
      <x:c r="L512" s="28" t="str">
        <x:v>The Art &amp; Science of Foodpairing.pdf: 62</x:v>
      </x:c>
    </x:row>
    <x:row r="513" ht="64" customHeight="1">
      <x:c r="A513" s="28" t="str">
        <x:v>NCT-0608</x:v>
      </x:c>
      <x:c r="B513" s="28" t="str">
        <x:v>шоколад</x:v>
      </x:c>
      <x:c r="C513" s="28" t="str">
        <x:v>sweet potato</x:v>
      </x:c>
      <x:c r="D513" s="28" t="str">
        <x:v>Овощи, бобовые и грибы</x:v>
      </x:c>
      <x:c r="E513" s="28" t="str">
        <x:v>общие ароматические соединения</x:v>
      </x:c>
      <x:c r="F51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«sweet potato»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51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13" s="28" t="str">
        <x:v>горечь и терпкость способны подавлять нежные продукты; содержит стимуляторы; аллергенные добавки возможны</x:v>
      </x:c>
      <x:c r="I513" s="28" t="str">
        <x:v>ганаш, плитка, крем, мусс, напиток, глазурь или соус с sweet potato</x:v>
      </x:c>
      <x:c r="J513" s="28" t="str">
        <x:v>Средняя</x:v>
      </x:c>
      <x:c r="K513" s="28" t="str">
        <x:v>The Art &amp; Science of Foodpairing.pdf</x:v>
      </x:c>
      <x:c r="L513" s="28" t="str">
        <x:v>The Art &amp; Science of Foodpairing.pdf: 119</x:v>
      </x:c>
    </x:row>
    <x:row r="514" ht="64" customHeight="1">
      <x:c r="A514" s="28" t="str">
        <x:v>NCT-0609</x:v>
      </x:c>
      <x:c r="B514" s="28" t="str">
        <x:v>шоколад</x:v>
      </x:c>
      <x:c r="C514" s="28" t="str">
        <x:v>tomato and tomato puree</x:v>
      </x:c>
      <x:c r="D514" s="28" t="str">
        <x:v>Овощи, бобовые и грибы</x:v>
      </x:c>
      <x:c r="E514" s="28" t="str">
        <x:v>общие ароматические соединения</x:v>
      </x:c>
      <x:c r="F51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«tomato and tomato puree»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51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14" s="28" t="str">
        <x:v>горечь и терпкость способны подавлять нежные продукты; содержит стимуляторы; аллергенные добавки возможны</x:v>
      </x:c>
      <x:c r="I514" s="28" t="str">
        <x:v>ганаш, плитка, крем, мусс, напиток, глазурь или соус с tomato and tomato puree</x:v>
      </x:c>
      <x:c r="J514" s="28" t="str">
        <x:v>Средняя</x:v>
      </x:c>
      <x:c r="K514" s="28" t="str">
        <x:v>The Art &amp; Science of Foodpairing.pdf</x:v>
      </x:c>
      <x:c r="L514" s="28" t="str">
        <x:v>The Art &amp; Science of Foodpairing.pdf: 161</x:v>
      </x:c>
    </x:row>
    <x:row r="515" ht="64" customHeight="1">
      <x:c r="A515" s="28" t="str">
        <x:v>NCT-0610</x:v>
      </x:c>
      <x:c r="B515" s="28" t="str">
        <x:v>шоколад</x:v>
      </x:c>
      <x:c r="C515" s="28" t="str">
        <x:v>wagyu beef</x:v>
      </x:c>
      <x:c r="D515" s="28" t="str">
        <x:v>Мясо и птица</x:v>
      </x:c>
      <x:c r="E515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1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«wagyu 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51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15" s="28" t="str">
        <x:v>горечь и терпкость способны подавлять нежные продукты; содержит стимуляторы; аллергенные добавки возможны</x:v>
      </x:c>
      <x:c r="I515" s="28" t="str">
        <x:v>ганаш, плитка, крем, мусс, напиток, глазурь или соус с wagyu beef</x:v>
      </x:c>
      <x:c r="J515" s="28" t="str">
        <x:v>Средняя</x:v>
      </x:c>
      <x:c r="K515" s="28" t="str">
        <x:v>The Art &amp; Science of Foodpairing.pdf</x:v>
      </x:c>
      <x:c r="L515" s="28" t="str">
        <x:v>The Art &amp; Science of Foodpairing.pdf: 62</x:v>
      </x:c>
    </x:row>
    <x:row r="516" ht="64" customHeight="1">
      <x:c r="A516" s="28" t="str">
        <x:v>NCT-0611</x:v>
      </x:c>
      <x:c r="B516" s="28" t="str">
        <x:v>шоколад</x:v>
      </x:c>
      <x:c r="C516" s="28" t="str">
        <x:v>wheatgrass and another one with cauliflower. his menueven</x:v>
      </x:c>
      <x:c r="D516" s="28" t="str">
        <x:v>Овощи, бобовые и грибы</x:v>
      </x:c>
      <x:c r="E516" s="28" t="str">
        <x:v>общие ароматические соединения</x:v>
      </x:c>
      <x:c r="F51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«wheatgrass and another one with cauliflower. his menueven»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51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16" s="28" t="str">
        <x:v>горечь и терпкость способны подавлять нежные продукты; содержит стимуляторы; аллергенные добавки возможны</x:v>
      </x:c>
      <x:c r="I516" s="28" t="str">
        <x:v>ганаш, плитка, крем, мусс, напиток, глазурь или соус с wheatgrass and another one with cauliflower. his menueven</x:v>
      </x:c>
      <x:c r="J516" s="28" t="str">
        <x:v>Средняя</x:v>
      </x:c>
      <x:c r="K516" s="28" t="str">
        <x:v>The Art &amp; Science of Foodpairing.pdf</x:v>
      </x:c>
      <x:c r="L516" s="28" t="str">
        <x:v>The Art &amp; Science of Foodpairing.pdf: 61</x:v>
      </x:c>
    </x:row>
    <x:row r="517" ht="64" customHeight="1">
      <x:c r="A517" s="28" t="str">
        <x:v>NCT-0612</x:v>
      </x:c>
      <x:c r="B517" s="28" t="str">
        <x:v>шоколад</x:v>
      </x:c>
      <x:c r="C517" s="28" t="str">
        <x:v>whitechocolate</x:v>
      </x:c>
      <x:c r="D517" s="28" t="str">
        <x:v>Какао и шоколад</x:v>
      </x:c>
      <x:c r="E517" s="28" t="str">
        <x:v>общие ароматические соединения, пересечение ароматических семейств, жареная химия и реакции Майяра</x:v>
      </x:c>
      <x:c r="F51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«whitechocolate» относится к группе «Какао и шоколад» и даёт какаовый, жареный и горько-сладкий. Молекулярный мост создают альдегиды,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жареный, какаовый; альдегиды, пиразины, фураны.</x:v>
      </x:c>
      <x:c r="G51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17" s="28" t="str">
        <x:v>горечь и терпкость способны подавлять нежные продукты; содержит стимуляторы; аллергенные добавки возможны</x:v>
      </x:c>
      <x:c r="I517" s="28" t="str">
        <x:v>ганаш, плитка, крем, мусс, напиток, глазурь или соус с whitechocolate</x:v>
      </x:c>
      <x:c r="J517" s="28" t="str">
        <x:v>Средняя</x:v>
      </x:c>
      <x:c r="K517" s="28" t="str">
        <x:v>The Art &amp; Science of Foodpairing.pdf</x:v>
      </x:c>
      <x:c r="L517" s="28" t="str">
        <x:v>The Art &amp; Science of Foodpairing.pdf: 62</x:v>
      </x:c>
    </x:row>
    <x:row r="518" ht="64" customHeight="1">
      <x:c r="A518" s="28" t="str">
        <x:v>NCT-0613</x:v>
      </x:c>
      <x:c r="B518" s="28" t="str">
        <x:v>шоколад</x:v>
      </x:c>
      <x:c r="C518" s="28" t="str">
        <x:v>«черный пудинг»</x:v>
      </x:c>
      <x:c r="D518" s="28" t="str">
        <x:v>Прочее</x:v>
      </x:c>
      <x:c r="E518" s="28" t="str">
        <x:v>сенсорная комплементарность</x:v>
      </x:c>
      <x:c r="F51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««черный пудинг»»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1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18" s="28" t="str">
        <x:v>горечь и терпкость способны подавлять нежные продукты; содержит стимуляторы; аллергенные добавки возможны</x:v>
      </x:c>
      <x:c r="I518" s="28" t="str">
        <x:v>ганаш, плитка, крем, мусс, напиток, глазурь или соус с «черный пудинг»</x:v>
      </x:c>
      <x:c r="J518" s="28" t="str">
        <x:v>Средняя</x:v>
      </x:c>
      <x:c r="K518" s="28" t="str">
        <x:v>Тезариус вкусов (Ники Сегнит)(1).pdf</x:v>
      </x:c>
      <x:c r="L518" s="28" t="str">
        <x:v>Тезариус вкусов (Ники Сегнит)(1).pdf: 38, 97</x:v>
      </x:c>
    </x:row>
    <x:row r="519" ht="64" customHeight="1">
      <x:c r="A519" s="28" t="str">
        <x:v>NCT-0614</x:v>
      </x:c>
      <x:c r="B519" s="28" t="str">
        <x:v>шоколад</x:v>
      </x:c>
      <x:c r="C519" s="28" t="str">
        <x:v>абрикос</x:v>
      </x:c>
      <x:c r="D519" s="28" t="str">
        <x:v>Фрукты и ягоды</x:v>
      </x:c>
      <x:c r="E519" s="28" t="str">
        <x:v>пересечение ароматических семейств, контраст кислоты и жирной/горькой матрицы</x:v>
      </x:c>
      <x:c r="F51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«абрикос» относится к группе «Фрукты и ягоды» и даёт лактонный, миндальный, фруктовый. Профили пересекаются в семействах: фруктовый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механизм не следует сводить к одной общей молекуле.</x:v>
      </x:c>
      <x:c r="G51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19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519" s="28" t="str">
        <x:v>ганаш, плитка, крем, мусс, напиток, глазурь или соус с абрикос</x:v>
      </x:c>
      <x:c r="J519" s="28" t="str">
        <x:v>Средняя</x:v>
      </x:c>
      <x:c r="K519" s="28" t="str">
        <x:v>Тезариус вкусов (Ники Сегнит)(1).pdf</x:v>
      </x:c>
      <x:c r="L519" s="28" t="str">
        <x:v>Тезариус вкусов (Ники Сегнит)(1).pdf: 25, 745</x:v>
      </x:c>
    </x:row>
    <x:row r="520" ht="64" customHeight="1">
      <x:c r="A520" s="28" t="str">
        <x:v>NCT-0615</x:v>
      </x:c>
      <x:c r="B520" s="28" t="str">
        <x:v>шоколад</x:v>
      </x:c>
      <x:c r="C520" s="28" t="str">
        <x:v>авокадо</x:v>
      </x:c>
      <x:c r="D520" s="28" t="str">
        <x:v>Прочее</x:v>
      </x:c>
      <x:c r="E520" s="28" t="str">
        <x:v>сенсорная комплементарность</x:v>
      </x:c>
      <x:c r="F52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«авокадо»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2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20" s="28" t="str">
        <x:v>горечь и терпкость способны подавлять нежные продукты; содержит стимуляторы; аллергенные добавки возможны</x:v>
      </x:c>
      <x:c r="I520" s="28" t="str">
        <x:v>ганаш, плитка, крем, мусс, напиток, глазурь или соус с авокадо</x:v>
      </x:c>
      <x:c r="J520" s="28" t="str">
        <x:v>Высокая</x:v>
      </x:c>
      <x:c r="K520" s="28" t="str">
        <x:v>The Art &amp; Science of Foodpairing.pdf | Тезариус вкусов (Ники Сегнит)(1).pdf</x:v>
      </x:c>
      <x:c r="L520" s="28" t="str">
        <x:v>The Art &amp; Science of Foodpairing.pdf: 62; Тезариус вкусов (Ники Сегнит)(1).pdf: 25, 532</x:v>
      </x:c>
    </x:row>
    <x:row r="521" ht="64" customHeight="1">
      <x:c r="A521" s="28" t="str">
        <x:v>NCT-0616</x:v>
      </x:c>
      <x:c r="B521" s="28" t="str">
        <x:v>шоколад</x:v>
      </x:c>
      <x:c r="C521" s="28" t="str">
        <x:v>ананас</x:v>
      </x:c>
      <x:c r="D521" s="28" t="str">
        <x:v>Прочее</x:v>
      </x:c>
      <x:c r="E521" s="28" t="str">
        <x:v>сенсорная комплементарность</x:v>
      </x:c>
      <x:c r="F52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«ананас»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2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21" s="28" t="str">
        <x:v>горечь и терпкость способны подавлять нежные продукты; содержит стимуляторы; аллергенные добавки возможны</x:v>
      </x:c>
      <x:c r="I521" s="28" t="str">
        <x:v>ганаш, плитка, крем, мусс, напиток, глазурь или соус с ананас</x:v>
      </x:c>
      <x:c r="J521" s="28" t="str">
        <x:v>Высокая</x:v>
      </x:c>
      <x:c r="K521" s="28" t="str">
        <x:v>Таблица сочетания(1).pdf | Тезариус вкусов (Ники Сегнит)(1).pdf</x:v>
      </x:c>
      <x:c r="L521" s="28" t="str">
        <x:v>Таблица сочетания(1).pdf: 17; Тезариус вкусов (Ники Сегнит)(1).pdf: 25, 707</x:v>
      </x:c>
    </x:row>
    <x:row r="522" ht="64" customHeight="1">
      <x:c r="A522" s="28" t="str">
        <x:v>NCT-0617</x:v>
      </x:c>
      <x:c r="B522" s="28" t="str">
        <x:v>шоколад</x:v>
      </x:c>
      <x:c r="C522" s="28" t="str">
        <x:v>анис</x:v>
      </x:c>
      <x:c r="D522" s="28" t="str">
        <x:v>Прочее</x:v>
      </x:c>
      <x:c r="E522" s="28" t="str">
        <x:v>сенсорная комплементарность</x:v>
      </x:c>
      <x:c r="F52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«анис»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2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22" s="28" t="str">
        <x:v>горечь и терпкость способны подавлять нежные продукты; содержит стимуляторы; аллергенные добавки возможны</x:v>
      </x:c>
      <x:c r="I522" s="28" t="str">
        <x:v>ганаш, плитка, крем, мусс, напиток, глазурь или соус с анис</x:v>
      </x:c>
      <x:c r="J522" s="28" t="str">
        <x:v>Высокая</x:v>
      </x:c>
      <x:c r="K522" s="28" t="str">
        <x:v>Таблица сочетания(1).pdf | Тезариус вкусов (Ники Сегнит)(1).pdf</x:v>
      </x:c>
      <x:c r="L522" s="28" t="str">
        <x:v>Таблица сочетания(1).pdf: 5; Тезариус вкусов (Ники Сегнит)(1).pdf: 25, 488</x:v>
      </x:c>
    </x:row>
    <x:row r="523" ht="64" customHeight="1">
      <x:c r="A523" s="28" t="str">
        <x:v>NCT-0618</x:v>
      </x:c>
      <x:c r="B523" s="28" t="str">
        <x:v>шоколад</x:v>
      </x:c>
      <x:c r="C523" s="28" t="str">
        <x:v>апельсин</x:v>
      </x:c>
      <x:c r="D523" s="28" t="str">
        <x:v>Фрукты и ягоды</x:v>
      </x:c>
      <x:c r="E523" s="28" t="str">
        <x:v>контраст кислоты и жирной/горькой матрицы</x:v>
      </x:c>
      <x:c r="F52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2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23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523" s="28" t="str">
        <x:v>ганаш, плитка, крем, мусс, напиток, глазурь или соус с апельсин</x:v>
      </x:c>
      <x:c r="J523" s="28" t="str">
        <x:v>Высокая</x:v>
      </x:c>
      <x:c r="K523" s="28" t="str">
        <x:v>The Art &amp; Science of Foodpairing.pdf | Таблица сочетания(1).pdf | Тезариус вкусов (Ники Сегнит)(1).pdf</x:v>
      </x:c>
      <x:c r="L523" s="28" t="str">
        <x:v>The Art &amp; Science of Foodpairing.pdf: 236; Таблица сочетания(1).pdf: 5; Тезариус вкусов (Ники Сегнит)(1).pdf: 26, 783</x:v>
      </x:c>
    </x:row>
    <x:row r="524" ht="64" customHeight="1">
      <x:c r="A524" s="28" t="str">
        <x:v>NCT-0619</x:v>
      </x:c>
      <x:c r="B524" s="28" t="str">
        <x:v>шоколад</x:v>
      </x:c>
      <x:c r="C524" s="28" t="str">
        <x:v>арбуз</x:v>
      </x:c>
      <x:c r="D524" s="28" t="str">
        <x:v>Прочее</x:v>
      </x:c>
      <x:c r="E524" s="28" t="str">
        <x:v>сенсорная комплементарность</x:v>
      </x:c>
      <x:c r="F52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«арбуз»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2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24" s="28" t="str">
        <x:v>горечь и терпкость способны подавлять нежные продукты; содержит стимуляторы; аллергенные добавки возможны</x:v>
      </x:c>
      <x:c r="I524" s="28" t="str">
        <x:v>ганаш, плитка, крем, мусс, напиток, глазурь или соус с арбуз</x:v>
      </x:c>
      <x:c r="J524" s="28" t="str">
        <x:v>Средняя</x:v>
      </x:c>
      <x:c r="K524" s="28" t="str">
        <x:v>Тезариус вкусов (Ники Сегнит)(1).pdf</x:v>
      </x:c>
      <x:c r="L524" s="28" t="str">
        <x:v>Тезариус вкусов (Ники Сегнит)(1).pdf: 27, 662</x:v>
      </x:c>
    </x:row>
    <x:row r="525" ht="64" customHeight="1">
      <x:c r="A525" s="28" t="str">
        <x:v>NCT-0620</x:v>
      </x:c>
      <x:c r="B525" s="28" t="str">
        <x:v>шоколад</x:v>
      </x:c>
      <x:c r="C525" s="28" t="str">
        <x:v>бадьян</x:v>
      </x:c>
      <x:c r="D525" s="28" t="str">
        <x:v>Прочее</x:v>
      </x:c>
      <x:c r="E525" s="28" t="str">
        <x:v>сенсорная комплементарность</x:v>
      </x:c>
      <x:c r="F52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«бадьян»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2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25" s="28" t="str">
        <x:v>горечь и терпкость способны подавлять нежные продукты; содержит стимуляторы; аллергенные добавки возможны</x:v>
      </x:c>
      <x:c r="I525" s="28" t="str">
        <x:v>ганаш, плитка, крем, мусс, напиток, глазурь или соус с бадьян</x:v>
      </x:c>
      <x:c r="J525" s="28" t="str">
        <x:v>Гипотеза / практическая</x:v>
      </x:c>
      <x:c r="K525" s="28" t="str">
        <x:v>Таблица сочетания(1).pdf</x:v>
      </x:c>
      <x:c r="L525" s="28" t="str">
        <x:v>Таблица сочетания(1).pdf: 20</x:v>
      </x:c>
    </x:row>
    <x:row r="526" ht="64" customHeight="1">
      <x:c r="A526" s="28" t="str">
        <x:v>NCT-0621</x:v>
      </x:c>
      <x:c r="B526" s="28" t="str">
        <x:v>шоколад</x:v>
      </x:c>
      <x:c r="C526" s="28" t="str">
        <x:v>базилик</x:v>
      </x:c>
      <x:c r="D526" s="28" t="str">
        <x:v>Травы, цветы и листья</x:v>
      </x:c>
      <x:c r="E526" s="28" t="str">
        <x:v>сенсорная комплементарность</x:v>
      </x:c>
      <x:c r="F52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«базилик»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2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26" s="28" t="str">
        <x:v>горечь и терпкость способны подавлять нежные продукты; содержит стимуляторы; аллергенные добавки возможны</x:v>
      </x:c>
      <x:c r="I526" s="28" t="str">
        <x:v>ганаш, плитка, крем, мусс, напиток, глазурь или соус с базилик</x:v>
      </x:c>
      <x:c r="J526" s="28" t="str">
        <x:v>Средняя</x:v>
      </x:c>
      <x:c r="K526" s="28" t="str">
        <x:v>The Art &amp; Science of Foodpairing.pdf</x:v>
      </x:c>
      <x:c r="L526" s="28" t="str">
        <x:v>The Art &amp; Science of Foodpairing.pdf: 74</x:v>
      </x:c>
    </x:row>
    <x:row r="527" ht="64" customHeight="1">
      <x:c r="A527" s="28" t="str">
        <x:v>NCT-0622</x:v>
      </x:c>
      <x:c r="B527" s="28" t="str">
        <x:v>шоколад</x:v>
      </x:c>
      <x:c r="C527" s="28" t="str">
        <x:v>банан</x:v>
      </x:c>
      <x:c r="D527" s="28" t="str">
        <x:v>Фрукты и ягоды</x:v>
      </x:c>
      <x:c r="E527" s="28" t="str">
        <x:v>пересечение ароматических семейств, контраст кислоты и жирной/горькой матрицы</x:v>
      </x:c>
      <x:c r="F52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«банан» относится к группе «Фрукты и ягоды» и даёт сливочный, фруктовый. Профили пересекаются в семействах: фруктовый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механизм не следует сводить к одной общей молекуле.</x:v>
      </x:c>
      <x:c r="G52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27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527" s="28" t="str">
        <x:v>ганаш, плитка, крем, мусс, напиток, глазурь или соус с банан</x:v>
      </x:c>
      <x:c r="J527" s="28" t="str">
        <x:v>Высокая</x:v>
      </x:c>
      <x:c r="K527" s="28" t="str">
        <x:v>The Art &amp; Science of Foodpairing.pdf | Таблица сочетания(1).pdf | Тезариус вкусов (Ники Сегнит)(1).pdf</x:v>
      </x:c>
      <x:c r="L527" s="28" t="str">
        <x:v>The Art &amp; Science of Foodpairing.pdf: 62, 342; Таблица сочетания(1).pdf: 2, 5; Тезариус вкусов (Ники Сегнит)(1).pdf: 27, 734</x:v>
      </x:c>
    </x:row>
    <x:row r="528" ht="64" customHeight="1">
      <x:c r="A528" s="28" t="str">
        <x:v>NCT-0623</x:v>
      </x:c>
      <x:c r="B528" s="28" t="str">
        <x:v>шоколад</x:v>
      </x:c>
      <x:c r="C528" s="28" t="str">
        <x:v>бекон</x:v>
      </x:c>
      <x:c r="D528" s="28" t="str">
        <x:v>Мясо и птица</x:v>
      </x:c>
      <x:c r="E52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2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«бекон» относится к группе «Мясо и птица» и даёт дымный, жареный,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52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28" s="28" t="str">
        <x:v>горечь и терпкость способны подавлять нежные продукты; содержит стимуляторы; аллергенные добавки возможны</x:v>
      </x:c>
      <x:c r="I528" s="28" t="str">
        <x:v>ганаш, плитка, крем, мусс, напиток, глазурь или соус с бекон</x:v>
      </x:c>
      <x:c r="J528" s="28" t="str">
        <x:v>Средняя</x:v>
      </x:c>
      <x:c r="K528" s="28" t="str">
        <x:v>Тезариус вкусов (Ники Сегнит)(1).pdf</x:v>
      </x:c>
      <x:c r="L528" s="28" t="str">
        <x:v>Тезариус вкусов (Ники Сегнит)(1).pdf: 27, 449</x:v>
      </x:c>
    </x:row>
    <x:row r="529" ht="64" customHeight="1">
      <x:c r="A529" s="28" t="str">
        <x:v>NCT-0624</x:v>
      </x:c>
      <x:c r="B529" s="28" t="str">
        <x:v>шоколад</x:v>
      </x:c>
      <x:c r="C529" s="28" t="str">
        <x:v>белый шоколад</x:v>
      </x:c>
      <x:c r="D529" s="28" t="str">
        <x:v>Какао и шоколад</x:v>
      </x:c>
      <x:c r="E529" s="28" t="str">
        <x:v>жареная химия и реакции Майяра</x:v>
      </x:c>
      <x:c r="F52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«белый шоколад» относится к группе «Какао и шоколад» и даёт сливочный, ванильный, карамельный и маслянистый без выраженного какаового жареного профиля.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2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29" s="28" t="str">
        <x:v>горечь и терпкость способны подавлять нежные продукты; содержит стимуляторы; аллергенные добавки возможны</x:v>
      </x:c>
      <x:c r="I529" s="28" t="str">
        <x:v>ганаш, плитка, крем, мусс, напиток, глазурь или соус с белый шоколад</x:v>
      </x:c>
      <x:c r="J529" s="28" t="str">
        <x:v>Средняя</x:v>
      </x:c>
      <x:c r="K529" s="28" t="str">
        <x:v>Тезариус вкусов (Ники Сегнит)(1).pdf</x:v>
      </x:c>
      <x:c r="L529" s="28" t="str">
        <x:v>Тезариус вкусов (Ники Сегнит)(1).pdf: 926</x:v>
      </x:c>
    </x:row>
    <x:row r="530" ht="64" customHeight="1">
      <x:c r="A530" s="28" t="str">
        <x:v>NCT-0625</x:v>
      </x:c>
      <x:c r="B530" s="28" t="str">
        <x:v>шоколад</x:v>
      </x:c>
      <x:c r="C530" s="28" t="str">
        <x:v>брокколи</x:v>
      </x:c>
      <x:c r="D530" s="28" t="str">
        <x:v>Прочее</x:v>
      </x:c>
      <x:c r="E530" s="28" t="str">
        <x:v>сенсорная комплементарность</x:v>
      </x:c>
      <x:c r="F53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«брокколи»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3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30" s="28" t="str">
        <x:v>горечь и терпкость способны подавлять нежные продукты; содержит стимуляторы; аллергенные добавки возможны</x:v>
      </x:c>
      <x:c r="I530" s="28" t="str">
        <x:v>ганаш, плитка, крем, мусс, напиток, глазурь или соус с брокколи</x:v>
      </x:c>
      <x:c r="J530" s="28" t="str">
        <x:v>Высокая</x:v>
      </x:c>
      <x:c r="K530" s="28" t="str">
        <x:v>The Art &amp; Science of Foodpairing.pdf</x:v>
      </x:c>
      <x:c r="L530" s="28" t="str">
        <x:v>The Art &amp; Science of Foodpairing.pdf: 60</x:v>
      </x:c>
    </x:row>
    <x:row r="531" ht="64" customHeight="1">
      <x:c r="A531" s="28" t="str">
        <x:v>NCT-0626</x:v>
      </x:c>
      <x:c r="B531" s="28" t="str">
        <x:v>шоколад</x:v>
      </x:c>
      <x:c r="C531" s="28" t="str">
        <x:v>ваниль</x:v>
      </x:c>
      <x:c r="D531" s="28" t="str">
        <x:v>Специи</x:v>
      </x:c>
      <x:c r="E531" s="28" t="str">
        <x:v>сенсорная комплементарность</x:v>
      </x:c>
      <x:c r="F53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«ваниль» относится к группе «Специи» и даёт ванильный, цветочный.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3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31" s="28" t="str">
        <x:v>горечь и терпкость способны подавлять нежные продукты; содержит стимуляторы; аллергенные добавки возможны</x:v>
      </x:c>
      <x:c r="I531" s="28" t="str">
        <x:v>ганаш, плитка, крем, мусс, напиток, глазурь или соус с ваниль</x:v>
      </x:c>
      <x:c r="J531" s="28" t="str">
        <x:v>Высокая</x:v>
      </x:c>
      <x:c r="K531" s="28" t="str">
        <x:v>The Art &amp; Science of Foodpairing.pdf | Таблица сочетания(1).pdf | Тезариус вкусов (Ники Сегнит)(1).pdf</x:v>
      </x:c>
      <x:c r="L531" s="28" t="str">
        <x:v>The Art &amp; Science of Foodpairing.pdf: 57; Таблица сочетания(1).pdf: 5, 21; Тезариус вкусов (Ники Сегнит)(1).pdf: 27, 920</x:v>
      </x:c>
    </x:row>
    <x:row r="532" ht="64" customHeight="1">
      <x:c r="A532" s="28" t="str">
        <x:v>NCT-0627</x:v>
      </x:c>
      <x:c r="B532" s="28" t="str">
        <x:v>шоколад</x:v>
      </x:c>
      <x:c r="C532" s="28" t="str">
        <x:v>васаби</x:v>
      </x:c>
      <x:c r="D532" s="28" t="str">
        <x:v>Прочее</x:v>
      </x:c>
      <x:c r="E532" s="28" t="str">
        <x:v>сенсорная комплементарность</x:v>
      </x:c>
      <x:c r="F53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«васаби»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3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32" s="28" t="str">
        <x:v>горечь и терпкость способны подавлять нежные продукты; содержит стимуляторы; аллергенные добавки возможны</x:v>
      </x:c>
      <x:c r="I532" s="28" t="str">
        <x:v>ганаш, плитка, крем, мусс, напиток, глазурь или соус с васаби</x:v>
      </x:c>
      <x:c r="J532" s="28" t="str">
        <x:v>Высокая</x:v>
      </x:c>
      <x:c r="K532" s="28" t="str">
        <x:v>The Art &amp; Science of Foodpairing.pdf</x:v>
      </x:c>
      <x:c r="L532" s="28" t="str">
        <x:v>The Art &amp; Science of Foodpairing.pdf: 62</x:v>
      </x:c>
    </x:row>
    <x:row r="533" ht="64" customHeight="1">
      <x:c r="A533" s="28" t="str">
        <x:v>NCT-0628</x:v>
      </x:c>
      <x:c r="B533" s="28" t="str">
        <x:v>шоколад</x:v>
      </x:c>
      <x:c r="C533" s="28" t="str">
        <x:v>вишня</x:v>
      </x:c>
      <x:c r="D533" s="28" t="str">
        <x:v>Фрукты и ягоды</x:v>
      </x:c>
      <x:c r="E533" s="28" t="str">
        <x:v>общие ароматические соединения, пересечение ароматических семейств, контраст кислоты и жирной/горькой матрицы</x:v>
      </x:c>
      <x:c r="F53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«вишня» относится к группе «Фрукты и ягоды» и даёт миндальный, фруктовый. Молекулярный мост создают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эфиры.</x:v>
      </x:c>
      <x:c r="G53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33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533" s="28" t="str">
        <x:v>ганаш, плитка, крем, мусс, напиток, глазурь или соус с вишня</x:v>
      </x:c>
      <x:c r="J533" s="28" t="str">
        <x:v>Высокая</x:v>
      </x:c>
      <x:c r="K533" s="28" t="str">
        <x:v>Таблица сочетания(1).pdf | Тезариус вкусов (Ники Сегнит)(1).pdf</x:v>
      </x:c>
      <x:c r="L533" s="28" t="str">
        <x:v>Таблица сочетания(1).pdf: 4, 5; Тезариус вкусов (Ники Сегнит)(1).pdf: 28, 657</x:v>
      </x:c>
    </x:row>
    <x:row r="534" ht="64" customHeight="1">
      <x:c r="A534" s="28" t="str">
        <x:v>NCT-0629</x:v>
      </x:c>
      <x:c r="B534" s="28" t="str">
        <x:v>шоколад</x:v>
      </x:c>
      <x:c r="C534" s="28" t="str">
        <x:v>гвоздика</x:v>
      </x:c>
      <x:c r="D534" s="28" t="str">
        <x:v>Специи</x:v>
      </x:c>
      <x:c r="E534" s="28" t="str">
        <x:v>пересечение ароматических семейств</x:v>
      </x:c>
      <x:c r="F53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«гвоздика» относится к группе «Специи» и даёт древесный, пряный, фенольный.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G53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34" s="28" t="str">
        <x:v>горечь и терпкость способны подавлять нежные продукты; содержит стимуляторы; аллергенные добавки возможны</x:v>
      </x:c>
      <x:c r="I534" s="28" t="str">
        <x:v>ганаш, плитка, крем, мусс, напиток, глазурь или соус с гвоздика</x:v>
      </x:c>
      <x:c r="J534" s="28" t="str">
        <x:v>Гипотеза / практическая</x:v>
      </x:c>
      <x:c r="K534" s="28" t="str">
        <x:v>Таблица сочетания(1).pdf</x:v>
      </x:c>
      <x:c r="L534" s="28" t="str">
        <x:v>Таблица сочетания(1).pdf: 5</x:v>
      </x:c>
    </x:row>
    <x:row r="535" ht="64" customHeight="1">
      <x:c r="A535" s="28" t="str">
        <x:v>NCT-0630</x:v>
      </x:c>
      <x:c r="B535" s="28" t="str">
        <x:v>шоколад</x:v>
      </x:c>
      <x:c r="C535" s="28" t="str">
        <x:v>голубика</x:v>
      </x:c>
      <x:c r="D535" s="28" t="str">
        <x:v>Прочее</x:v>
      </x:c>
      <x:c r="E535" s="28" t="str">
        <x:v>сенсорная комплементарность</x:v>
      </x:c>
      <x:c r="F53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«голубика»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3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35" s="28" t="str">
        <x:v>горечь и терпкость способны подавлять нежные продукты; содержит стимуляторы; аллергенные добавки возможны</x:v>
      </x:c>
      <x:c r="I535" s="28" t="str">
        <x:v>ганаш, плитка, крем, мусс, напиток, глазурь или соус с голубика</x:v>
      </x:c>
      <x:c r="J535" s="28" t="str">
        <x:v>Высокая</x:v>
      </x:c>
      <x:c r="K535" s="28" t="str">
        <x:v>The Art &amp; Science of Foodpairing.pdf | Таблица сочетания(1).pdf</x:v>
      </x:c>
      <x:c r="L535" s="28" t="str">
        <x:v>The Art &amp; Science of Foodpairing.pdf: 62; Таблица сочетания(1).pdf: 5</x:v>
      </x:c>
    </x:row>
    <x:row r="536" ht="64" customHeight="1">
      <x:c r="A536" s="28" t="str">
        <x:v>NCT-0631</x:v>
      </x:c>
      <x:c r="B536" s="28" t="str">
        <x:v>шоколад</x:v>
      </x:c>
      <x:c r="C536" s="28" t="str">
        <x:v>грана падано</x:v>
      </x:c>
      <x:c r="D536" s="28" t="str">
        <x:v>Прочее</x:v>
      </x:c>
      <x:c r="E536" s="28" t="str">
        <x:v>сенсорная комплементарность</x:v>
      </x:c>
      <x:c r="F53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«грана падано»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3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36" s="28" t="str">
        <x:v>горечь и терпкость способны подавлять нежные продукты; содержит стимуляторы; аллергенные добавки возможны</x:v>
      </x:c>
      <x:c r="I536" s="28" t="str">
        <x:v>ганаш, плитка, крем, мусс, напиток, глазурь или соус с грана падано</x:v>
      </x:c>
      <x:c r="J536" s="28" t="str">
        <x:v>Средняя</x:v>
      </x:c>
      <x:c r="K536" s="28" t="str">
        <x:v>The Art &amp; Science of Foodpairing.pdf</x:v>
      </x:c>
      <x:c r="L536" s="28" t="str">
        <x:v>The Art &amp; Science of Foodpairing.pdf: 62</x:v>
      </x:c>
    </x:row>
    <x:row r="537" ht="64" customHeight="1">
      <x:c r="A537" s="28" t="str">
        <x:v>NCT-0632</x:v>
      </x:c>
      <x:c r="B537" s="28" t="str">
        <x:v>шоколад</x:v>
      </x:c>
      <x:c r="C537" s="28" t="str">
        <x:v>гранат</x:v>
      </x:c>
      <x:c r="D537" s="28" t="str">
        <x:v>Прочее</x:v>
      </x:c>
      <x:c r="E537" s="28" t="str">
        <x:v>сенсорная комплементарность</x:v>
      </x:c>
      <x:c r="F53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«гранат»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3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37" s="28" t="str">
        <x:v>горечь и терпкость способны подавлять нежные продукты; содержит стимуляторы; аллергенные добавки возможны</x:v>
      </x:c>
      <x:c r="I537" s="28" t="str">
        <x:v>ганаш, плитка, крем, мусс, напиток, глазурь или соус с гранат</x:v>
      </x:c>
      <x:c r="J537" s="28" t="str">
        <x:v>Гипотеза / практическая</x:v>
      </x:c>
      <x:c r="K537" s="28" t="str">
        <x:v>Таблица сочетания(1).pdf</x:v>
      </x:c>
      <x:c r="L537" s="28" t="str">
        <x:v>Таблица сочетания(1).pdf: 17</x:v>
      </x:c>
    </x:row>
    <x:row r="538" ht="64" customHeight="1">
      <x:c r="A538" s="28" t="str">
        <x:v>NCT-0633</x:v>
      </x:c>
      <x:c r="B538" s="28" t="str">
        <x:v>шоколад</x:v>
      </x:c>
      <x:c r="C538" s="28" t="str">
        <x:v>груша</x:v>
      </x:c>
      <x:c r="D538" s="28" t="str">
        <x:v>Фрукты и ягоды</x:v>
      </x:c>
      <x:c r="E538" s="28" t="str">
        <x:v>общие ароматические соединения, пересечение ароматических семейств, контраст кислоты и жирной/горькой матрицы</x:v>
      </x:c>
      <x:c r="F53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«груша»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G53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38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538" s="28" t="str">
        <x:v>ганаш, плитка, крем, мусс, напиток, глазурь или соус с груша</x:v>
      </x:c>
      <x:c r="J538" s="28" t="str">
        <x:v>Высокая</x:v>
      </x:c>
      <x:c r="K538" s="28" t="str">
        <x:v>Таблица сочетания(1).pdf | Тезариус вкусов (Ники Сегнит)(1).pdf</x:v>
      </x:c>
      <x:c r="L538" s="28" t="str">
        <x:v>Таблица сочетания(1).pdf: 16; Тезариус вкусов (Ники Сегнит)(1).pdf: 28, 727</x:v>
      </x:c>
    </x:row>
    <x:row r="539" ht="64" customHeight="1">
      <x:c r="A539" s="28" t="str">
        <x:v>NCT-0634</x:v>
      </x:c>
      <x:c r="B539" s="28" t="str">
        <x:v>шоколад</x:v>
      </x:c>
      <x:c r="C539" s="28" t="str">
        <x:v>дорадо</x:v>
      </x:c>
      <x:c r="D539" s="28" t="str">
        <x:v>Прочее</x:v>
      </x:c>
      <x:c r="E539" s="28" t="str">
        <x:v>сенсорная комплементарность</x:v>
      </x:c>
      <x:c r="F53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«дорадо»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3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39" s="28" t="str">
        <x:v>горечь и терпкость способны подавлять нежные продукты; содержит стимуляторы; аллергенные добавки возможны</x:v>
      </x:c>
      <x:c r="I539" s="28" t="str">
        <x:v>ганаш, плитка, крем, мусс, напиток, глазурь или соус с дорадо</x:v>
      </x:c>
      <x:c r="J539" s="28" t="str">
        <x:v>Средняя</x:v>
      </x:c>
      <x:c r="K539" s="28" t="str">
        <x:v>The Art &amp; Science of Foodpairing.pdf</x:v>
      </x:c>
      <x:c r="L539" s="28" t="str">
        <x:v>The Art &amp; Science of Foodpairing.pdf: 62</x:v>
      </x:c>
    </x:row>
    <x:row r="540" ht="64" customHeight="1">
      <x:c r="A540" s="28" t="str">
        <x:v>NCT-0635</x:v>
      </x:c>
      <x:c r="B540" s="28" t="str">
        <x:v>шоколад</x:v>
      </x:c>
      <x:c r="C540" s="28" t="str">
        <x:v>ежевика</x:v>
      </x:c>
      <x:c r="D540" s="28" t="str">
        <x:v>Прочее</x:v>
      </x:c>
      <x:c r="E540" s="28" t="str">
        <x:v>сенсорная комплементарность</x:v>
      </x:c>
      <x:c r="F54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«ежевика»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4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40" s="28" t="str">
        <x:v>горечь и терпкость способны подавлять нежные продукты; содержит стимуляторы; аллергенные добавки возможны</x:v>
      </x:c>
      <x:c r="I540" s="28" t="str">
        <x:v>ганаш, плитка, крем, мусс, напиток, глазурь или соус с ежевика</x:v>
      </x:c>
      <x:c r="J540" s="28" t="str">
        <x:v>Гипотеза / практическая</x:v>
      </x:c>
      <x:c r="K540" s="28" t="str">
        <x:v>Таблица сочетания(1).pdf</x:v>
      </x:c>
      <x:c r="L540" s="28" t="str">
        <x:v>Таблица сочетания(1).pdf: 2</x:v>
      </x:c>
    </x:row>
    <x:row r="541" ht="64" customHeight="1">
      <x:c r="A541" s="28" t="str">
        <x:v>NCT-0636</x:v>
      </x:c>
      <x:c r="B541" s="28" t="str">
        <x:v>шоколад</x:v>
      </x:c>
      <x:c r="C541" s="28" t="str">
        <x:v>запечённая свёкла</x:v>
      </x:c>
      <x:c r="D541" s="28" t="str">
        <x:v>Овощи, бобовые и грибы</x:v>
      </x:c>
      <x:c r="E541" s="28" t="str">
        <x:v>сенсорная комплементарность</x:v>
      </x:c>
      <x:c r="F54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«запечённая свёкла» относится к группе «Овощи, бобовые и грибы» и даёт землистый, сладкий.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4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41" s="28" t="str">
        <x:v>горечь и терпкость способны подавлять нежные продукты; содержит стимуляторы; аллергенные добавки возможны</x:v>
      </x:c>
      <x:c r="I541" s="28" t="str">
        <x:v>ганаш, плитка, крем, мусс, напиток, глазурь или соус с запечённая свёкла</x:v>
      </x:c>
      <x:c r="J541" s="28" t="str">
        <x:v>Средняя</x:v>
      </x:c>
      <x:c r="K541" s="28" t="str">
        <x:v>The Art &amp; Science of Foodpairing.pdf</x:v>
      </x:c>
      <x:c r="L541" s="28" t="str">
        <x:v>The Art &amp; Science of Foodpairing.pdf: 62</x:v>
      </x:c>
    </x:row>
    <x:row r="542" ht="64" customHeight="1">
      <x:c r="A542" s="28" t="str">
        <x:v>NCT-0637</x:v>
      </x:c>
      <x:c r="B542" s="28" t="str">
        <x:v>шоколад</x:v>
      </x:c>
      <x:c r="C542" s="28" t="str">
        <x:v>зелёный чай</x:v>
      </x:c>
      <x:c r="D542" s="28" t="str">
        <x:v>Чай</x:v>
      </x:c>
      <x:c r="E542" s="28" t="str">
        <x:v>сенсорная комплементарность</x:v>
      </x:c>
      <x:c r="F54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«зелёный чай» относится к группе «Чай» и даёт зелёный, морской, травянистый, цветочный и слегка жареный; у матча — умами.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4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42" s="28" t="str">
        <x:v>горечь и терпкость способны подавлять нежные продукты; содержит стимуляторы; аллергенные добавки возможны</x:v>
      </x:c>
      <x:c r="I542" s="28" t="str">
        <x:v>ганаш, плитка, крем, мусс, напиток, глазурь или соус с зелёный чай</x:v>
      </x:c>
      <x:c r="J542" s="28" t="str">
        <x:v>Средняя</x:v>
      </x:c>
      <x:c r="K542" s="28" t="str">
        <x:v>The Art &amp; Science of Foodpairing.pdf</x:v>
      </x:c>
      <x:c r="L542" s="28" t="str">
        <x:v>The Art &amp; Science of Foodpairing.pdf: 62</x:v>
      </x:c>
    </x:row>
    <x:row r="543" ht="64" customHeight="1">
      <x:c r="A543" s="28" t="str">
        <x:v>NCT-0638</x:v>
      </x:c>
      <x:c r="B543" s="28" t="str">
        <x:v>шоколад</x:v>
      </x:c>
      <x:c r="C543" s="28" t="str">
        <x:v>имбирь</x:v>
      </x:c>
      <x:c r="D543" s="28" t="str">
        <x:v>Специи</x:v>
      </x:c>
      <x:c r="E543" s="28" t="str">
        <x:v>сенсорная комплементарность</x:v>
      </x:c>
      <x:c r="F54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«имбирь» относится к группе «Специи» и даёт пряный, тёплый, цитрусовый.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4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43" s="28" t="str">
        <x:v>горечь и терпкость способны подавлять нежные продукты; содержит стимуляторы; аллергенные добавки возможны</x:v>
      </x:c>
      <x:c r="I543" s="28" t="str">
        <x:v>ганаш, плитка, крем, мусс, напиток, глазурь или соус с имбирь</x:v>
      </x:c>
      <x:c r="J543" s="28" t="str">
        <x:v>Средняя</x:v>
      </x:c>
      <x:c r="K543" s="28" t="str">
        <x:v>Тезариус вкусов (Ники Сегнит)(1).pdf</x:v>
      </x:c>
      <x:c r="L543" s="28" t="str">
        <x:v>Тезариус вкусов (Ники Сегнит)(1).pdf: 29, 822</x:v>
      </x:c>
    </x:row>
    <x:row r="544" ht="64" customHeight="1">
      <x:c r="A544" s="28" t="str">
        <x:v>NCT-0639</x:v>
      </x:c>
      <x:c r="B544" s="28" t="str">
        <x:v>шоколад</x:v>
      </x:c>
      <x:c r="C544" s="28" t="str">
        <x:v>инжир</x:v>
      </x:c>
      <x:c r="D544" s="28" t="str">
        <x:v>Фрукты и ягоды</x:v>
      </x:c>
      <x:c r="E544" s="28" t="str">
        <x:v>общие ароматические соединения, пересечение ароматических семейств, контраст кислоты и жирной/горькой матрицы</x:v>
      </x:c>
      <x:c r="F54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«инжир»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G54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44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544" s="28" t="str">
        <x:v>ганаш, плитка, крем, мусс, напиток, глазурь или соус с инжир</x:v>
      </x:c>
      <x:c r="J544" s="28" t="str">
        <x:v>Средняя</x:v>
      </x:c>
      <x:c r="K544" s="28" t="str">
        <x:v>Тезариус вкусов (Ники Сегнит)(1).pdf</x:v>
      </x:c>
      <x:c r="L544" s="28" t="str">
        <x:v>Тезариус вкусов (Ники Сегнит)(1).pdf: 29, 896</x:v>
      </x:c>
    </x:row>
    <x:row r="545" ht="64" customHeight="1">
      <x:c r="A545" s="28" t="str">
        <x:v>NCT-0640</x:v>
      </x:c>
      <x:c r="B545" s="28" t="str">
        <x:v>шоколад</x:v>
      </x:c>
      <x:c r="C545" s="28" t="str">
        <x:v>кабачок</x:v>
      </x:c>
      <x:c r="D545" s="28" t="str">
        <x:v>Овощи, бобовые и грибы</x:v>
      </x:c>
      <x:c r="E545" s="28" t="str">
        <x:v>общие ароматические соединения</x:v>
      </x:c>
      <x:c r="F54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«кабачок»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54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45" s="28" t="str">
        <x:v>горечь и терпкость способны подавлять нежные продукты; содержит стимуляторы; аллергенные добавки возможны</x:v>
      </x:c>
      <x:c r="I545" s="28" t="str">
        <x:v>ганаш, плитка, крем, мусс, напиток, глазурь или соус с кабачок</x:v>
      </x:c>
      <x:c r="J545" s="28" t="str">
        <x:v>Средняя</x:v>
      </x:c>
      <x:c r="K545" s="28" t="str">
        <x:v>The Art &amp; Science of Foodpairing.pdf</x:v>
      </x:c>
      <x:c r="L545" s="28" t="str">
        <x:v>The Art &amp; Science of Foodpairing.pdf: 62</x:v>
      </x:c>
    </x:row>
    <x:row r="546" ht="64" customHeight="1">
      <x:c r="A546" s="28" t="str">
        <x:v>NCT-0641</x:v>
      </x:c>
      <x:c r="B546" s="28" t="str">
        <x:v>шоколад</x:v>
      </x:c>
      <x:c r="C546" s="28" t="str">
        <x:v>карамель</x:v>
      </x:c>
      <x:c r="D546" s="28" t="str">
        <x:v>Выпечка, сахара и десерты</x:v>
      </x:c>
      <x:c r="E546" s="28" t="str">
        <x:v>общие ароматические соединения, пересечение ароматических семейств, жареная химия и реакции Майяра</x:v>
      </x:c>
      <x:c r="F54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«карамель» относится к группе «Выпечка, сахара и десерты» и даёт жареный, карамельный. Молекулярный мост создают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жареный; фураны.</x:v>
      </x:c>
      <x:c r="G54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46" s="28" t="str">
        <x:v>горечь и терпкость способны подавлять нежные продукты; содержит стимуляторы; аллергенные добавки возможны</x:v>
      </x:c>
      <x:c r="I546" s="28" t="str">
        <x:v>ганаш, плитка, крем, мусс, напиток, глазурь или соус с карамель</x:v>
      </x:c>
      <x:c r="J546" s="28" t="str">
        <x:v>Гипотеза / практическая</x:v>
      </x:c>
      <x:c r="K546" s="28" t="str">
        <x:v>Таблица сочетания(1).pdf</x:v>
      </x:c>
      <x:c r="L546" s="28" t="str">
        <x:v>Таблица сочетания(1).pdf: 3, 5</x:v>
      </x:c>
    </x:row>
    <x:row r="547" ht="64" customHeight="1">
      <x:c r="A547" s="28" t="str">
        <x:v>NCT-0642</x:v>
      </x:c>
      <x:c r="B547" s="28" t="str">
        <x:v>шоколад</x:v>
      </x:c>
      <x:c r="C547" s="28" t="str">
        <x:v>кардамон</x:v>
      </x:c>
      <x:c r="D547" s="28" t="str">
        <x:v>Специи</x:v>
      </x:c>
      <x:c r="E547" s="28" t="str">
        <x:v>сенсорная комплементарность</x:v>
      </x:c>
      <x:c r="F54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«кардамон» относится к группе «Специи» и даёт камфорный, цветочный, цитрусовый.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4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47" s="28" t="str">
        <x:v>горечь и терпкость способны подавлять нежные продукты; содержит стимуляторы; аллергенные добавки возможны</x:v>
      </x:c>
      <x:c r="I547" s="28" t="str">
        <x:v>ганаш, плитка, крем, мусс, напиток, глазурь или соус с кардамон</x:v>
      </x:c>
      <x:c r="J547" s="28" t="str">
        <x:v>Средняя</x:v>
      </x:c>
      <x:c r="K547" s="28" t="str">
        <x:v>Тезариус вкусов (Ники Сегнит)(1).pdf</x:v>
      </x:c>
      <x:c r="L547" s="28" t="str">
        <x:v>Тезариус вкусов (Ники Сегнит)(1).pdf: 29, 830</x:v>
      </x:c>
    </x:row>
    <x:row r="548" ht="64" customHeight="1">
      <x:c r="A548" s="28" t="str">
        <x:v>NCT-0643</x:v>
      </x:c>
      <x:c r="B548" s="28" t="str">
        <x:v>шоколад</x:v>
      </x:c>
      <x:c r="C548" s="28" t="str">
        <x:v>кленовый сироп</x:v>
      </x:c>
      <x:c r="D548" s="28" t="str">
        <x:v>Выпечка, сахара и десерты</x:v>
      </x:c>
      <x:c r="E548" s="28" t="str">
        <x:v>общие ароматические соединения, пересечение ароматических семейств, жареная химия и реакции Майяра</x:v>
      </x:c>
      <x:c r="F54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«кленовый сироп» относится к группе «Выпечка, сахара и десерты» и даёт сладкий, карамельный и жареный.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жареный; пиразины, фураны.</x:v>
      </x:c>
      <x:c r="G54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48" s="28" t="str">
        <x:v>горечь и терпкость способны подавлять нежные продукты; содержит стимуляторы; аллергенные добавки возможны</x:v>
      </x:c>
      <x:c r="I548" s="28" t="str">
        <x:v>ганаш, плитка, крем, мусс, напиток, глазурь или соус с кленовый сироп</x:v>
      </x:c>
      <x:c r="J548" s="28" t="str">
        <x:v>Гипотеза / практическая</x:v>
      </x:c>
      <x:c r="K548" s="28" t="str">
        <x:v>Таблица сочетания(1).pdf</x:v>
      </x:c>
      <x:c r="L548" s="28" t="str">
        <x:v>Таблица сочетания(1).pdf: 5, 13</x:v>
      </x:c>
    </x:row>
    <x:row r="549" ht="64" customHeight="1">
      <x:c r="A549" s="28" t="str">
        <x:v>NCT-0644</x:v>
      </x:c>
      <x:c r="B549" s="28" t="str">
        <x:v>шоколад</x:v>
      </x:c>
      <x:c r="C549" s="28" t="str">
        <x:v>клубника</x:v>
      </x:c>
      <x:c r="D549" s="28" t="str">
        <x:v>Прочее</x:v>
      </x:c>
      <x:c r="E549" s="28" t="str">
        <x:v>общие ароматические соединения, пересечение ароматических семейств</x:v>
      </x:c>
      <x:c r="F54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«клубника» относится к группе «Прочее» и даёт зелёный, карамельный, фруктовый. Молекулярный мост создают эфиры Какао-масло медленно высвобождает липофильные ароматы, а сахар и соль изменяют воспринимаемую горечь. Итог: фруктовый; эфиры.</x:v>
      </x:c>
      <x:c r="G54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49" s="28" t="str">
        <x:v>горечь и терпкость способны подавлять нежные продукты; содержит стимуляторы; аллергенные добавки возможны</x:v>
      </x:c>
      <x:c r="I549" s="28" t="str">
        <x:v>ганаш, плитка, крем, мусс, напиток, глазурь или соус с клубника</x:v>
      </x:c>
      <x:c r="J549" s="28" t="str">
        <x:v>Высокая</x:v>
      </x:c>
      <x:c r="K549" s="28" t="str">
        <x:v>Таблица сочетания(1).pdf | Тезариус вкусов (Ники Сегнит)(1).pdf</x:v>
      </x:c>
      <x:c r="L549" s="28" t="str">
        <x:v>Таблица сочетания(1).pdf: 5, 20; Тезариус вкусов (Ники Сегнит)(1).pdf: 31, 699</x:v>
      </x:c>
    </x:row>
    <x:row r="550" ht="64" customHeight="1">
      <x:c r="A550" s="28" t="str">
        <x:v>NCT-0645</x:v>
      </x:c>
      <x:c r="B550" s="28" t="str">
        <x:v>шоколад</x:v>
      </x:c>
      <x:c r="C550" s="28" t="str">
        <x:v>клюква</x:v>
      </x:c>
      <x:c r="D550" s="28" t="str">
        <x:v>Прочее</x:v>
      </x:c>
      <x:c r="E550" s="28" t="str">
        <x:v>сенсорная комплементарность</x:v>
      </x:c>
      <x:c r="F55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«клюква»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5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50" s="28" t="str">
        <x:v>горечь и терпкость способны подавлять нежные продукты; содержит стимуляторы; аллергенные добавки возможны</x:v>
      </x:c>
      <x:c r="I550" s="28" t="str">
        <x:v>ганаш, плитка, крем, мусс, напиток, глазурь или соус с клюква</x:v>
      </x:c>
      <x:c r="J550" s="28" t="str">
        <x:v>Средняя</x:v>
      </x:c>
      <x:c r="K550" s="28" t="str">
        <x:v>The Art &amp; Science of Foodpairing.pdf</x:v>
      </x:c>
      <x:c r="L550" s="28" t="str">
        <x:v>The Art &amp; Science of Foodpairing.pdf: 62</x:v>
      </x:c>
    </x:row>
    <x:row r="551" ht="64" customHeight="1">
      <x:c r="A551" s="28" t="str">
        <x:v>NCT-0646</x:v>
      </x:c>
      <x:c r="B551" s="28" t="str">
        <x:v>шоколад</x:v>
      </x:c>
      <x:c r="C551" s="28" t="str">
        <x:v>козий сыр</x:v>
      </x:c>
      <x:c r="D551" s="28" t="str">
        <x:v>Молочные продукты и сыры</x:v>
      </x:c>
      <x:c r="E551" s="28" t="str">
        <x:v>жировая экстракция и связывание полифенолов белком</x:v>
      </x:c>
      <x:c r="F55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«козий сыр» относится к группе «Молочные продукты и сыры» и даёт молочный, умами, ферментированный. Жир растворяет гидрофобные одоранты и сглаживает горечь; белок может связывать часть танинов и полифенолов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5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51" s="28" t="str">
        <x:v>горечь и терпкость способны подавлять нежные продукты; содержит стимуляторы; аллергенные добавки возможны; жир способен приглушить тонкую ароматику; белок связывает полифенолы</x:v>
      </x:c>
      <x:c r="I551" s="28" t="str">
        <x:v>ганаш, плитка, крем, мусс, напиток, глазурь или соус с козий сыр</x:v>
      </x:c>
      <x:c r="J551" s="28" t="str">
        <x:v>Средняя</x:v>
      </x:c>
      <x:c r="K551" s="28" t="str">
        <x:v>Тезариус вкусов (Ники Сегнит)(1).pdf</x:v>
      </x:c>
      <x:c r="L551" s="28" t="str">
        <x:v>Тезариус вкусов (Ники Сегнит)(1).pdf: 31, 145</x:v>
      </x:c>
    </x:row>
    <x:row r="552" ht="64" customHeight="1">
      <x:c r="A552" s="28" t="str">
        <x:v>NCT-0647</x:v>
      </x:c>
      <x:c r="B552" s="28" t="str">
        <x:v>шоколад</x:v>
      </x:c>
      <x:c r="C552" s="28" t="str">
        <x:v>кокос</x:v>
      </x:c>
      <x:c r="D552" s="28" t="str">
        <x:v>Прочее</x:v>
      </x:c>
      <x:c r="E552" s="28" t="str">
        <x:v>сенсорная комплементарность</x:v>
      </x:c>
      <x:c r="F55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«кокос» относится к группе «Прочее» и даёт лактонный, сливочный.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5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52" s="28" t="str">
        <x:v>горечь и терпкость способны подавлять нежные продукты; содержит стимуляторы; аллергенные добавки возможны</x:v>
      </x:c>
      <x:c r="I552" s="28" t="str">
        <x:v>ганаш, плитка, крем, мусс, напиток, глазурь или соус с кокос</x:v>
      </x:c>
      <x:c r="J552" s="28" t="str">
        <x:v>Высокая</x:v>
      </x:c>
      <x:c r="K552" s="28" t="str">
        <x:v>Таблица сочетания(1).pdf | Тезариус вкусов (Ники Сегнит)(1).pdf</x:v>
      </x:c>
      <x:c r="L552" s="28" t="str">
        <x:v>Таблица сочетания(1).pdf: 5; Тезариус вкусов (Ники Сегнит)(1).pdf: 31, 761</x:v>
      </x:c>
    </x:row>
    <x:row r="553" ht="64" customHeight="1">
      <x:c r="A553" s="28" t="str">
        <x:v>NCT-0648</x:v>
      </x:c>
      <x:c r="B553" s="28" t="str">
        <x:v>шоколад</x:v>
      </x:c>
      <x:c r="C553" s="28" t="str">
        <x:v>кокосовая вода</x:v>
      </x:c>
      <x:c r="D553" s="28" t="str">
        <x:v>Прочее</x:v>
      </x:c>
      <x:c r="E553" s="28" t="str">
        <x:v>сенсорная комплементарность</x:v>
      </x:c>
      <x:c r="F55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«кокосовая вода» относится к группе «Прочее» и даёт лактонный, сливочный.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5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53" s="28" t="str">
        <x:v>горечь и терпкость способны подавлять нежные продукты; содержит стимуляторы; аллергенные добавки возможны</x:v>
      </x:c>
      <x:c r="I553" s="28" t="str">
        <x:v>ганаш, плитка, крем, мусс, напиток, глазурь или соус с кокосовая вода</x:v>
      </x:c>
      <x:c r="J553" s="28" t="str">
        <x:v>Средняя</x:v>
      </x:c>
      <x:c r="K553" s="28" t="str">
        <x:v>The Art &amp; Science of Foodpairing.pdf</x:v>
      </x:c>
      <x:c r="L553" s="28" t="str">
        <x:v>The Art &amp; Science of Foodpairing.pdf: 62</x:v>
      </x:c>
    </x:row>
    <x:row r="554" ht="64" customHeight="1">
      <x:c r="A554" s="28" t="str">
        <x:v>NCT-0649</x:v>
      </x:c>
      <x:c r="B554" s="28" t="str">
        <x:v>шоколад</x:v>
      </x:c>
      <x:c r="C554" s="28" t="str">
        <x:v>кольраби</x:v>
      </x:c>
      <x:c r="D554" s="28" t="str">
        <x:v>Прочее</x:v>
      </x:c>
      <x:c r="E554" s="28" t="str">
        <x:v>сенсорная комплементарность</x:v>
      </x:c>
      <x:c r="F55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«кольраби»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5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54" s="28" t="str">
        <x:v>горечь и терпкость способны подавлять нежные продукты; содержит стимуляторы; аллергенные добавки возможны</x:v>
      </x:c>
      <x:c r="I554" s="28" t="str">
        <x:v>ганаш, плитка, крем, мусс, напиток, глазурь или соус с кольраби</x:v>
      </x:c>
      <x:c r="J554" s="28" t="str">
        <x:v>Средняя</x:v>
      </x:c>
      <x:c r="K554" s="28" t="str">
        <x:v>The Art &amp; Science of Foodpairing.pdf</x:v>
      </x:c>
      <x:c r="L554" s="28" t="str">
        <x:v>The Art &amp; Science of Foodpairing.pdf: 62</x:v>
      </x:c>
    </x:row>
    <x:row r="555" ht="64" customHeight="1">
      <x:c r="A555" s="28" t="str">
        <x:v>NCT-0650</x:v>
      </x:c>
      <x:c r="B555" s="28" t="str">
        <x:v>шоколад</x:v>
      </x:c>
      <x:c r="C555" s="28" t="str">
        <x:v>корица</x:v>
      </x:c>
      <x:c r="D555" s="28" t="str">
        <x:v>Специи</x:v>
      </x:c>
      <x:c r="E555" s="28" t="str">
        <x:v>пересечение ароматических семейств</x:v>
      </x:c>
      <x:c r="F55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«корица» относится к группе «Специи» и даёт древесный, пряный.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G55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55" s="28" t="str">
        <x:v>горечь и терпкость способны подавлять нежные продукты; содержит стимуляторы; аллергенные добавки возможны</x:v>
      </x:c>
      <x:c r="I555" s="28" t="str">
        <x:v>ганаш, плитка, крем, мусс, напиток, глазурь или соус с корица</x:v>
      </x:c>
      <x:c r="J555" s="28" t="str">
        <x:v>Высокая</x:v>
      </x:c>
      <x:c r="K555" s="28" t="str">
        <x:v>The Art &amp; Science of Foodpairing.pdf | Таблица сочетания(1).pdf | Тезариус вкусов (Ники Сегнит)(1).pdf</x:v>
      </x:c>
      <x:c r="L555" s="28" t="str">
        <x:v>The Art &amp; Science of Foodpairing.pdf: 62; Таблица сочетания(1).pdf: 5; Тезариус вкусов (Ники Сегнит)(1).pdf: 32, 580</x:v>
      </x:c>
    </x:row>
    <x:row r="556" ht="64" customHeight="1">
      <x:c r="A556" s="28" t="str">
        <x:v>NCT-0651</x:v>
      </x:c>
      <x:c r="B556" s="28" t="str">
        <x:v>шоколад</x:v>
      </x:c>
      <x:c r="C556" s="28" t="str">
        <x:v>корица и кассия</x:v>
      </x:c>
      <x:c r="D556" s="28" t="str">
        <x:v>Специи</x:v>
      </x:c>
      <x:c r="E556" s="28" t="str">
        <x:v>пересечение ароматических семейств</x:v>
      </x:c>
      <x:c r="F55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«корица и кассия» относится к группе «Специи» и даёт древесный, пряный.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G55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56" s="28" t="str">
        <x:v>горечь и терпкость способны подавлять нежные продукты; содержит стимуляторы; аллергенные добавки возможны</x:v>
      </x:c>
      <x:c r="I556" s="28" t="str">
        <x:v>ганаш, плитка, крем, мусс, напиток, глазурь или соус с корица и кассия</x:v>
      </x:c>
      <x:c r="J556" s="28" t="str">
        <x:v>Средняя</x:v>
      </x:c>
      <x:c r="K556" s="28" t="str">
        <x:v>The Art &amp; Science of Foodpairing.pdf</x:v>
      </x:c>
      <x:c r="L556" s="28" t="str">
        <x:v>The Art &amp; Science of Foodpairing.pdf: 130</x:v>
      </x:c>
    </x:row>
    <x:row r="557" ht="64" customHeight="1">
      <x:c r="A557" s="28" t="str">
        <x:v>NCT-0652</x:v>
      </x:c>
      <x:c r="B557" s="28" t="str">
        <x:v>шоколад</x:v>
      </x:c>
      <x:c r="C557" s="28" t="str">
        <x:v>кофе</x:v>
      </x:c>
      <x:c r="D557" s="28" t="str">
        <x:v>Кофе</x:v>
      </x:c>
      <x:c r="E557" s="28" t="str">
        <x:v>общие ароматические соединения, пересечение ароматических семейств, жареная химия и реакции Майяра</x:v>
      </x:c>
      <x:c r="F55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«кофе» относится к группе «Кофе» и даёт жареный, ореховый, карамельный, цветочный, фруктовый, фенольный и древесный. Молекулярный мост создают пиразины, фураны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жареный; пиразины, фураны.</x:v>
      </x:c>
      <x:c r="G55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57" s="28" t="str">
        <x:v>горечь и терпкость способны подавлять нежные продукты; содержит стимуляторы; аллергенные добавки возможны</x:v>
      </x:c>
      <x:c r="I557" s="28" t="str">
        <x:v>ганаш, плитка, крем, мусс, напиток, глазурь или соус с кофе</x:v>
      </x:c>
      <x:c r="J557" s="28" t="str">
        <x:v>Высокая</x:v>
      </x:c>
      <x:c r="K557" s="28" t="str">
        <x:v>The Art &amp; Science of Foodpairing.pdf | Таблица сочетания(1).pdf | Тезариус вкусов (Ники Сегнит)(1).pdf</x:v>
      </x:c>
      <x:c r="L557" s="28" t="str">
        <x:v>The Art &amp; Science of Foodpairing.pdf: 62, 296, 297; Таблица сочетания(1).pdf: 5, 6; Тезариус вкусов (Ники Сегнит)(1).pdf: 32, 48</x:v>
      </x:c>
    </x:row>
    <x:row r="558" ht="64" customHeight="1">
      <x:c r="A558" s="28" t="str">
        <x:v>NCT-0653</x:v>
      </x:c>
      <x:c r="B558" s="28" t="str">
        <x:v>шоколад</x:v>
      </x:c>
      <x:c r="C558" s="28" t="str">
        <x:v>красный апельсин</x:v>
      </x:c>
      <x:c r="D558" s="28" t="str">
        <x:v>Фрукты и ягоды</x:v>
      </x:c>
      <x:c r="E558" s="28" t="str">
        <x:v>контраст кислоты и жирной/горькой матрицы</x:v>
      </x:c>
      <x:c r="F55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«красный апельсин» относится к группе «Фрукты и ягоды» и даёт сладкий, цитрусовый.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5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58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558" s="28" t="str">
        <x:v>ганаш, плитка, крем, мусс, напиток, глазурь или соус с красный апельсин</x:v>
      </x:c>
      <x:c r="J558" s="28" t="str">
        <x:v>Гипотеза / практическая</x:v>
      </x:c>
      <x:c r="K558" s="28" t="str">
        <x:v>Таблица сочетания(1).pdf</x:v>
      </x:c>
      <x:c r="L558" s="28" t="str">
        <x:v>Таблица сочетания(1).pdf: 3</x:v>
      </x:c>
    </x:row>
    <x:row r="559" ht="64" customHeight="1">
      <x:c r="A559" s="28" t="str">
        <x:v>NCT-0654</x:v>
      </x:c>
      <x:c r="B559" s="28" t="str">
        <x:v>шоколад</x:v>
      </x:c>
      <x:c r="C559" s="28" t="str">
        <x:v>лайм</x:v>
      </x:c>
      <x:c r="D559" s="28" t="str">
        <x:v>Фрукты и ягоды</x:v>
      </x:c>
      <x:c r="E559" s="28" t="str">
        <x:v>контраст кислоты и жирной/горькой матрицы</x:v>
      </x:c>
      <x:c r="F55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«лайм» относится к группе «Фрукты и ягоды» и даёт зелёный, цитрусовый.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5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59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559" s="28" t="str">
        <x:v>ганаш, плитка, крем, мусс, напиток, глазурь или соус с лайм</x:v>
      </x:c>
      <x:c r="J559" s="28" t="str">
        <x:v>Средняя</x:v>
      </x:c>
      <x:c r="K559" s="28" t="str">
        <x:v>Тезариус вкусов (Ники Сегнит)(1).pdf</x:v>
      </x:c>
      <x:c r="L559" s="28" t="str">
        <x:v>Тезариус вкусов (Ники Сегнит)(1).pdf: 32, 798</x:v>
      </x:c>
    </x:row>
    <x:row r="560" ht="64" customHeight="1">
      <x:c r="A560" s="28" t="str">
        <x:v>NCT-0655</x:v>
      </x:c>
      <x:c r="B560" s="28" t="str">
        <x:v>шоколад</x:v>
      </x:c>
      <x:c r="C560" s="28" t="str">
        <x:v>лимон</x:v>
      </x:c>
      <x:c r="D560" s="28" t="str">
        <x:v>Фрукты и ягоды</x:v>
      </x:c>
      <x:c r="E560" s="28" t="str">
        <x:v>контраст кислоты и жирной/горькой матрицы</x:v>
      </x:c>
      <x:c r="F56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«лимон» относится к группе «Фрукты и ягоды» и даёт кислый, цитрусовый.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6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60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560" s="28" t="str">
        <x:v>ганаш, плитка, крем, мусс, напиток, глазурь или соус с лимон</x:v>
      </x:c>
      <x:c r="J560" s="28" t="str">
        <x:v>Средняя</x:v>
      </x:c>
      <x:c r="K560" s="28" t="str">
        <x:v>Тезариус вкусов (Ники Сегнит)(1).pdf</x:v>
      </x:c>
      <x:c r="L560" s="28" t="str">
        <x:v>Тезариус вкусов (Ники Сегнит)(1).pdf: 33, 811</x:v>
      </x:c>
    </x:row>
    <x:row r="561" ht="64" customHeight="1">
      <x:c r="A561" s="28" t="str">
        <x:v>NCT-0656</x:v>
      </x:c>
      <x:c r="B561" s="28" t="str">
        <x:v>шоколад</x:v>
      </x:c>
      <x:c r="C561" s="28" t="str">
        <x:v>лист макрут-лайма</x:v>
      </x:c>
      <x:c r="D561" s="28" t="str">
        <x:v>Фрукты и ягоды</x:v>
      </x:c>
      <x:c r="E561" s="28" t="str">
        <x:v>контраст кислоты и жирной/горькой матрицы</x:v>
      </x:c>
      <x:c r="F56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«лист макрут-лайма» относится к группе «Фрукты и ягоды» и даёт зелёный, цитрусовый.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6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61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561" s="28" t="str">
        <x:v>ганаш, плитка, крем, мусс, напиток, глазурь или соус с лист макрут-лайма</x:v>
      </x:c>
      <x:c r="J561" s="28" t="str">
        <x:v>Средняя</x:v>
      </x:c>
      <x:c r="K561" s="28" t="str">
        <x:v>The Art &amp; Science of Foodpairing.pdf</x:v>
      </x:c>
      <x:c r="L561" s="28" t="str">
        <x:v>The Art &amp; Science of Foodpairing.pdf: 62</x:v>
      </x:c>
    </x:row>
    <x:row r="562" ht="64" customHeight="1">
      <x:c r="A562" s="28" t="str">
        <x:v>NCT-0657</x:v>
      </x:c>
      <x:c r="B562" s="28" t="str">
        <x:v>шоколад</x:v>
      </x:c>
      <x:c r="C562" s="28" t="str">
        <x:v>мадрасская паста карри</x:v>
      </x:c>
      <x:c r="D562" s="28" t="str">
        <x:v>Прочее</x:v>
      </x:c>
      <x:c r="E562" s="28" t="str">
        <x:v>сенсорная комплементарность</x:v>
      </x:c>
      <x:c r="F56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«мадрасская паста карри»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6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62" s="28" t="str">
        <x:v>горечь и терпкость способны подавлять нежные продукты; содержит стимуляторы; аллергенные добавки возможны</x:v>
      </x:c>
      <x:c r="I562" s="28" t="str">
        <x:v>ганаш, плитка, крем, мусс, напиток, глазурь или соус с мадрасская паста карри</x:v>
      </x:c>
      <x:c r="J562" s="28" t="str">
        <x:v>Средняя</x:v>
      </x:c>
      <x:c r="K562" s="28" t="str">
        <x:v>The Art &amp; Science of Foodpairing.pdf</x:v>
      </x:c>
      <x:c r="L562" s="28" t="str">
        <x:v>The Art &amp; Science of Foodpairing.pdf: 62</x:v>
      </x:c>
    </x:row>
    <x:row r="563" ht="64" customHeight="1">
      <x:c r="A563" s="28" t="str">
        <x:v>NCT-0658</x:v>
      </x:c>
      <x:c r="B563" s="28" t="str">
        <x:v>шоколад</x:v>
      </x:c>
      <x:c r="C563" s="28" t="str">
        <x:v>малина</x:v>
      </x:c>
      <x:c r="D563" s="28" t="str">
        <x:v>Прочее</x:v>
      </x:c>
      <x:c r="E563" s="28" t="str">
        <x:v>сенсорная комплементарность</x:v>
      </x:c>
      <x:c r="F56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«малина» относится к группе «Прочее» и даёт цветочный, ягодный.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6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63" s="28" t="str">
        <x:v>горечь и терпкость способны подавлять нежные продукты; содержит стимуляторы; аллергенные добавки возможны</x:v>
      </x:c>
      <x:c r="I563" s="28" t="str">
        <x:v>ганаш, плитка, крем, мусс, напиток, глазурь или соус с малина</x:v>
      </x:c>
      <x:c r="J563" s="28" t="str">
        <x:v>Высокая</x:v>
      </x:c>
      <x:c r="K563" s="28" t="str">
        <x:v>Таблица сочетания(1).pdf | Тезариус вкусов (Ники Сегнит)(1).pdf</x:v>
      </x:c>
      <x:c r="L563" s="28" t="str">
        <x:v>Таблица сочетания(1).pdf: 5; Тезариус вкусов (Ники Сегнит)(1).pdf: 33, 890</x:v>
      </x:c>
    </x:row>
    <x:row r="564" ht="64" customHeight="1">
      <x:c r="A564" s="28" t="str">
        <x:v>NCT-0659</x:v>
      </x:c>
      <x:c r="B564" s="28" t="str">
        <x:v>шоколад</x:v>
      </x:c>
      <x:c r="C564" s="28" t="str">
        <x:v>мандарин</x:v>
      </x:c>
      <x:c r="D564" s="28" t="str">
        <x:v>Прочее</x:v>
      </x:c>
      <x:c r="E564" s="28" t="str">
        <x:v>сенсорная комплементарность</x:v>
      </x:c>
      <x:c r="F56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«мандарин»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6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64" s="28" t="str">
        <x:v>горечь и терпкость способны подавлять нежные продукты; содержит стимуляторы; аллергенные добавки возможны</x:v>
      </x:c>
      <x:c r="I564" s="28" t="str">
        <x:v>ганаш, плитка, крем, мусс, напиток, глазурь или соус с мандарин</x:v>
      </x:c>
      <x:c r="J564" s="28" t="str">
        <x:v>Гипотеза / практическая</x:v>
      </x:c>
      <x:c r="K564" s="28" t="str">
        <x:v>Таблица сочетания(1).pdf</x:v>
      </x:c>
      <x:c r="L564" s="28" t="str">
        <x:v>Таблица сочетания(1).pdf: 12</x:v>
      </x:c>
    </x:row>
    <x:row r="565" ht="64" customHeight="1">
      <x:c r="A565" s="28" t="str">
        <x:v>NCT-0660</x:v>
      </x:c>
      <x:c r="B565" s="28" t="str">
        <x:v>шоколад</x:v>
      </x:c>
      <x:c r="C565" s="28" t="str">
        <x:v>морской фенхель</x:v>
      </x:c>
      <x:c r="D565" s="28" t="str">
        <x:v>Прочее</x:v>
      </x:c>
      <x:c r="E565" s="28" t="str">
        <x:v>сенсорная комплементарность</x:v>
      </x:c>
      <x:c r="F56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«морской фенхель»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6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65" s="28" t="str">
        <x:v>горечь и терпкость способны подавлять нежные продукты; содержит стимуляторы; аллергенные добавки возможны</x:v>
      </x:c>
      <x:c r="I565" s="28" t="str">
        <x:v>ганаш, плитка, крем, мусс, напиток, глазурь или соус с морской фенхель</x:v>
      </x:c>
      <x:c r="J565" s="28" t="str">
        <x:v>Средняя</x:v>
      </x:c>
      <x:c r="K565" s="28" t="str">
        <x:v>The Art &amp; Science of Foodpairing.pdf</x:v>
      </x:c>
      <x:c r="L565" s="28" t="str">
        <x:v>The Art &amp; Science of Foodpairing.pdf: 62</x:v>
      </x:c>
    </x:row>
    <x:row r="566" ht="64" customHeight="1">
      <x:c r="A566" s="28" t="str">
        <x:v>NCT-0661</x:v>
      </x:c>
      <x:c r="B566" s="28" t="str">
        <x:v>шоколад</x:v>
      </x:c>
      <x:c r="C566" s="28" t="str">
        <x:v>мускатный орех</x:v>
      </x:c>
      <x:c r="D566" s="28" t="str">
        <x:v>Орехи и семена</x:v>
      </x:c>
      <x:c r="E566" s="28" t="str">
        <x:v>жареная химия и реакции Майяра</x:v>
      </x:c>
      <x:c r="F56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«мускатный орех» относится к группе «Орехи и семена» и даёт камфорный, ореховый, пряный.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6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66" s="28" t="str">
        <x:v>горечь и терпкость способны подавлять нежные продукты; содержит стимуляторы; аллергенные добавки возможны</x:v>
      </x:c>
      <x:c r="I566" s="28" t="str">
        <x:v>ганаш, плитка, крем, мусс, напиток, глазурь или соус с мускатный орех</x:v>
      </x:c>
      <x:c r="J566" s="28" t="str">
        <x:v>Средняя</x:v>
      </x:c>
      <x:c r="K566" s="28" t="str">
        <x:v>Тезариус вкусов (Ники Сегнит)(1).pdf</x:v>
      </x:c>
      <x:c r="L566" s="28" t="str">
        <x:v>Тезариус вкусов (Ники Сегнит)(1).pdf: 34, 592</x:v>
      </x:c>
    </x:row>
    <x:row r="567" ht="64" customHeight="1">
      <x:c r="A567" s="28" t="str">
        <x:v>NCT-0662</x:v>
      </x:c>
      <x:c r="B567" s="28" t="str">
        <x:v>шоколад</x:v>
      </x:c>
      <x:c r="C567" s="28" t="str">
        <x:v>мята</x:v>
      </x:c>
      <x:c r="D567" s="28" t="str">
        <x:v>Травы, цветы и листья</x:v>
      </x:c>
      <x:c r="E567" s="28" t="str">
        <x:v>сенсорная комплементарность</x:v>
      </x:c>
      <x:c r="F56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«мята» относится к группе «Травы, цветы и листья» и даёт зелёный, холодящий.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6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67" s="28" t="str">
        <x:v>горечь и терпкость способны подавлять нежные продукты; содержит стимуляторы; аллергенные добавки возможны</x:v>
      </x:c>
      <x:c r="I567" s="28" t="str">
        <x:v>ганаш, плитка, крем, мусс, напиток, глазурь или соус с мята</x:v>
      </x:c>
      <x:c r="J567" s="28" t="str">
        <x:v>Высокая</x:v>
      </x:c>
      <x:c r="K567" s="28" t="str">
        <x:v>Таблица сочетания(1).pdf | Тезариус вкусов (Ники Сегнит)(1).pdf</x:v>
      </x:c>
      <x:c r="L567" s="28" t="str">
        <x:v>Таблица сочетания(1).pdf: 5; Тезариус вкусов (Ники Сегнит)(1).pdf: 35, 871</x:v>
      </x:c>
    </x:row>
    <x:row r="568" ht="64" customHeight="1">
      <x:c r="A568" s="28" t="str">
        <x:v>NCT-0663</x:v>
      </x:c>
      <x:c r="B568" s="28" t="str">
        <x:v>шоколад</x:v>
      </x:c>
      <x:c r="C568" s="28" t="str">
        <x:v>мёд</x:v>
      </x:c>
      <x:c r="D568" s="28" t="str">
        <x:v>Выпечка, сахара и десерты</x:v>
      </x:c>
      <x:c r="E568" s="28" t="str">
        <x:v>жареная химия и реакции Майяра</x:v>
      </x:c>
      <x:c r="F56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«мёд» относится к группе «Выпечка, сахара и десерты» и даёт медовый, цветочный. Обжарка и реакции Майяра формируют пиразины, фураны и альдегиды, поэтому жареные ноты воспринимаются как единая система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6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68" s="28" t="str">
        <x:v>горечь и терпкость способны подавлять нежные продукты; содержит стимуляторы; аллергенные добавки возможны</x:v>
      </x:c>
      <x:c r="I568" s="28" t="str">
        <x:v>ганаш, плитка, крем, мусс, напиток, глазурь или соус с мёд</x:v>
      </x:c>
      <x:c r="J568" s="28" t="str">
        <x:v>Гипотеза / практическая</x:v>
      </x:c>
      <x:c r="K568" s="28" t="str">
        <x:v>Таблица сочетания(1).pdf</x:v>
      </x:c>
      <x:c r="L568" s="28" t="str">
        <x:v>Таблица сочетания(1).pdf: 5, 9</x:v>
      </x:c>
    </x:row>
    <x:row r="569" ht="64" customHeight="1">
      <x:c r="A569" s="28" t="str">
        <x:v>NCT-0664</x:v>
      </x:c>
      <x:c r="B569" s="28" t="str">
        <x:v>шоколад</x:v>
      </x:c>
      <x:c r="C569" s="28" t="str">
        <x:v>нектарин</x:v>
      </x:c>
      <x:c r="D569" s="28" t="str">
        <x:v>Прочее</x:v>
      </x:c>
      <x:c r="E569" s="28" t="str">
        <x:v>сенсорная комплементарность</x:v>
      </x:c>
      <x:c r="F56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«нектарин»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6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69" s="28" t="str">
        <x:v>горечь и терпкость способны подавлять нежные продукты; содержит стимуляторы; аллергенные добавки возможны</x:v>
      </x:c>
      <x:c r="I569" s="28" t="str">
        <x:v>ганаш, плитка, крем, мусс, напиток, глазурь или соус с нектарин</x:v>
      </x:c>
      <x:c r="J569" s="28" t="str">
        <x:v>Гипотеза / практическая</x:v>
      </x:c>
      <x:c r="K569" s="28" t="str">
        <x:v>Таблица сочетания(1).pdf</x:v>
      </x:c>
      <x:c r="L569" s="28" t="str">
        <x:v>Таблица сочетания(1).pdf: 14</x:v>
      </x:c>
    </x:row>
    <x:row r="570" ht="64" customHeight="1">
      <x:c r="A570" s="28" t="str">
        <x:v>NCT-0665</x:v>
      </x:c>
      <x:c r="B570" s="28" t="str">
        <x:v>шоколад</x:v>
      </x:c>
      <x:c r="C570" s="28" t="str">
        <x:v>оливковое масло</x:v>
      </x:c>
      <x:c r="D570" s="28" t="str">
        <x:v>Масла и жиры</x:v>
      </x:c>
      <x:c r="E570" s="28" t="str">
        <x:v>общие ароматические соединения, пересечение ароматических семейств</x:v>
      </x:c>
      <x:c r="F57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«оливковое масло» относится к группе «Масла и жиры» и даёт жирный и мягкий. Молекулярный мост создают альдегиды Какао-масло медленно высвобождает липофильные ароматы, а сахар и соль изменяют воспринимаемую горечь. Итог: фруктовый; альдегиды.</x:v>
      </x:c>
      <x:c r="G57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70" s="28" t="str">
        <x:v>горечь и терпкость способны подавлять нежные продукты; содержит стимуляторы; аллергенные добавки возможны</x:v>
      </x:c>
      <x:c r="I570" s="28" t="str">
        <x:v>ганаш, плитка, крем, мусс, напиток, глазурь или соус с оливковое масло</x:v>
      </x:c>
      <x:c r="J570" s="28" t="str">
        <x:v>Высокая</x:v>
      </x:c>
      <x:c r="K570" s="28" t="str">
        <x:v>The Art &amp; Science of Foodpairing.pdf</x:v>
      </x:c>
      <x:c r="L570" s="28" t="str">
        <x:v>The Art &amp; Science of Foodpairing.pdf: 171, 172</x:v>
      </x:c>
    </x:row>
    <x:row r="571" ht="64" customHeight="1">
      <x:c r="A571" s="28" t="str">
        <x:v>NCT-0666</x:v>
      </x:c>
      <x:c r="B571" s="28" t="str">
        <x:v>шоколад</x:v>
      </x:c>
      <x:c r="C571" s="28" t="str">
        <x:v>оливковое масло арбекина</x:v>
      </x:c>
      <x:c r="D571" s="28" t="str">
        <x:v>Масла и жиры</x:v>
      </x:c>
      <x:c r="E571" s="28" t="str">
        <x:v>общие ароматические соединения, пересечение ароматических семейств</x:v>
      </x:c>
      <x:c r="F57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«оливковое масло арбекина» относится к группе «Масла и жиры» и даёт жирный и мягкий. Молекулярный мост создают альдегиды Какао-масло медленно высвобождает липофильные ароматы, а сахар и соль изменяют воспринимаемую горечь. Итог: фруктовый; альдегиды.</x:v>
      </x:c>
      <x:c r="G57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71" s="28" t="str">
        <x:v>горечь и терпкость способны подавлять нежные продукты; содержит стимуляторы; аллергенные добавки возможны</x:v>
      </x:c>
      <x:c r="I571" s="28" t="str">
        <x:v>ганаш, плитка, крем, мусс, напиток, глазурь или соус с оливковое масло арбекина</x:v>
      </x:c>
      <x:c r="J571" s="28" t="str">
        <x:v>Средняя</x:v>
      </x:c>
      <x:c r="K571" s="28" t="str">
        <x:v>The Art &amp; Science of Foodpairing.pdf</x:v>
      </x:c>
      <x:c r="L571" s="28" t="str">
        <x:v>The Art &amp; Science of Foodpairing.pdf: 62</x:v>
      </x:c>
    </x:row>
    <x:row r="572" ht="64" customHeight="1">
      <x:c r="A572" s="28" t="str">
        <x:v>NCT-0667</x:v>
      </x:c>
      <x:c r="B572" s="28" t="str">
        <x:v>шоколад</x:v>
      </x:c>
      <x:c r="C572" s="28" t="str">
        <x:v>пак-чой</x:v>
      </x:c>
      <x:c r="D572" s="28" t="str">
        <x:v>Прочее</x:v>
      </x:c>
      <x:c r="E572" s="28" t="str">
        <x:v>сенсорная комплементарность</x:v>
      </x:c>
      <x:c r="F57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«пак-чой»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7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72" s="28" t="str">
        <x:v>горечь и терпкость способны подавлять нежные продукты; содержит стимуляторы; аллергенные добавки возможны</x:v>
      </x:c>
      <x:c r="I572" s="28" t="str">
        <x:v>ганаш, плитка, крем, мусс, напиток, глазурь или соус с пак-чой</x:v>
      </x:c>
      <x:c r="J572" s="28" t="str">
        <x:v>Средняя</x:v>
      </x:c>
      <x:c r="K572" s="28" t="str">
        <x:v>The Art &amp; Science of Foodpairing.pdf</x:v>
      </x:c>
      <x:c r="L572" s="28" t="str">
        <x:v>The Art &amp; Science of Foodpairing.pdf: 62</x:v>
      </x:c>
    </x:row>
    <x:row r="573" ht="64" customHeight="1">
      <x:c r="A573" s="28" t="str">
        <x:v>NCT-0668</x:v>
      </x:c>
      <x:c r="B573" s="28" t="str">
        <x:v>шоколад</x:v>
      </x:c>
      <x:c r="C573" s="28" t="str">
        <x:v>персик</x:v>
      </x:c>
      <x:c r="D573" s="28" t="str">
        <x:v>Фрукты и ягоды</x:v>
      </x:c>
      <x:c r="E573" s="28" t="str">
        <x:v>пересечение ароматических семейств, контраст кислоты и жирной/горькой матрицы</x:v>
      </x:c>
      <x:c r="F57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«персик» относится к группе «Фрукты и ягоды» и даёт лактонный, фруктовый, цветочный. Профили пересекаются в семействах: фруктовый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механизм не следует сводить к одной общей молекуле.</x:v>
      </x:c>
      <x:c r="G57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73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573" s="28" t="str">
        <x:v>ганаш, плитка, крем, мусс, напиток, глазурь или соус с персик</x:v>
      </x:c>
      <x:c r="J573" s="28" t="str">
        <x:v>Высокая</x:v>
      </x:c>
      <x:c r="K573" s="28" t="str">
        <x:v>The Art &amp; Science of Foodpairing.pdf | Таблица сочетания(1).pdf</x:v>
      </x:c>
      <x:c r="L573" s="28" t="str">
        <x:v>The Art &amp; Science of Foodpairing.pdf: 62; Таблица сочетания(1).pdf: 15</x:v>
      </x:c>
    </x:row>
    <x:row r="574" ht="64" customHeight="1">
      <x:c r="A574" s="28" t="str">
        <x:v>NCT-0669</x:v>
      </x:c>
      <x:c r="B574" s="28" t="str">
        <x:v>шоколад</x:v>
      </x:c>
      <x:c r="C574" s="28" t="str">
        <x:v>портвейн</x:v>
      </x:c>
      <x:c r="D574" s="28" t="str">
        <x:v>Алкогольные напитки</x:v>
      </x:c>
      <x:c r="E574" s="28" t="str">
        <x:v>общие ароматические соединения, пересечение ароматических семейств</x:v>
      </x:c>
      <x:c r="F57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«портвейн» относится к группе «Алкогольные напитки» и даёт спиртовой, фруктовый или древесный. Молекулярный мост создают альдегиды, эфиры Какао-масло медленно высвобождает липофильные ароматы, а сахар и соль изменяют воспринимаемую горечь. Итог: древесный, фруктовый; альдегиды, эфиры.</x:v>
      </x:c>
      <x:c r="G57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74" s="28" t="str">
        <x:v>горечь и терпкость способны подавлять нежные продукты; содержит стимуляторы; аллергенные добавки возможны</x:v>
      </x:c>
      <x:c r="I574" s="28" t="str">
        <x:v>ганаш, плитка, крем, мусс, напиток, глазурь или соус с портвейн</x:v>
      </x:c>
      <x:c r="J574" s="28" t="str">
        <x:v>Средняя</x:v>
      </x:c>
      <x:c r="K574" s="28" t="str">
        <x:v>The Art &amp; Science of Foodpairing.pdf</x:v>
      </x:c>
      <x:c r="L574" s="28" t="str">
        <x:v>The Art &amp; Science of Foodpairing.pdf: 62</x:v>
      </x:c>
    </x:row>
    <x:row r="575" ht="64" customHeight="1">
      <x:c r="A575" s="28" t="str">
        <x:v>NCT-0670</x:v>
      </x:c>
      <x:c r="B575" s="28" t="str">
        <x:v>шоколад</x:v>
      </x:c>
      <x:c r="C575" s="28" t="str">
        <x:v>пулькоги</x:v>
      </x:c>
      <x:c r="D575" s="28" t="str">
        <x:v>Прочее</x:v>
      </x:c>
      <x:c r="E575" s="28" t="str">
        <x:v>сенсорная комплементарность</x:v>
      </x:c>
      <x:c r="F57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«пулькоги»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7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75" s="28" t="str">
        <x:v>горечь и терпкость способны подавлять нежные продукты; содержит стимуляторы; аллергенные добавки возможны</x:v>
      </x:c>
      <x:c r="I575" s="28" t="str">
        <x:v>ганаш, плитка, крем, мусс, напиток, глазурь или соус с пулькоги</x:v>
      </x:c>
      <x:c r="J575" s="28" t="str">
        <x:v>Средняя</x:v>
      </x:c>
      <x:c r="K575" s="28" t="str">
        <x:v>The Art &amp; Science of Foodpairing.pdf</x:v>
      </x:c>
      <x:c r="L575" s="28" t="str">
        <x:v>The Art &amp; Science of Foodpairing.pdf: 62</x:v>
      </x:c>
    </x:row>
    <x:row r="576" ht="64" customHeight="1">
      <x:c r="A576" s="28" t="str">
        <x:v>NCT-0671</x:v>
      </x:c>
      <x:c r="B576" s="28" t="str">
        <x:v>шоколад</x:v>
      </x:c>
      <x:c r="C576" s="28" t="str">
        <x:v>роза</x:v>
      </x:c>
      <x:c r="D576" s="28" t="str">
        <x:v>Травы, цветы и листья</x:v>
      </x:c>
      <x:c r="E576" s="28" t="str">
        <x:v>сенсорная комплементарность</x:v>
      </x:c>
      <x:c r="F57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«роза» относится к группе «Травы, цветы и листья» и даёт цветочный.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7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76" s="28" t="str">
        <x:v>горечь и терпкость способны подавлять нежные продукты; содержит стимуляторы; аллергенные добавки возможны</x:v>
      </x:c>
      <x:c r="I576" s="28" t="str">
        <x:v>ганаш, плитка, крем, мусс, напиток, глазурь или соус с роза</x:v>
      </x:c>
      <x:c r="J576" s="28" t="str">
        <x:v>Средняя</x:v>
      </x:c>
      <x:c r="K576" s="28" t="str">
        <x:v>Тезариус вкусов (Ники Сегнит)(1).pdf</x:v>
      </x:c>
      <x:c r="L576" s="28" t="str">
        <x:v>Тезариус вкусов (Ники Сегнит)(1).pdf: 35, 901</x:v>
      </x:c>
    </x:row>
    <x:row r="577" ht="64" customHeight="1">
      <x:c r="A577" s="28" t="str">
        <x:v>NCT-0672</x:v>
      </x:c>
      <x:c r="B577" s="28" t="str">
        <x:v>шоколад</x:v>
      </x:c>
      <x:c r="C577" s="28" t="str">
        <x:v>розмарин</x:v>
      </x:c>
      <x:c r="D577" s="28" t="str">
        <x:v>Травы, цветы и листья</x:v>
      </x:c>
      <x:c r="E577" s="28" t="str">
        <x:v>сенсорная комплементарность</x:v>
      </x:c>
      <x:c r="F57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«розмарин»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7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77" s="28" t="str">
        <x:v>горечь и терпкость способны подавлять нежные продукты; содержит стимуляторы; аллергенные добавки возможны</x:v>
      </x:c>
      <x:c r="I577" s="28" t="str">
        <x:v>ганаш, плитка, крем, мусс, напиток, глазурь или соус с розмарин</x:v>
      </x:c>
      <x:c r="J577" s="28" t="str">
        <x:v>Высокая</x:v>
      </x:c>
      <x:c r="K577" s="28" t="str">
        <x:v>Таблица сочетания(1).pdf | Тезариус вкусов (Ники Сегнит)(1).pdf</x:v>
      </x:c>
      <x:c r="L577" s="28" t="str">
        <x:v>Таблица сочетания(1).pdf: 5; Тезариус вкусов (Ники Сегнит)(1).pdf: 35, 840</x:v>
      </x:c>
    </x:row>
    <x:row r="578" ht="64" customHeight="1">
      <x:c r="A578" s="28" t="str">
        <x:v>NCT-0673</x:v>
      </x:c>
      <x:c r="B578" s="28" t="str">
        <x:v>шоколад</x:v>
      </x:c>
      <x:c r="C578" s="28" t="str">
        <x:v>руккола</x:v>
      </x:c>
      <x:c r="D578" s="28" t="str">
        <x:v>Прочее</x:v>
      </x:c>
      <x:c r="E578" s="28" t="str">
        <x:v>сенсорная комплементарность</x:v>
      </x:c>
      <x:c r="F57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«руккола»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7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78" s="28" t="str">
        <x:v>горечь и терпкость способны подавлять нежные продукты; содержит стимуляторы; аллергенные добавки возможны</x:v>
      </x:c>
      <x:c r="I578" s="28" t="str">
        <x:v>ганаш, плитка, крем, мусс, напиток, глазурь или соус с руккола</x:v>
      </x:c>
      <x:c r="J578" s="28" t="str">
        <x:v>Средняя</x:v>
      </x:c>
      <x:c r="K578" s="28" t="str">
        <x:v>The Art &amp; Science of Foodpairing.pdf</x:v>
      </x:c>
      <x:c r="L578" s="28" t="str">
        <x:v>The Art &amp; Science of Foodpairing.pdf: 62</x:v>
      </x:c>
    </x:row>
    <x:row r="579" ht="64" customHeight="1">
      <x:c r="A579" s="28" t="str">
        <x:v>NCT-0674</x:v>
      </x:c>
      <x:c r="B579" s="28" t="str">
        <x:v>шоколад</x:v>
      </x:c>
      <x:c r="C579" s="28" t="str">
        <x:v>саке</x:v>
      </x:c>
      <x:c r="D579" s="28" t="str">
        <x:v>Алкогольные напитки</x:v>
      </x:c>
      <x:c r="E579" s="28" t="str">
        <x:v>общие ароматические соединения, пересечение ароматических семейств</x:v>
      </x:c>
      <x:c r="F57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«саке» относится к группе «Алкогольные напитки» и даёт спиртовой, фруктовый или древесный. Молекулярный мост создают альдегиды, эфиры Какао-масло медленно высвобождает липофильные ароматы, а сахар и соль изменяют воспринимаемую горечь. Итог: древесный, фруктовый; альдегиды, эфиры.</x:v>
      </x:c>
      <x:c r="G57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79" s="28" t="str">
        <x:v>горечь и терпкость способны подавлять нежные продукты; содержит стимуляторы; аллергенные добавки возможны</x:v>
      </x:c>
      <x:c r="I579" s="28" t="str">
        <x:v>ганаш, плитка, крем, мусс, напиток, глазурь или соус с саке</x:v>
      </x:c>
      <x:c r="J579" s="28" t="str">
        <x:v>Средняя</x:v>
      </x:c>
      <x:c r="K579" s="28" t="str">
        <x:v>The Art &amp; Science of Foodpairing.pdf</x:v>
      </x:c>
      <x:c r="L579" s="28" t="str">
        <x:v>The Art &amp; Science of Foodpairing.pdf: 62</x:v>
      </x:c>
    </x:row>
    <x:row r="580" ht="64" customHeight="1">
      <x:c r="A580" s="28" t="str">
        <x:v>NCT-0675</x:v>
      </x:c>
      <x:c r="B580" s="28" t="str">
        <x:v>шоколад</x:v>
      </x:c>
      <x:c r="C580" s="28" t="str">
        <x:v>свекла</x:v>
      </x:c>
      <x:c r="D580" s="28" t="str">
        <x:v>Овощи, бобовые и грибы</x:v>
      </x:c>
      <x:c r="E580" s="28" t="str">
        <x:v>сенсорная комплементарность</x:v>
      </x:c>
      <x:c r="F58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«свекла» относится к группе «Овощи, бобовые и грибы» и даёт землистый, сладкий.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8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80" s="28" t="str">
        <x:v>горечь и терпкость способны подавлять нежные продукты; содержит стимуляторы; аллергенные добавки возможны</x:v>
      </x:c>
      <x:c r="I580" s="28" t="str">
        <x:v>ганаш, плитка, крем, мусс, напиток, глазурь или соус с свекла</x:v>
      </x:c>
      <x:c r="J580" s="28" t="str">
        <x:v>Средняя</x:v>
      </x:c>
      <x:c r="K580" s="28" t="str">
        <x:v>Тезариус вкусов (Ники Сегнит)(1).pdf</x:v>
      </x:c>
      <x:c r="L580" s="28" t="str">
        <x:v>Тезариус вкусов (Ники Сегнит)(1).pdf: 35, 227</x:v>
      </x:c>
    </x:row>
    <x:row r="581" ht="64" customHeight="1">
      <x:c r="A581" s="28" t="str">
        <x:v>NCT-0676</x:v>
      </x:c>
      <x:c r="B581" s="28" t="str">
        <x:v>шоколад</x:v>
      </x:c>
      <x:c r="C581" s="28" t="str">
        <x:v>слива</x:v>
      </x:c>
      <x:c r="D581" s="28" t="str">
        <x:v>Фрукты и ягоды</x:v>
      </x:c>
      <x:c r="E581" s="28" t="str">
        <x:v>общие ароматические соединения, пересечение ароматических семейств, контраст кислоты и жирной/горькой матрицы</x:v>
      </x:c>
      <x:c r="F58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«слива»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G58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81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581" s="28" t="str">
        <x:v>ганаш, плитка, крем, мусс, напиток, глазурь или соус с слива</x:v>
      </x:c>
      <x:c r="J581" s="28" t="str">
        <x:v>Гипотеза / практическая</x:v>
      </x:c>
      <x:c r="K581" s="28" t="str">
        <x:v>Таблица сочетания(1).pdf</x:v>
      </x:c>
      <x:c r="L581" s="28" t="str">
        <x:v>Таблица сочетания(1).pdf: 17</x:v>
      </x:c>
    </x:row>
    <x:row r="582" ht="64" customHeight="1">
      <x:c r="A582" s="28" t="str">
        <x:v>NCT-0677</x:v>
      </x:c>
      <x:c r="B582" s="28" t="str">
        <x:v>шоколад</x:v>
      </x:c>
      <x:c r="C582" s="28" t="str">
        <x:v>сливочное масло</x:v>
      </x:c>
      <x:c r="D582" s="28" t="str">
        <x:v>Фрукты и ягоды</x:v>
      </x:c>
      <x:c r="E582" s="28" t="str">
        <x:v>общие ароматические соединения, пересечение ароматических семейств, контраст кислоты и жирной/горькой матрицы</x:v>
      </x:c>
      <x:c r="F58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«сливочное масло»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G58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82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582" s="28" t="str">
        <x:v>ганаш, плитка, крем, мусс, напиток, глазурь или соус с сливочное масло</x:v>
      </x:c>
      <x:c r="J582" s="28" t="str">
        <x:v>Средняя</x:v>
      </x:c>
      <x:c r="K582" s="28" t="str">
        <x:v>The Art &amp; Science of Foodpairing.pdf</x:v>
      </x:c>
      <x:c r="L582" s="28" t="str">
        <x:v>The Art &amp; Science of Foodpairing.pdf: 62</x:v>
      </x:c>
    </x:row>
    <x:row r="583" ht="64" customHeight="1">
      <x:c r="A583" s="28" t="str">
        <x:v>NCT-0678</x:v>
      </x:c>
      <x:c r="B583" s="28" t="str">
        <x:v>шоколад</x:v>
      </x:c>
      <x:c r="C583" s="28" t="str">
        <x:v>соевые продукты</x:v>
      </x:c>
      <x:c r="D583" s="28" t="str">
        <x:v>Прочее</x:v>
      </x:c>
      <x:c r="E583" s="28" t="str">
        <x:v>сенсорная комплементарность</x:v>
      </x:c>
      <x:c r="F58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«соевые продукты»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8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83" s="28" t="str">
        <x:v>горечь и терпкость способны подавлять нежные продукты; содержит стимуляторы; аллергенные добавки возможны</x:v>
      </x:c>
      <x:c r="I583" s="28" t="str">
        <x:v>ганаш, плитка, крем, мусс, напиток, глазурь или соус с соевые продукты</x:v>
      </x:c>
      <x:c r="J583" s="28" t="str">
        <x:v>Средняя</x:v>
      </x:c>
      <x:c r="K583" s="28" t="str">
        <x:v>The Art &amp; Science of Foodpairing.pdf</x:v>
      </x:c>
      <x:c r="L583" s="28" t="str">
        <x:v>The Art &amp; Science of Foodpairing.pdf: 62</x:v>
      </x:c>
    </x:row>
    <x:row r="584" ht="64" customHeight="1">
      <x:c r="A584" s="28" t="str">
        <x:v>NCT-0679</x:v>
      </x:c>
      <x:c r="B584" s="28" t="str">
        <x:v>шоколад</x:v>
      </x:c>
      <x:c r="C584" s="28" t="str">
        <x:v>соевый соус</x:v>
      </x:c>
      <x:c r="D584" s="28" t="str">
        <x:v>Ферментированные продукты и соусы</x:v>
      </x:c>
      <x:c r="E584" s="28" t="str">
        <x:v>общие ароматические соединения, пересечение ароматических семейств, солёно-умами контраст</x:v>
      </x:c>
      <x:c r="F58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фураны, эфиры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пиразины, фураны, эфиры.</x:v>
      </x:c>
      <x:c r="G58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84" s="28" t="str">
        <x:v>горечь и терпкость способны подавлять нежные продукты; содержит стимуляторы; аллергенные добавки возможны</x:v>
      </x:c>
      <x:c r="I584" s="28" t="str">
        <x:v>ганаш, плитка, крем, мусс, напиток, глазурь или соус с соевый соус</x:v>
      </x:c>
      <x:c r="J584" s="28" t="str">
        <x:v>Высокая</x:v>
      </x:c>
      <x:c r="K584" s="28" t="str">
        <x:v>The Art &amp; Science of Foodpairing.pdf</x:v>
      </x:c>
      <x:c r="L584" s="28" t="str">
        <x:v>The Art &amp; Science of Foodpairing.pdf: 301</x:v>
      </x:c>
    </x:row>
    <x:row r="585" ht="64" customHeight="1">
      <x:c r="A585" s="28" t="str">
        <x:v>NCT-0680</x:v>
      </x:c>
      <x:c r="B585" s="28" t="str">
        <x:v>шоколад</x:v>
      </x:c>
      <x:c r="C585" s="28" t="str">
        <x:v>тимьян</x:v>
      </x:c>
      <x:c r="D585" s="28" t="str">
        <x:v>Травы, цветы и листья</x:v>
      </x:c>
      <x:c r="E585" s="28" t="str">
        <x:v>сенсорная комплементарность</x:v>
      </x:c>
      <x:c r="F58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«тимьян»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8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85" s="28" t="str">
        <x:v>горечь и терпкость способны подавлять нежные продукты; содержит стимуляторы; аллергенные добавки возможны</x:v>
      </x:c>
      <x:c r="I585" s="28" t="str">
        <x:v>ганаш, плитка, крем, мусс, напиток, глазурь или соус с тимьян</x:v>
      </x:c>
      <x:c r="J585" s="28" t="str">
        <x:v>Средняя</x:v>
      </x:c>
      <x:c r="K585" s="28" t="str">
        <x:v>Тезариус вкусов (Ники Сегнит)(1).pdf</x:v>
      </x:c>
      <x:c r="L585" s="28" t="str">
        <x:v>Тезариус вкусов (Ники Сегнит)(1).pdf: 35, 862</x:v>
      </x:c>
    </x:row>
    <x:row r="586" ht="64" customHeight="1">
      <x:c r="A586" s="28" t="str">
        <x:v>NCT-0681</x:v>
      </x:c>
      <x:c r="B586" s="28" t="str">
        <x:v>шоколад</x:v>
      </x:c>
      <x:c r="C586" s="28" t="str">
        <x:v>томат черри</x:v>
      </x:c>
      <x:c r="D586" s="28" t="str">
        <x:v>Овощи, бобовые и грибы</x:v>
      </x:c>
      <x:c r="E586" s="28" t="str">
        <x:v>пересечение ароматических семейств</x:v>
      </x:c>
      <x:c r="F58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«томат черри» относится к группе «Овощи, бобовые и грибы» и даёт зелёный, умами, фруктовый. Профили пересекаются в семействах: фруктовый Какао-масло медленно высвобождает липофильные ароматы, а сахар и соль изменяют воспринимаемую горечь. Итог: фруктовый; механизм не следует сводить к одной общей молекуле.</x:v>
      </x:c>
      <x:c r="G58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86" s="28" t="str">
        <x:v>горечь и терпкость способны подавлять нежные продукты; содержит стимуляторы; аллергенные добавки возможны</x:v>
      </x:c>
      <x:c r="I586" s="28" t="str">
        <x:v>ганаш, плитка, крем, мусс, напиток, глазурь или соус с томат черри</x:v>
      </x:c>
      <x:c r="J586" s="28" t="str">
        <x:v>Средняя</x:v>
      </x:c>
      <x:c r="K586" s="28" t="str">
        <x:v>The Art &amp; Science of Foodpairing.pdf</x:v>
      </x:c>
      <x:c r="L586" s="28" t="str">
        <x:v>The Art &amp; Science of Foodpairing.pdf: 62</x:v>
      </x:c>
    </x:row>
    <x:row r="587" ht="64" customHeight="1">
      <x:c r="A587" s="28" t="str">
        <x:v>NCT-0682</x:v>
      </x:c>
      <x:c r="B587" s="28" t="str">
        <x:v>шоколад</x:v>
      </x:c>
      <x:c r="C587" s="28" t="str">
        <x:v>томаты</x:v>
      </x:c>
      <x:c r="D587" s="28" t="str">
        <x:v>Овощи, бобовые и грибы</x:v>
      </x:c>
      <x:c r="E587" s="28" t="str">
        <x:v>пересечение ароматических семейств</x:v>
      </x:c>
      <x:c r="F58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«томаты» относится к группе «Овощи, бобовые и грибы» и даёт зелёный, умами, фруктовый. Профили пересекаются в семействах: фруктовый Какао-масло медленно высвобождает липофильные ароматы, а сахар и соль изменяют воспринимаемую горечь. Итог: фруктовый; механизм не следует сводить к одной общей молекуле.</x:v>
      </x:c>
      <x:c r="G58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87" s="28" t="str">
        <x:v>горечь и терпкость способны подавлять нежные продукты; содержит стимуляторы; аллергенные добавки возможны</x:v>
      </x:c>
      <x:c r="I587" s="28" t="str">
        <x:v>ганаш, плитка, крем, мусс, напиток, глазурь или соус с томаты</x:v>
      </x:c>
      <x:c r="J587" s="28" t="str">
        <x:v>Средняя</x:v>
      </x:c>
      <x:c r="K587" s="28" t="str">
        <x:v>Тезариус вкусов (Ники Сегнит)(1).pdf</x:v>
      </x:c>
      <x:c r="L587" s="28" t="str">
        <x:v>Тезариус вкусов (Ники Сегнит)(1).pdf: 35, 691</x:v>
      </x:c>
    </x:row>
    <x:row r="588" ht="64" customHeight="1">
      <x:c r="A588" s="28" t="str">
        <x:v>NCT-0683</x:v>
      </x:c>
      <x:c r="B588" s="28" t="str">
        <x:v>шоколад</x:v>
      </x:c>
      <x:c r="C588" s="28" t="str">
        <x:v>трюфель</x:v>
      </x:c>
      <x:c r="D588" s="28" t="str">
        <x:v>Прочее</x:v>
      </x:c>
      <x:c r="E588" s="28" t="str">
        <x:v>сенсорная комплементарность</x:v>
      </x:c>
      <x:c r="F58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«трюфель»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8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88" s="28" t="str">
        <x:v>горечь и терпкость способны подавлять нежные продукты; содержит стимуляторы; аллергенные добавки возможны</x:v>
      </x:c>
      <x:c r="I588" s="28" t="str">
        <x:v>ганаш, плитка, крем, мусс, напиток, глазурь или соус с трюфель</x:v>
      </x:c>
      <x:c r="J588" s="28" t="str">
        <x:v>Средняя</x:v>
      </x:c>
      <x:c r="K588" s="28" t="str">
        <x:v>The Art &amp; Science of Foodpairing.pdf</x:v>
      </x:c>
      <x:c r="L588" s="28" t="str">
        <x:v>The Art &amp; Science of Foodpairing.pdf: 192</x:v>
      </x:c>
    </x:row>
    <x:row r="589" ht="64" customHeight="1">
      <x:c r="A589" s="28" t="str">
        <x:v>NCT-0684</x:v>
      </x:c>
      <x:c r="B589" s="28" t="str">
        <x:v>шоколад</x:v>
      </x:c>
      <x:c r="C589" s="28" t="str">
        <x:v>тыква</x:v>
      </x:c>
      <x:c r="D589" s="28" t="str">
        <x:v>Овощи, бобовые и грибы</x:v>
      </x:c>
      <x:c r="E589" s="28" t="str">
        <x:v>общие ароматические соединения</x:v>
      </x:c>
      <x:c r="F58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«тыква»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58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89" s="28" t="str">
        <x:v>горечь и терпкость способны подавлять нежные продукты; содержит стимуляторы; аллергенные добавки возможны</x:v>
      </x:c>
      <x:c r="I589" s="28" t="str">
        <x:v>ганаш, плитка, крем, мусс, напиток, глазурь или соус с тыква</x:v>
      </x:c>
      <x:c r="J589" s="28" t="str">
        <x:v>Гипотеза / практическая</x:v>
      </x:c>
      <x:c r="K589" s="28" t="str">
        <x:v>Таблица сочетания(1).pdf</x:v>
      </x:c>
      <x:c r="L589" s="28" t="str">
        <x:v>Таблица сочетания(1).pdf: 18</x:v>
      </x:c>
    </x:row>
    <x:row r="590" ht="64" customHeight="1">
      <x:c r="A590" s="28" t="str">
        <x:v>NCT-0685</x:v>
      </x:c>
      <x:c r="B590" s="28" t="str">
        <x:v>шоколад</x:v>
      </x:c>
      <x:c r="C590" s="28" t="str">
        <x:v>финик</x:v>
      </x:c>
      <x:c r="D590" s="28" t="str">
        <x:v>Прочее</x:v>
      </x:c>
      <x:c r="E590" s="28" t="str">
        <x:v>сенсорная комплементарность</x:v>
      </x:c>
      <x:c r="F59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«финик»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9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90" s="28" t="str">
        <x:v>горечь и терпкость способны подавлять нежные продукты; содержит стимуляторы; аллергенные добавки возможны</x:v>
      </x:c>
      <x:c r="I590" s="28" t="str">
        <x:v>ганаш, плитка, крем, мусс, напиток, глазурь или соус с финик</x:v>
      </x:c>
      <x:c r="J590" s="28" t="str">
        <x:v>Гипотеза / практическая</x:v>
      </x:c>
      <x:c r="K590" s="28" t="str">
        <x:v>Таблица сочетания(1).pdf</x:v>
      </x:c>
      <x:c r="L590" s="28" t="str">
        <x:v>Таблица сочетания(1).pdf: 7</x:v>
      </x:c>
    </x:row>
    <x:row r="591" ht="64" customHeight="1">
      <x:c r="A591" s="28" t="str">
        <x:v>NCT-0686</x:v>
      </x:c>
      <x:c r="B591" s="28" t="str">
        <x:v>шоколад</x:v>
      </x:c>
      <x:c r="C591" s="28" t="str">
        <x:v>цветная капуста</x:v>
      </x:c>
      <x:c r="D591" s="28" t="str">
        <x:v>Овощи, бобовые и грибы</x:v>
      </x:c>
      <x:c r="E591" s="28" t="str">
        <x:v>общие ароматические соединения</x:v>
      </x:c>
      <x:c r="F59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«цветная капуста»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59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91" s="28" t="str">
        <x:v>горечь и терпкость способны подавлять нежные продукты; содержит стимуляторы; аллергенные добавки возможны</x:v>
      </x:c>
      <x:c r="I591" s="28" t="str">
        <x:v>ганаш, плитка, крем, мусс, напиток, глазурь или соус с цветная капуста</x:v>
      </x:c>
      <x:c r="J591" s="28" t="str">
        <x:v>Высокая</x:v>
      </x:c>
      <x:c r="K591" s="28" t="str">
        <x:v>The Art &amp; Science of Foodpairing.pdf | Тезариус вкусов (Ники Сегнит)(1).pdf</x:v>
      </x:c>
      <x:c r="L591" s="28" t="str">
        <x:v>The Art &amp; Science of Foodpairing.pdf: 63; Тезариус вкусов (Ники Сегнит)(1).pdf: 37, 327</x:v>
      </x:c>
    </x:row>
    <x:row r="592" ht="64" customHeight="1">
      <x:c r="A592" s="28" t="str">
        <x:v>NCT-0687</x:v>
      </x:c>
      <x:c r="B592" s="28" t="str">
        <x:v>шоколад</x:v>
      </x:c>
      <x:c r="C592" s="28" t="str">
        <x:v>цветы бузины</x:v>
      </x:c>
      <x:c r="D592" s="28" t="str">
        <x:v>Травы, цветы и листья</x:v>
      </x:c>
      <x:c r="E592" s="28" t="str">
        <x:v>сенсорная комплементарность</x:v>
      </x:c>
      <x:c r="F59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«цветы бузины»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9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92" s="28" t="str">
        <x:v>горечь и терпкость способны подавлять нежные продукты; содержит стимуляторы; аллергенные добавки возможны</x:v>
      </x:c>
      <x:c r="I592" s="28" t="str">
        <x:v>ганаш, плитка, крем, мусс, напиток, глазурь или соус с цветы бузины</x:v>
      </x:c>
      <x:c r="J592" s="28" t="str">
        <x:v>Средняя</x:v>
      </x:c>
      <x:c r="K592" s="28" t="str">
        <x:v>The Art &amp; Science of Foodpairing.pdf</x:v>
      </x:c>
      <x:c r="L592" s="28" t="str">
        <x:v>The Art &amp; Science of Foodpairing.pdf: 62</x:v>
      </x:c>
    </x:row>
    <x:row r="593" ht="64" customHeight="1">
      <x:c r="A593" s="28" t="str">
        <x:v>NCT-0688</x:v>
      </x:c>
      <x:c r="B593" s="28" t="str">
        <x:v>шоколад</x:v>
      </x:c>
      <x:c r="C593" s="28" t="str">
        <x:v>цитрусовые</x:v>
      </x:c>
      <x:c r="D593" s="28" t="str">
        <x:v>Прочее</x:v>
      </x:c>
      <x:c r="E593" s="28" t="str">
        <x:v>сенсорная комплементарность</x:v>
      </x:c>
      <x:c r="F59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«цитрусовые»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9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93" s="28" t="str">
        <x:v>горечь и терпкость способны подавлять нежные продукты; содержит стимуляторы; аллергенные добавки возможны</x:v>
      </x:c>
      <x:c r="I593" s="28" t="str">
        <x:v>ганаш, плитка, крем, мусс, напиток, глазурь или соус с цитрусовые</x:v>
      </x:c>
      <x:c r="J593" s="28" t="str">
        <x:v>Высокая</x:v>
      </x:c>
      <x:c r="K593" s="28" t="str">
        <x:v>The Art &amp; Science of Foodpairing.pdf</x:v>
      </x:c>
      <x:c r="L593" s="28" t="str">
        <x:v>The Art &amp; Science of Foodpairing.pdf: 63</x:v>
      </x:c>
    </x:row>
    <x:row r="594" ht="64" customHeight="1">
      <x:c r="A594" s="28" t="str">
        <x:v>NCT-0689</x:v>
      </x:c>
      <x:c r="B594" s="28" t="str">
        <x:v>шоколад</x:v>
      </x:c>
      <x:c r="C594" s="28" t="str">
        <x:v>черная смородина</x:v>
      </x:c>
      <x:c r="D594" s="28" t="str">
        <x:v>Прочее</x:v>
      </x:c>
      <x:c r="E594" s="28" t="str">
        <x:v>сенсорная комплементарность</x:v>
      </x:c>
      <x:c r="F59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«черная смородина»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9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94" s="28" t="str">
        <x:v>горечь и терпкость способны подавлять нежные продукты; содержит стимуляторы; аллергенные добавки возможны</x:v>
      </x:c>
      <x:c r="I594" s="28" t="str">
        <x:v>ганаш, плитка, крем, мусс, напиток, глазурь или соус с черная смородина</x:v>
      </x:c>
      <x:c r="J594" s="28" t="str">
        <x:v>Средняя</x:v>
      </x:c>
      <x:c r="K594" s="28" t="str">
        <x:v>Тезариус вкусов (Ники Сегнит)(1).pdf</x:v>
      </x:c>
      <x:c r="L594" s="28" t="str">
        <x:v>Тезариус вкусов (Ники Сегнит)(1).pdf: 37, 878</x:v>
      </x:c>
    </x:row>
    <x:row r="595" ht="64" customHeight="1">
      <x:c r="A595" s="28" t="str">
        <x:v>NCT-0690</x:v>
      </x:c>
      <x:c r="B595" s="28" t="str">
        <x:v>шоколад</x:v>
      </x:c>
      <x:c r="C595" s="28" t="str">
        <x:v>чернослив</x:v>
      </x:c>
      <x:c r="D595" s="28" t="str">
        <x:v>Фрукты и ягоды</x:v>
      </x:c>
      <x:c r="E595" s="28" t="str">
        <x:v>общие ароматические соединения, пересечение ароматических семейств, контраст кислоты и жирной/горькой матрицы</x:v>
      </x:c>
      <x:c r="F59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«чернослив»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G59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95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595" s="28" t="str">
        <x:v>ганаш, плитка, крем, мусс, напиток, глазурь или соус с чернослив</x:v>
      </x:c>
      <x:c r="J595" s="28" t="str">
        <x:v>Гипотеза / практическая</x:v>
      </x:c>
      <x:c r="K595" s="28" t="str">
        <x:v>Таблица сочетания(1).pdf</x:v>
      </x:c>
      <x:c r="L595" s="28" t="str">
        <x:v>Таблица сочетания(1).pdf: 18</x:v>
      </x:c>
    </x:row>
    <x:row r="596" ht="64" customHeight="1">
      <x:c r="A596" s="28" t="str">
        <x:v>NCT-0691</x:v>
      </x:c>
      <x:c r="B596" s="28" t="str">
        <x:v>шоколад</x:v>
      </x:c>
      <x:c r="C596" s="28" t="str">
        <x:v>чернослив ажен</x:v>
      </x:c>
      <x:c r="D596" s="28" t="str">
        <x:v>Фрукты и ягоды</x:v>
      </x:c>
      <x:c r="E596" s="28" t="str">
        <x:v>общие ароматические соединения, пересечение ароматических семейств, контраст кислоты и жирной/горькой матрицы</x:v>
      </x:c>
      <x:c r="F59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«чернослив ажен»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G59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96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596" s="28" t="str">
        <x:v>ганаш, плитка, крем, мусс, напиток, глазурь или соус с чернослив ажен</x:v>
      </x:c>
      <x:c r="J596" s="28" t="str">
        <x:v>Средняя</x:v>
      </x:c>
      <x:c r="K596" s="28" t="str">
        <x:v>The Art &amp; Science of Foodpairing.pdf</x:v>
      </x:c>
      <x:c r="L596" s="28" t="str">
        <x:v>The Art &amp; Science of Foodpairing.pdf: 62</x:v>
      </x:c>
    </x:row>
    <x:row r="597" ht="64" customHeight="1">
      <x:c r="A597" s="28" t="str">
        <x:v>NCT-0692</x:v>
      </x:c>
      <x:c r="B597" s="28" t="str">
        <x:v>шоколад</x:v>
      </x:c>
      <x:c r="C597" s="28" t="str">
        <x:v>чили</x:v>
      </x:c>
      <x:c r="D597" s="28" t="str">
        <x:v>Специи</x:v>
      </x:c>
      <x:c r="E597" s="28" t="str">
        <x:v>пересечение ароматических семейств</x:v>
      </x:c>
      <x:c r="F59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«чили» относится к группе «Специи» и даёт пряный и древесный.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G59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97" s="28" t="str">
        <x:v>горечь и терпкость способны подавлять нежные продукты; содержит стимуляторы; аллергенные добавки возможны</x:v>
      </x:c>
      <x:c r="I597" s="28" t="str">
        <x:v>ганаш, плитка, крем, мусс, напиток, глазурь или соус с чили</x:v>
      </x:c>
      <x:c r="J597" s="28" t="str">
        <x:v>Средняя</x:v>
      </x:c>
      <x:c r="K597" s="28" t="str">
        <x:v>Тезариус вкусов (Ники Сегнит)(1).pdf</x:v>
      </x:c>
      <x:c r="L597" s="28" t="str">
        <x:v>Тезариус вкусов (Ники Сегнит)(1).pdf: 38, 562</x:v>
      </x:c>
    </x:row>
    <x:row r="598" ht="64" customHeight="1">
      <x:c r="A598" s="28" t="str">
        <x:v>NCT-0693</x:v>
      </x:c>
      <x:c r="B598" s="28" t="str">
        <x:v>шоколад</x:v>
      </x:c>
      <x:c r="C598" s="28" t="str">
        <x:v>чили (перцы)</x:v>
      </x:c>
      <x:c r="D598" s="28" t="str">
        <x:v>Специи</x:v>
      </x:c>
      <x:c r="E598" s="28" t="str">
        <x:v>пересечение ароматических семейств</x:v>
      </x:c>
      <x:c r="F59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«чили (перцы)» относится к группе «Специи» и даёт пряный и древесный. Профили пересекаются в семействах: древесный Какао-масло медленно высвобождает липофильные ароматы, а сахар и соль изменяют воспринимаемую горечь. Итог: древесный; механизм не следует сводить к одной общей молекуле.</x:v>
      </x:c>
      <x:c r="G59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98" s="28" t="str">
        <x:v>горечь и терпкость способны подавлять нежные продукты; содержит стимуляторы; аллергенные добавки возможны</x:v>
      </x:c>
      <x:c r="I598" s="28" t="str">
        <x:v>ганаш, плитка, крем, мусс, напиток, глазурь или соус с чили (перцы)</x:v>
      </x:c>
      <x:c r="J598" s="28" t="str">
        <x:v>Гипотеза / практическая</x:v>
      </x:c>
      <x:c r="K598" s="28" t="str">
        <x:v>Таблица сочетания(1).pdf</x:v>
      </x:c>
      <x:c r="L598" s="28" t="str">
        <x:v>Таблица сочетания(1).pdf: 5</x:v>
      </x:c>
    </x:row>
    <x:row r="599" ht="64" customHeight="1">
      <x:c r="A599" s="28" t="str">
        <x:v>NCT-0694</x:v>
      </x:c>
      <x:c r="B599" s="28" t="str">
        <x:v>шоколад</x:v>
      </x:c>
      <x:c r="C599" s="28" t="str">
        <x:v>чёрная оливка пикваль</x:v>
      </x:c>
      <x:c r="D599" s="28" t="str">
        <x:v>Прочее</x:v>
      </x:c>
      <x:c r="E599" s="28" t="str">
        <x:v>сенсорная комплементарность</x:v>
      </x:c>
      <x:c r="F59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«чёрная оливка пикваль» относится к группе «Прочее» и даёт профиль зависит от конкретного продукта.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59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599" s="28" t="str">
        <x:v>горечь и терпкость способны подавлять нежные продукты; содержит стимуляторы; аллергенные добавки возможны</x:v>
      </x:c>
      <x:c r="I599" s="28" t="str">
        <x:v>ганаш, плитка, крем, мусс, напиток, глазурь или соус с чёрная оливка пикваль</x:v>
      </x:c>
      <x:c r="J599" s="28" t="str">
        <x:v>Средняя</x:v>
      </x:c>
      <x:c r="K599" s="28" t="str">
        <x:v>The Art &amp; Science of Foodpairing.pdf</x:v>
      </x:c>
      <x:c r="L599" s="28" t="str">
        <x:v>The Art &amp; Science of Foodpairing.pdf: 62</x:v>
      </x:c>
    </x:row>
    <x:row r="600" ht="64" customHeight="1">
      <x:c r="A600" s="28" t="str">
        <x:v>NCT-0695</x:v>
      </x:c>
      <x:c r="B600" s="28" t="str">
        <x:v>шоколад</x:v>
      </x:c>
      <x:c r="C600" s="28" t="str">
        <x:v>шалфей</x:v>
      </x:c>
      <x:c r="D600" s="28" t="str">
        <x:v>Травы, цветы и листья</x:v>
      </x:c>
      <x:c r="E600" s="28" t="str">
        <x:v>сенсорная комплементарность</x:v>
      </x:c>
      <x:c r="F60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«шалфей»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60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600" s="28" t="str">
        <x:v>горечь и терпкость способны подавлять нежные продукты; содержит стимуляторы; аллергенные добавки возможны</x:v>
      </x:c>
      <x:c r="I600" s="28" t="str">
        <x:v>ганаш, плитка, крем, мусс, напиток, глазурь или соус с шалфей</x:v>
      </x:c>
      <x:c r="J600" s="28" t="str">
        <x:v>Гипотеза / практическая</x:v>
      </x:c>
      <x:c r="K600" s="28" t="str">
        <x:v>Таблица сочетания(1).pdf</x:v>
      </x:c>
      <x:c r="L600" s="28" t="str">
        <x:v>Таблица сочетания(1).pdf: 5</x:v>
      </x:c>
    </x:row>
    <x:row r="601" ht="64" customHeight="1">
      <x:c r="A601" s="28" t="str">
        <x:v>NCT-0696</x:v>
      </x:c>
      <x:c r="B601" s="28" t="str">
        <x:v>шоколад</x:v>
      </x:c>
      <x:c r="C601" s="28" t="str">
        <x:v>шисо</x:v>
      </x:c>
      <x:c r="D601" s="28" t="str">
        <x:v>Травы, цветы и листья</x:v>
      </x:c>
      <x:c r="E601" s="28" t="str">
        <x:v>сенсорная комплементарность</x:v>
      </x:c>
      <x:c r="F60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«шисо» относится к группе «Травы, цветы и листья» и даёт зелёный, цветочный и терпеновый.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60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601" s="28" t="str">
        <x:v>горечь и терпкость способны подавлять нежные продукты; содержит стимуляторы; аллергенные добавки возможны</x:v>
      </x:c>
      <x:c r="I601" s="28" t="str">
        <x:v>ганаш, плитка, крем, мусс, напиток, глазурь или соус с шисо</x:v>
      </x:c>
      <x:c r="J601" s="28" t="str">
        <x:v>Средняя</x:v>
      </x:c>
      <x:c r="K601" s="28" t="str">
        <x:v>The Art &amp; Science of Foodpairing.pdf</x:v>
      </x:c>
      <x:c r="L601" s="28" t="str">
        <x:v>The Art &amp; Science of Foodpairing.pdf: 62</x:v>
      </x:c>
    </x:row>
    <x:row r="602" ht="64" customHeight="1">
      <x:c r="A602" s="28" t="str">
        <x:v>NCT-0697</x:v>
      </x:c>
      <x:c r="B602" s="28" t="str">
        <x:v>шоколад</x:v>
      </x:c>
      <x:c r="C602" s="28" t="str">
        <x:v>ягоды годжи</x:v>
      </x:c>
      <x:c r="D602" s="28" t="str">
        <x:v>Фрукты и ягоды</x:v>
      </x:c>
      <x:c r="E602" s="28" t="str">
        <x:v>общие ароматические соединения, пересечение ароматических семейств, контраст кислоты и жирной/горькой матрицы</x:v>
      </x:c>
      <x:c r="F60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«ягоды годжи» относится к группе «Фрукты и ягоды» и даёт фруктовый, цветочный и свежий. Молекулярный мост создают альдегиды, эфиры Фруктовая кислота и эфиры облегчают жирный или горький профиль, а сахар поддерживает сладко-жареные ноты Какао-масло медленно высвобождает липофильные ароматы, а сахар и соль изменяют воспринимаемую горечь. Итог: фруктовый; альдегиды, эфиры.</x:v>
      </x:c>
      <x:c r="G60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602" s="28" t="str">
        <x:v>горечь и терпкость способны подавлять нежные продукты; содержит стимуляторы; аллергенные добавки возможны; избыток кислоты может сделать чай или кофе резкими и разрушить молочную эмульсию</x:v>
      </x:c>
      <x:c r="I602" s="28" t="str">
        <x:v>ганаш, плитка, крем, мусс, напиток, глазурь или соус с ягоды годжи</x:v>
      </x:c>
      <x:c r="J602" s="28" t="str">
        <x:v>Гипотеза / практическая</x:v>
      </x:c>
      <x:c r="K602" s="28" t="str">
        <x:v>Таблица сочетания(1).pdf</x:v>
      </x:c>
      <x:c r="L602" s="28" t="str">
        <x:v>Таблица сочетания(1).pdf: 8</x:v>
      </x:c>
    </x:row>
    <x:row r="603" ht="64" customHeight="1">
      <x:c r="A603" s="28" t="str">
        <x:v>NCT-0698</x:v>
      </x:c>
      <x:c r="B603" s="28" t="str">
        <x:v>шоколад</x:v>
      </x:c>
      <x:c r="C603" s="28" t="str">
        <x:v>японский соевый соус</x:v>
      </x:c>
      <x:c r="D603" s="28" t="str">
        <x:v>Ферментированные продукты и соусы</x:v>
      </x:c>
      <x:c r="E603" s="28" t="str">
        <x:v>общие ароматические соединения, пересечение ароматических семейств, солёно-умами контраст</x:v>
      </x:c>
      <x:c r="F60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«японский 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фураны, эфиры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пиразины, фураны, эфиры.</x:v>
      </x:c>
      <x:c r="G60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603" s="28" t="str">
        <x:v>горечь и терпкость способны подавлять нежные продукты; содержит стимуляторы; аллергенные добавки возможны</x:v>
      </x:c>
      <x:c r="I603" s="28" t="str">
        <x:v>ганаш, плитка, крем, мусс, напиток, глазурь или соус с японский соевый соус</x:v>
      </x:c>
      <x:c r="J603" s="28" t="str">
        <x:v>Средняя</x:v>
      </x:c>
      <x:c r="K603" s="28" t="str">
        <x:v>The Art &amp; Science of Foodpairing.pdf</x:v>
      </x:c>
      <x:c r="L603" s="28" t="str">
        <x:v>The Art &amp; Science of Foodpairing.pdf: 62</x:v>
      </x:c>
    </x:row>
  </x:sheetData>
  <x:conditionalFormatting sqref="J2:J603">
    <x:cfRule type="expression" dxfId="21" priority="1">
      <x:formula>J2="Высокая"</x:formula>
    </x:cfRule>
    <x:cfRule type="expression" dxfId="22" priority="2">
      <x:formula>J2="Средняя"</x:formula>
    </x:cfRule>
    <x:cfRule type="expression" dxfId="23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9bf3d64a66413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31" hidden="0" customWidth="1"/>
    <x:col min="4" max="4" width="29" hidden="0" customWidth="1"/>
    <x:col min="5" max="5" width="39" hidden="0" customWidth="1"/>
    <x:col min="6" max="6" width="68" hidden="0" customWidth="1"/>
    <x:col min="7" max="7" width="55" hidden="0" customWidth="1"/>
    <x:col min="8" max="8" width="55" hidden="0" customWidth="1"/>
    <x:col min="9" max="9" width="49" hidden="0" customWidth="1"/>
    <x:col min="10" max="10" width="22" hidden="0" customWidth="1"/>
    <x:col min="11" max="11" width="40" hidden="0" customWidth="1"/>
    <x:col min="12" max="12" width="48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4" customHeight="1">
      <x:c r="A2" s="28" t="str">
        <x:v>NCT-0001</x:v>
      </x:c>
      <x:c r="B2" s="28" t="str">
        <x:v>арахис</x:v>
      </x:c>
      <x:c r="C2" s="28" t="str">
        <x:v>fish</x:v>
      </x:c>
      <x:c r="D2" s="28" t="str">
        <x:v>Рыба и морепродукты</x:v>
      </x:c>
      <x:c r="E2" s="28" t="str">
        <x:v>общие ароматические соединения, солёно-умами контраст</x:v>
      </x:c>
      <x:c r="F2" s="28" t="str">
        <x:v>Арахис имеет профиль «бобовый и зелёный в сыром виде; жареный, ореховый и какаоподобный после обжарки».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2" s="28" t="str">
        <x:v>сильный аллерген; риск прогоркания и загрязнения плесенью при плохом хранении; малейшая прогорклость ореха или шоколада усиливает неприятные рыбные оттенки</x:v>
      </x:c>
      <x:c r="I2" s="28" t="str">
        <x:v>пралине, паста, выпечка, гарнир, соус, молочный или коктейльный компонент с fish</x:v>
      </x:c>
      <x:c r="J2" s="28" t="str">
        <x:v>Средняя</x:v>
      </x:c>
      <x:c r="K2" s="28" t="str">
        <x:v>The Art &amp; Science of Foodpairing.pdf</x:v>
      </x:c>
      <x:c r="L2" s="28" t="str">
        <x:v>The Art &amp; Science of Foodpairing.pdf: 104</x:v>
      </x:c>
    </x:row>
    <x:row r="3" ht="64" customHeight="1">
      <x:c r="A3" s="28" t="str">
        <x:v>NCT-0002</x:v>
      </x:c>
      <x:c r="B3" s="28" t="str">
        <x:v>арахис</x:v>
      </x:c>
      <x:c r="C3" s="28" t="str">
        <x:v>garlic</x:v>
      </x:c>
      <x:c r="D3" s="28" t="str">
        <x:v>Овощи, бобовые и грибы</x:v>
      </x:c>
      <x:c r="E3" s="28" t="str">
        <x:v>общие ароматические соединения</x:v>
      </x:c>
      <x:c r="F3" s="28" t="str">
        <x:v>Арахис имеет профиль «бобовый и зелёный в сыром виде; жареный, ореховый и какаоподобный после обжарки». Партнёр «garlic»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3" s="28" t="str">
        <x:v>сильный аллерген; риск прогоркания и загрязнения плесенью при плохом хранении</x:v>
      </x:c>
      <x:c r="I3" s="28" t="str">
        <x:v>пралине, паста, выпечка, гарнир, соус, молочный или коктейльный компонент с garlic</x:v>
      </x:c>
      <x:c r="J3" s="28" t="str">
        <x:v>Средняя</x:v>
      </x:c>
      <x:c r="K3" s="28" t="str">
        <x:v>The Art &amp; Science of Foodpairing.pdf</x:v>
      </x:c>
      <x:c r="L3" s="28" t="str">
        <x:v>The Art &amp; Science of Foodpairing.pdf: 113, 114</x:v>
      </x:c>
    </x:row>
    <x:row r="4" ht="64" customHeight="1">
      <x:c r="A4" s="28" t="str">
        <x:v>NCT-0003</x:v>
      </x:c>
      <x:c r="B4" s="28" t="str">
        <x:v>арахис</x:v>
      </x:c>
      <x:c r="C4" s="28" t="str">
        <x:v>lberico ham</x:v>
      </x:c>
      <x:c r="D4" s="28" t="str">
        <x:v>Мясо и птица</x:v>
      </x:c>
      <x:c r="E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" s="28" t="str">
        <x:v>Арахис имеет профиль «бобовый и зелёный в сыром виде; жареный, ореховый и какаоподобный после обжарки».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4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4" s="28" t="str">
        <x:v>сильный аллерген; риск прогоркания и загрязнения плесенью при плохом хранении</x:v>
      </x:c>
      <x:c r="I4" s="28" t="str">
        <x:v>пралине, паста, выпечка, гарнир, соус, молочный или коктейльный компонент с lberico ham</x:v>
      </x:c>
      <x:c r="J4" s="28" t="str">
        <x:v>Высокая</x:v>
      </x:c>
      <x:c r="K4" s="28" t="str">
        <x:v>The Art &amp; Science of Foodpairing.pdf</x:v>
      </x:c>
      <x:c r="L4" s="28" t="str">
        <x:v>The Art &amp; Science of Foodpairing.pdf: 278</x:v>
      </x:c>
    </x:row>
    <x:row r="5" ht="64" customHeight="1">
      <x:c r="A5" s="28" t="str">
        <x:v>NCT-0004</x:v>
      </x:c>
      <x:c r="B5" s="28" t="str">
        <x:v>арахис</x:v>
      </x:c>
      <x:c r="C5" s="28" t="str">
        <x:v>meat</x:v>
      </x:c>
      <x:c r="D5" s="28" t="str">
        <x:v>Мясо и птица</x:v>
      </x:c>
      <x:c r="E5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" s="28" t="str">
        <x:v>Арахис имеет профиль «бобовый и зелёный в сыром виде; жареный, ореховый и какаоподобный после обжарки». Партнёр «meat»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5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5" s="28" t="str">
        <x:v>сильный аллерген; риск прогоркания и загрязнения плесенью при плохом хранении</x:v>
      </x:c>
      <x:c r="I5" s="28" t="str">
        <x:v>пралине, паста, выпечка, гарнир, соус, молочный или коктейльный компонент с meat</x:v>
      </x:c>
      <x:c r="J5" s="28" t="str">
        <x:v>Средняя</x:v>
      </x:c>
      <x:c r="K5" s="28" t="str">
        <x:v>The Art &amp; Science of Foodpairing.pdf</x:v>
      </x:c>
      <x:c r="L5" s="28" t="str">
        <x:v>The Art &amp; Science of Foodpairing.pdf: 186</x:v>
      </x:c>
    </x:row>
    <x:row r="6" ht="64" customHeight="1">
      <x:c r="A6" s="28" t="str">
        <x:v>NCT-0006</x:v>
      </x:c>
      <x:c r="B6" s="28" t="str">
        <x:v>арахис</x:v>
      </x:c>
      <x:c r="C6" s="28" t="str">
        <x:v>sweet potato</x:v>
      </x:c>
      <x:c r="D6" s="28" t="str">
        <x:v>Овощи, бобовые и грибы</x:v>
      </x:c>
      <x:c r="E6" s="28" t="str">
        <x:v>общие ароматические соединения</x:v>
      </x:c>
      <x:c r="F6" s="28" t="str">
        <x:v>Арахис имеет профиль «бобовый и зелёный в сыром виде; жареный, ореховый и какаоподобный после обжарки». Партнёр «sweet potato»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6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6" s="28" t="str">
        <x:v>сильный аллерген; риск прогоркания и загрязнения плесенью при плохом хранении</x:v>
      </x:c>
      <x:c r="I6" s="28" t="str">
        <x:v>пралине, паста, выпечка, гарнир, соус, молочный или коктейльный компонент с sweet potato</x:v>
      </x:c>
      <x:c r="J6" s="28" t="str">
        <x:v>Средняя</x:v>
      </x:c>
      <x:c r="K6" s="28" t="str">
        <x:v>The Art &amp; Science of Foodpairing.pdf</x:v>
      </x:c>
      <x:c r="L6" s="28" t="str">
        <x:v>The Art &amp; Science of Foodpairing.pdf: 119</x:v>
      </x:c>
    </x:row>
    <x:row r="7" ht="64" customHeight="1">
      <x:c r="A7" s="28" t="str">
        <x:v>NCT-0009</x:v>
      </x:c>
      <x:c r="B7" s="28" t="str">
        <x:v>арахис</x:v>
      </x:c>
      <x:c r="C7" s="28" t="str">
        <x:v>баранина</x:v>
      </x:c>
      <x:c r="D7" s="28" t="str">
        <x:v>Мясо и птица</x:v>
      </x:c>
      <x:c r="E7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7" s="28" t="str">
        <x:v>Арахис имеет профиль «бобовый и зелёный в сыром виде; жареный, ореховый и какаоподобный после обжарки». Партнёр «баранина»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7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7" s="28" t="str">
        <x:v>сильный аллерген; риск прогоркания и загрязнения плесенью при плохом хранении</x:v>
      </x:c>
      <x:c r="I7" s="28" t="str">
        <x:v>пралине, паста, выпечка, гарнир, соус, молочный или коктейльный компонент с баранина</x:v>
      </x:c>
      <x:c r="J7" s="28" t="str">
        <x:v>Средняя</x:v>
      </x:c>
      <x:c r="K7" s="28" t="str">
        <x:v>Тезариус вкусов (Ники Сегнит)(1).pdf</x:v>
      </x:c>
      <x:c r="L7" s="28" t="str">
        <x:v>Тезариус вкусов (Ники Сегнит)(1).pdf: 50, 125</x:v>
      </x:c>
    </x:row>
    <x:row r="8" ht="64" customHeight="1">
      <x:c r="A8" s="28" t="str">
        <x:v>NCT-0013</x:v>
      </x:c>
      <x:c r="B8" s="28" t="str">
        <x:v>арахис</x:v>
      </x:c>
      <x:c r="C8" s="28" t="str">
        <x:v>говядина</x:v>
      </x:c>
      <x:c r="D8" s="28" t="str">
        <x:v>Мясо и птица</x:v>
      </x:c>
      <x:c r="E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8" s="28" t="str">
        <x:v>Арахис имеет профиль «бобовый и зелёный в сыром виде; жареный, ореховый и какаоподобный после обжарки». Партнёр «говядина»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8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8" s="28" t="str">
        <x:v>сильный аллерген; риск прогоркания и загрязнения плесенью при плохом хранении</x:v>
      </x:c>
      <x:c r="I8" s="28" t="str">
        <x:v>пралине, паста, выпечка, гарнир, соус, молочный или коктейльный компонент с говядина</x:v>
      </x:c>
      <x:c r="J8" s="28" t="str">
        <x:v>Средняя</x:v>
      </x:c>
      <x:c r="K8" s="28" t="str">
        <x:v>Тезариус вкусов (Ники Сегнит)(1).pdf</x:v>
      </x:c>
      <x:c r="L8" s="28" t="str">
        <x:v>Тезариус вкусов (Ники Сегнит)(1).pdf: 52</x:v>
      </x:c>
    </x:row>
    <x:row r="9" ht="64" customHeight="1">
      <x:c r="A9" s="28" t="str">
        <x:v>NCT-0016</x:v>
      </x:c>
      <x:c r="B9" s="28" t="str">
        <x:v>арахис</x:v>
      </x:c>
      <x:c r="C9" s="28" t="str">
        <x:v>картофель</x:v>
      </x:c>
      <x:c r="D9" s="28" t="str">
        <x:v>Овощи, бобовые и грибы</x:v>
      </x:c>
      <x:c r="E9" s="28" t="str">
        <x:v>общие ароматические соединения</x:v>
      </x:c>
      <x:c r="F9" s="28" t="str">
        <x:v>Арахис имеет профиль «бобовый и зелёный в сыром виде; жареный, ореховый и какаоподобный после обжарки». Партнёр «картофель»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9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9" s="28" t="str">
        <x:v>сильный аллерген; риск прогоркания и загрязнения плесенью при плохом хранении</x:v>
      </x:c>
      <x:c r="I9" s="28" t="str">
        <x:v>пралине, паста, выпечка, гарнир, соус, молочный или коктейльный компонент с картофель</x:v>
      </x:c>
      <x:c r="J9" s="28" t="str">
        <x:v>Средняя</x:v>
      </x:c>
      <x:c r="K9" s="28" t="str">
        <x:v>Тезариус вкусов (Ники Сегнит)(1).pdf</x:v>
      </x:c>
      <x:c r="L9" s="28" t="str">
        <x:v>Тезариус вкусов (Ники Сегнит)(1).pdf: 53, 230</x:v>
      </x:c>
    </x:row>
    <x:row r="10" ht="64" customHeight="1">
      <x:c r="A10" s="28" t="str">
        <x:v>NCT-0024</x:v>
      </x:c>
      <x:c r="B10" s="28" t="str">
        <x:v>арахис</x:v>
      </x:c>
      <x:c r="C10" s="28" t="str">
        <x:v>морковь</x:v>
      </x:c>
      <x:c r="D10" s="28" t="str">
        <x:v>Овощи, бобовые и грибы</x:v>
      </x:c>
      <x:c r="E10" s="28" t="str">
        <x:v>общие ароматические соединения</x:v>
      </x:c>
      <x:c r="F10" s="28" t="str">
        <x:v>Арахис имеет профиль «бобовый и зелёный в сыром виде; жареный, ореховый и какаоподобный после обжарки». Партнёр «морковь»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0" s="28" t="str">
        <x:v>сильный аллерген; риск прогоркания и загрязнения плесенью при плохом хранении</x:v>
      </x:c>
      <x:c r="I10" s="28" t="str">
        <x:v>пралине, паста, выпечка, гарнир, соус, молочный или коктейльный компонент с морковь</x:v>
      </x:c>
      <x:c r="J10" s="28" t="str">
        <x:v>Средняя</x:v>
      </x:c>
      <x:c r="K10" s="28" t="str">
        <x:v>Тезариус вкусов (Ники Сегнит)(1).pdf</x:v>
      </x:c>
      <x:c r="L10" s="28" t="str">
        <x:v>Тезариус вкусов (Ники Сегнит)(1).pdf: 55, 602</x:v>
      </x:c>
    </x:row>
    <x:row r="11" ht="64" customHeight="1">
      <x:c r="A11" s="28" t="str">
        <x:v>NCT-0027</x:v>
      </x:c>
      <x:c r="B11" s="28" t="str">
        <x:v>арахис</x:v>
      </x:c>
      <x:c r="C11" s="28" t="str">
        <x:v>огурцы</x:v>
      </x:c>
      <x:c r="D11" s="28" t="str">
        <x:v>Овощи, бобовые и грибы</x:v>
      </x:c>
      <x:c r="E11" s="28" t="str">
        <x:v>общие ароматические соединения</x:v>
      </x:c>
      <x:c r="F11" s="28" t="str">
        <x:v>Арахис имеет профиль «бобовый и зелёный в сыром виде; жареный, ореховый и какаоподобный после обжарки». Партнёр «огурцы»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1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1" s="28" t="str">
        <x:v>сильный аллерген; риск прогоркания и загрязнения плесенью при плохом хранении</x:v>
      </x:c>
      <x:c r="I11" s="28" t="str">
        <x:v>пралине, паста, выпечка, гарнир, соус, молочный или коктейльный компонент с огурцы</x:v>
      </x:c>
      <x:c r="J11" s="28" t="str">
        <x:v>Средняя</x:v>
      </x:c>
      <x:c r="K11" s="28" t="str">
        <x:v>Тезариус вкусов (Ники Сегнит)(1).pdf</x:v>
      </x:c>
      <x:c r="L11" s="28" t="str">
        <x:v>Тезариус вкусов (Ники Сегнит)(1).pdf: 56, 491</x:v>
      </x:c>
    </x:row>
    <x:row r="12" ht="64" customHeight="1">
      <x:c r="A12" s="28" t="str">
        <x:v>NCT-0032</x:v>
      </x:c>
      <x:c r="B12" s="28" t="str">
        <x:v>арахис</x:v>
      </x:c>
      <x:c r="C12" s="28" t="str">
        <x:v>свинина</x:v>
      </x:c>
      <x:c r="D12" s="28" t="str">
        <x:v>Мясо и птица</x:v>
      </x:c>
      <x:c r="E12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2" s="28" t="str">
        <x:v>Арахис имеет профиль «бобовый и зелёный в сыром виде; жареный, ореховый и какаоподобный после обжарки». Партнёр «свинина»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12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2" s="28" t="str">
        <x:v>сильный аллерген; риск прогоркания и загрязнения плесенью при плохом хранении</x:v>
      </x:c>
      <x:c r="I12" s="28" t="str">
        <x:v>пралине, паста, выпечка, гарнир, соус, молочный или коктейльный компонент с свинина</x:v>
      </x:c>
      <x:c r="J12" s="28" t="str">
        <x:v>Средняя</x:v>
      </x:c>
      <x:c r="K12" s="28" t="str">
        <x:v>Тезариус вкусов (Ники Сегнит)(1).pdf</x:v>
      </x:c>
      <x:c r="L12" s="28" t="str">
        <x:v>Тезариус вкусов (Ники Сегнит)(1).pdf: 56, 78</x:v>
      </x:c>
    </x:row>
    <x:row r="13" ht="64" customHeight="1">
      <x:c r="A13" s="28" t="str">
        <x:v>NCT-0033</x:v>
      </x:c>
      <x:c r="B13" s="28" t="str">
        <x:v>арахис</x:v>
      </x:c>
      <x:c r="C13" s="28" t="str">
        <x:v>свёкла</x:v>
      </x:c>
      <x:c r="D13" s="28" t="str">
        <x:v>Овощи, бобовые и грибы</x:v>
      </x:c>
      <x:c r="E13" s="28" t="str">
        <x:v>сенсорная комплементарность</x:v>
      </x:c>
      <x:c r="F13" s="28" t="str">
        <x:v>Арахис имеет профиль «бобовый и зелёный в сыром виде; жареный, ореховый и какаоподобный после обжарки». Партнёр «свёкла» относится к группе «Овощи, бобовые и грибы» и даёт землистый, сладкий.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3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3" s="28" t="str">
        <x:v>сильный аллерген; риск прогоркания и загрязнения плесенью при плохом хранении</x:v>
      </x:c>
      <x:c r="I13" s="28" t="str">
        <x:v>пралине, паста, выпечка, гарнир, соус, молочный или коктейльный компонент с свёкла</x:v>
      </x:c>
      <x:c r="J13" s="28" t="str">
        <x:v>Средняя</x:v>
      </x:c>
      <x:c r="K13" s="28" t="str">
        <x:v>The Art &amp; Science of Foodpairing.pdf</x:v>
      </x:c>
      <x:c r="L13" s="28" t="str">
        <x:v>The Art &amp; Science of Foodpairing.pdf: 224</x:v>
      </x:c>
    </x:row>
    <x:row r="14" ht="64" customHeight="1">
      <x:c r="A14" s="28" t="str">
        <x:v>NCT-0035</x:v>
      </x:c>
      <x:c r="B14" s="28" t="str">
        <x:v>арахис</x:v>
      </x:c>
      <x:c r="C14" s="28" t="str">
        <x:v>спаржа</x:v>
      </x:c>
      <x:c r="D14" s="28" t="str">
        <x:v>Овощи, бобовые и грибы</x:v>
      </x:c>
      <x:c r="E14" s="28" t="str">
        <x:v>общие ароматические соединения</x:v>
      </x:c>
      <x:c r="F14" s="28" t="str">
        <x:v>Арахис имеет профиль «бобовый и зелёный в сыром виде; жареный, ореховый и какаоподобный после обжарки». Партнёр «спаржа»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4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4" s="28" t="str">
        <x:v>сильный аллерген; риск прогоркания и загрязнения плесенью при плохом хранении</x:v>
      </x:c>
      <x:c r="I14" s="28" t="str">
        <x:v>пралине, паста, выпечка, гарнир, соус, молочный или коктейльный компонент с спаржа</x:v>
      </x:c>
      <x:c r="J14" s="28" t="str">
        <x:v>Средняя</x:v>
      </x:c>
      <x:c r="K14" s="28" t="str">
        <x:v>Тезариус вкусов (Ники Сегнит)(1).pdf</x:v>
      </x:c>
      <x:c r="L14" s="28" t="str">
        <x:v>Тезариус вкусов (Ники Сегнит)(1).pdf: 56, 345</x:v>
      </x:c>
    </x:row>
    <x:row r="15" ht="64" customHeight="1">
      <x:c r="A15" s="28" t="str">
        <x:v>NCT-0036</x:v>
      </x:c>
      <x:c r="B15" s="28" t="str">
        <x:v>арахис</x:v>
      </x:c>
      <x:c r="C15" s="28" t="str">
        <x:v>томаты</x:v>
      </x:c>
      <x:c r="D15" s="28" t="str">
        <x:v>Овощи, бобовые и грибы</x:v>
      </x:c>
      <x:c r="E15" s="28" t="str">
        <x:v>сенсорная комплементарность</x:v>
      </x:c>
      <x:c r="F15" s="28" t="str">
        <x:v>Арахис имеет профиль «бобовый и зелёный в сыром виде; жареный, ореховый и какаоподобный после обжарки». Партнёр «томаты» относится к группе «Овощи, бобовые и грибы» и даёт зелёный, умами, фруктовый.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5" s="28" t="str">
        <x:v>обжарка формирует ключевую ореховую ароматику; сырое зерно сохраняет травяно-бобовые ноты. Целый орех обжаривать умеренно, охлаждать перед измельчением и хранить герметично.</x:v>
      </x:c>
      <x:c r="H15" s="28" t="str">
        <x:v>сильный аллерген; риск прогоркания и загрязнения плесенью при плохом хранении</x:v>
      </x:c>
      <x:c r="I15" s="28" t="str">
        <x:v>пралине, паста, выпечка, гарнир, соус, молочный или коктейльный компонент с томаты</x:v>
      </x:c>
      <x:c r="J15" s="28" t="str">
        <x:v>Средняя</x:v>
      </x:c>
      <x:c r="K15" s="28" t="str">
        <x:v>Тезариус вкусов (Ники Сегнит)(1).pdf</x:v>
      </x:c>
      <x:c r="L15" s="28" t="str">
        <x:v>Тезариус вкусов (Ники Сегнит)(1).pdf: 56, 680</x:v>
      </x:c>
    </x:row>
    <x:row r="16" ht="64" customHeight="1">
      <x:c r="A16" s="28" t="str">
        <x:v>NCT-0042</x:v>
      </x:c>
      <x:c r="B16" s="28" t="str">
        <x:v>белый шоколад</x:v>
      </x:c>
      <x:c r="C16" s="28" t="str">
        <x:v>baechu kimchi</x:v>
      </x:c>
      <x:c r="D16" s="28" t="str">
        <x:v>Ферментированные продукты и соусы</x:v>
      </x:c>
      <x:c r="E16" s="28" t="str">
        <x:v>солёно-умами контраст</x:v>
      </x:c>
      <x:c r="F16" s="28" t="str">
        <x:v>Белый шоколад имеет профиль «сливочный, ванильный, карамельный и маслянистый без выраженного какаового жареного профиля». Партнёр «baechu kimchi» относится к группе «Ферментированные продукты и соусы» и даёт ферментированный, умами и сложный.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6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16" s="28" t="str">
        <x:v>легко становится приторным и восковым; требует точной температуры темперирования</x:v>
      </x:c>
      <x:c r="I16" s="28" t="str">
        <x:v>ганаш, плитка, крем, мусс, напиток, глазурь или соус с baechu kimchi</x:v>
      </x:c>
      <x:c r="J16" s="28" t="str">
        <x:v>Средняя</x:v>
      </x:c>
      <x:c r="K16" s="28" t="str">
        <x:v>The Art &amp; Science of Foodpairing.pdf</x:v>
      </x:c>
      <x:c r="L16" s="28" t="str">
        <x:v>The Art &amp; Science of Foodpairing.pdf: 305</x:v>
      </x:c>
    </x:row>
    <x:row r="17" ht="64" customHeight="1">
      <x:c r="A17" s="28" t="str">
        <x:v>NCT-0043</x:v>
      </x:c>
      <x:c r="B17" s="28" t="str">
        <x:v>белый шоколад</x:v>
      </x:c>
      <x:c r="C17" s="28" t="str">
        <x:v>balsamic vinegar</x:v>
      </x:c>
      <x:c r="D17" s="28" t="str">
        <x:v>Ферментированные продукты и соусы</x:v>
      </x:c>
      <x:c r="E17" s="28" t="str">
        <x:v>солёно-умами контраст</x:v>
      </x:c>
      <x:c r="F17" s="28" t="str">
        <x:v>Белый шоколад имеет профиль «сливочный, ванильный, карамельный и маслянистый без выраженного какаового жареного профиля». Партнёр «balsamic vinegar» относится к группе «Ферментированные продукты и соусы» и даёт ферментированный, умами и сложный.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7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17" s="28" t="str">
        <x:v>легко становится приторным и восковым; требует точной температуры темперирования</x:v>
      </x:c>
      <x:c r="I17" s="28" t="str">
        <x:v>ганаш, плитка, крем, мусс, напиток, глазурь или соус с balsamic vinegar</x:v>
      </x:c>
      <x:c r="J17" s="28" t="str">
        <x:v>Средняя</x:v>
      </x:c>
      <x:c r="K17" s="28" t="str">
        <x:v>The Art &amp; Science of Foodpairing.pdf</x:v>
      </x:c>
      <x:c r="L17" s="28" t="str">
        <x:v>The Art &amp; Science of Foodpairing.pdf: 316</x:v>
      </x:c>
    </x:row>
    <x:row r="18" ht="64" customHeight="1">
      <x:c r="A18" s="28" t="str">
        <x:v>NCT-0064</x:v>
      </x:c>
      <x:c r="B18" s="28" t="str">
        <x:v>белый шоколад</x:v>
      </x:c>
      <x:c r="C18" s="28" t="str">
        <x:v>черная икра</x:v>
      </x:c>
      <x:c r="D18" s="28" t="str">
        <x:v>Рыба и морепродукты</x:v>
      </x:c>
      <x:c r="E18" s="28" t="str">
        <x:v>солёно-умами контраст</x:v>
      </x:c>
      <x:c r="F18" s="28" t="str">
        <x:v>Белый шоколад имеет профиль «сливочный, ванильный, карамельный и маслянистый без выраженного какаового жареного профиля». Партнёр «черная икра»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8" s="28" t="str">
        <x:v>мягкое плавление сохраняет молочные ноты; длительный нагрев ведёт к карамелизации и профилю блонд-шоколада. Темперировать или плавить мягко; водную фазу вводить как стабильную эмульсию, чтобы избежать расслоения.</x:v>
      </x:c>
      <x:c r="H18" s="28" t="str">
        <x:v>легко становится приторным и восковым; требует точной температуры темперирования; малейшая прогорклость ореха или шоколада усиливает неприятные рыбные оттенки</x:v>
      </x:c>
      <x:c r="I18" s="28" t="str">
        <x:v>ганаш, плитка, крем, мусс, напиток, глазурь или соус с черная икра</x:v>
      </x:c>
      <x:c r="J18" s="28" t="str">
        <x:v>Средняя</x:v>
      </x:c>
      <x:c r="K18" s="28" t="str">
        <x:v>Тезариус вкусов (Ники Сегнит)(1).pdf</x:v>
      </x:c>
      <x:c r="L18" s="28" t="str">
        <x:v>Тезариус вкусов (Ники Сегнит)(1).pdf: 405, 926</x:v>
      </x:c>
    </x:row>
    <x:row r="19" ht="64" customHeight="1">
      <x:c r="A19" s="28" t="str">
        <x:v>NCT-0068</x:v>
      </x:c>
      <x:c r="B19" s="28" t="str">
        <x:v>бразильский орех</x:v>
      </x:c>
      <x:c r="C19" s="28" t="str">
        <x:v>картофель фри</x:v>
      </x:c>
      <x:c r="D19" s="28" t="str">
        <x:v>Овощи, бобовые и грибы</x:v>
      </x:c>
      <x:c r="E19" s="28" t="str">
        <x:v>общие ароматические соединения, пересечение ароматических семейств</x:v>
      </x:c>
      <x:c r="F19" s="28" t="str">
        <x:v>Бразильский орех имеет профиль «маслянистый, древесный, землистый и мягко-ореховый». Партнёр «картофель фри»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землистый; альдегиды.</x:v>
      </x:c>
      <x:c r="G19" s="28" t="str">
        <x:v>обжарка усиливает жареные и сернистые оттенки. Целый орех обжаривать умеренно, охлаждать перед измельчением и хранить герметично.</x:v>
      </x:c>
      <x:c r="H19" s="28" t="str">
        <x:v>аллерген; очень богат селеном, поэтому не подходит для бесконтрольной высокой дозировки</x:v>
      </x:c>
      <x:c r="I19" s="28" t="str">
        <x:v>пралине, паста, выпечка, гарнир, соус, молочный или коктейльный компонент с картофель фри</x:v>
      </x:c>
      <x:c r="J19" s="28" t="str">
        <x:v>Средняя</x:v>
      </x:c>
      <x:c r="K19" s="28" t="str">
        <x:v>The Art &amp; Science of Foodpairing.pdf</x:v>
      </x:c>
      <x:c r="L19" s="28" t="str">
        <x:v>The Art &amp; Science of Foodpairing.pdf: 196</x:v>
      </x:c>
    </x:row>
    <x:row r="20" ht="64" customHeight="1">
      <x:c r="A20" s="28" t="str">
        <x:v>NCT-0070</x:v>
      </x:c>
      <x:c r="B20" s="28" t="str">
        <x:v>грецкий орех</x:v>
      </x:c>
      <x:c r="C20" s="28" t="str">
        <x:v>sweet potato</x:v>
      </x:c>
      <x:c r="D20" s="28" t="str">
        <x:v>Овощи, бобовые и грибы</x:v>
      </x:c>
      <x:c r="E20" s="28" t="str">
        <x:v>пересечение ароматических семейств</x:v>
      </x:c>
      <x:c r="F20" s="28" t="str">
        <x:v>Грецкий орех имеет профиль «ореховый, древесный, землистый, слегка горький и маслянистый». Партнёр «sweet potato»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20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20" s="28" t="str">
        <x:v>аллерген; быстро окисляется; горькая кожица способна доминировать</x:v>
      </x:c>
      <x:c r="I20" s="28" t="str">
        <x:v>пралине, паста, выпечка, гарнир, соус, молочный или коктейльный компонент с sweet potato</x:v>
      </x:c>
      <x:c r="J20" s="28" t="str">
        <x:v>Средняя</x:v>
      </x:c>
      <x:c r="K20" s="28" t="str">
        <x:v>The Art &amp; Science of Foodpairing.pdf</x:v>
      </x:c>
      <x:c r="L20" s="28" t="str">
        <x:v>The Art &amp; Science of Foodpairing.pdf: 119</x:v>
      </x:c>
    </x:row>
    <x:row r="21" ht="64" customHeight="1">
      <x:c r="A21" s="28" t="str">
        <x:v>NCT-0077</x:v>
      </x:c>
      <x:c r="B21" s="28" t="str">
        <x:v>грецкий орех</x:v>
      </x:c>
      <x:c r="C21" s="28" t="str">
        <x:v>баклажан</x:v>
      </x:c>
      <x:c r="D21" s="28" t="str">
        <x:v>Овощи, бобовые и грибы</x:v>
      </x:c>
      <x:c r="E21" s="28" t="str">
        <x:v>пересечение ароматических семейств</x:v>
      </x:c>
      <x:c r="F21" s="28" t="str">
        <x:v>Грецкий орех имеет профиль «ореховый, древесный, землистый, слегка горький и маслянистый». Партнёр «баклажан»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21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21" s="28" t="str">
        <x:v>аллерген; быстро окисляется; горькая кожица способна доминировать</x:v>
      </x:c>
      <x:c r="I21" s="28" t="str">
        <x:v>пралине, паста, выпечка, гарнир, соус, молочный или коктейльный компонент с баклажан</x:v>
      </x:c>
      <x:c r="J21" s="28" t="str">
        <x:v>Средняя</x:v>
      </x:c>
      <x:c r="K21" s="28" t="str">
        <x:v>Тезариус вкусов (Ники Сегнит)(1).pdf</x:v>
      </x:c>
      <x:c r="L21" s="28" t="str">
        <x:v>Тезариус вкусов (Ники Сегнит)(1).pdf: 210, 623</x:v>
      </x:c>
    </x:row>
    <x:row r="22" ht="64" customHeight="1">
      <x:c r="A22" s="28" t="str">
        <x:v>NCT-0086</x:v>
      </x:c>
      <x:c r="B22" s="28" t="str">
        <x:v>грецкий орех</x:v>
      </x:c>
      <x:c r="C22" s="28" t="str">
        <x:v>говядина</x:v>
      </x:c>
      <x:c r="D22" s="28" t="str">
        <x:v>Мясо и птица</x:v>
      </x:c>
      <x:c r="E22" s="28" t="str">
        <x:v>общие ароматические соединения, жареная химия и реакции Майяра, солёно-умами контраст</x:v>
      </x:c>
      <x:c r="F22" s="28" t="str">
        <x:v>Грецкий орех имеет профиль «ореховый, древесный, землистый, слегка горький и маслянистый». Партнёр «говядина»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22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22" s="28" t="str">
        <x:v>аллерген; быстро окисляется; горькая кожица способна доминировать</x:v>
      </x:c>
      <x:c r="I22" s="28" t="str">
        <x:v>пралине, паста, выпечка, гарнир, соус, молочный или коктейльный компонент с говядина</x:v>
      </x:c>
      <x:c r="J22" s="28" t="str">
        <x:v>Средняя</x:v>
      </x:c>
      <x:c r="K22" s="28" t="str">
        <x:v>Тезариус вкусов (Ники Сегнит)(1).pdf</x:v>
      </x:c>
      <x:c r="L22" s="28" t="str">
        <x:v>Тезариус вкусов (Ники Сегнит)(1).pdf: 108, 625</x:v>
      </x:c>
    </x:row>
    <x:row r="23" ht="64" customHeight="1">
      <x:c r="A23" s="28" t="str">
        <x:v>NCT-0088</x:v>
      </x:c>
      <x:c r="B23" s="28" t="str">
        <x:v>грецкий орех</x:v>
      </x:c>
      <x:c r="C23" s="28" t="str">
        <x:v>грибы</x:v>
      </x:c>
      <x:c r="D23" s="28" t="str">
        <x:v>Овощи, бобовые и грибы</x:v>
      </x:c>
      <x:c r="E23" s="28" t="str">
        <x:v>пересечение ароматических семейств</x:v>
      </x:c>
      <x:c r="F23" s="28" t="str">
        <x:v>Грецкий орех имеет профиль «ореховый, древесный, землистый, слегка горький и маслянистый». Партнёр «грибы»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23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23" s="28" t="str">
        <x:v>аллерген; быстро окисляется; горькая кожица способна доминировать</x:v>
      </x:c>
      <x:c r="I23" s="28" t="str">
        <x:v>пралине, паста, выпечка, гарнир, соус, молочный или коктейльный компонент с грибы</x:v>
      </x:c>
      <x:c r="J23" s="28" t="str">
        <x:v>Средняя</x:v>
      </x:c>
      <x:c r="K23" s="28" t="str">
        <x:v>Тезариус вкусов (Ники Сегнит)(1).pdf</x:v>
      </x:c>
      <x:c r="L23" s="28" t="str">
        <x:v>Тезариус вкусов (Ники Сегнит)(1).pdf: 195, 625</x:v>
      </x:c>
    </x:row>
    <x:row r="24" ht="64" customHeight="1">
      <x:c r="A24" s="28" t="str">
        <x:v>NCT-0100</x:v>
      </x:c>
      <x:c r="B24" s="28" t="str">
        <x:v>грецкий орех</x:v>
      </x:c>
      <x:c r="C24" s="28" t="str">
        <x:v>морковь</x:v>
      </x:c>
      <x:c r="D24" s="28" t="str">
        <x:v>Овощи, бобовые и грибы</x:v>
      </x:c>
      <x:c r="E24" s="28" t="str">
        <x:v>пересечение ароматических семейств</x:v>
      </x:c>
      <x:c r="F24" s="28" t="str">
        <x:v>Грецкий орех имеет профиль «ореховый, древесный, землистый, слегка горький и маслянистый». Партнёр «морковь»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24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24" s="28" t="str">
        <x:v>аллерген; быстро окисляется; горькая кожица способна доминировать</x:v>
      </x:c>
      <x:c r="I24" s="28" t="str">
        <x:v>пралине, паста, выпечка, гарнир, соус, молочный или коктейльный компонент с морковь</x:v>
      </x:c>
      <x:c r="J24" s="28" t="str">
        <x:v>Средняя</x:v>
      </x:c>
      <x:c r="K24" s="28" t="str">
        <x:v>Тезариус вкусов (Ники Сегнит)(1).pdf</x:v>
      </x:c>
      <x:c r="L24" s="28" t="str">
        <x:v>Тезариус вкусов (Ники Сегнит)(1).pdf: 602, 627</x:v>
      </x:c>
    </x:row>
    <x:row r="25" ht="64" customHeight="1">
      <x:c r="A25" s="28" t="str">
        <x:v>NCT-0110</x:v>
      </x:c>
      <x:c r="B25" s="28" t="str">
        <x:v>грецкий орех</x:v>
      </x:c>
      <x:c r="C25" s="28" t="str">
        <x:v>свекла</x:v>
      </x:c>
      <x:c r="D25" s="28" t="str">
        <x:v>Овощи, бобовые и грибы</x:v>
      </x:c>
      <x:c r="E25" s="28" t="str">
        <x:v>пересечение ароматических семейств</x:v>
      </x:c>
      <x:c r="F25" s="28" t="str">
        <x:v>Грецкий орех имеет профиль «ореховый, древесный, землистый, слегка горький и маслянистый». Партнёр «свекла» относится к группе «Овощи, бобовые и грибы» и даёт землистый, сладкий.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25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25" s="28" t="str">
        <x:v>аллерген; быстро окисляется; горькая кожица способна доминировать</x:v>
      </x:c>
      <x:c r="I25" s="28" t="str">
        <x:v>пралине, паста, выпечка, гарнир, соус, молочный или коктейльный компонент с свекла</x:v>
      </x:c>
      <x:c r="J25" s="28" t="str">
        <x:v>Средняя</x:v>
      </x:c>
      <x:c r="K25" s="28" t="str">
        <x:v>Тезариус вкусов (Ники Сегнит)(1).pdf</x:v>
      </x:c>
      <x:c r="L25" s="28" t="str">
        <x:v>Тезариус вкусов (Ники Сегнит)(1).pdf: 223, 225, 628</x:v>
      </x:c>
    </x:row>
    <x:row r="26" ht="64" customHeight="1">
      <x:c r="A26" s="28" t="str">
        <x:v>NCT-0115</x:v>
      </x:c>
      <x:c r="B26" s="28" t="str">
        <x:v>грецкий орех</x:v>
      </x:c>
      <x:c r="C26" s="28" t="str">
        <x:v>цветная капуста</x:v>
      </x:c>
      <x:c r="D26" s="28" t="str">
        <x:v>Овощи, бобовые и грибы</x:v>
      </x:c>
      <x:c r="E26" s="28" t="str">
        <x:v>пересечение ароматических семейств</x:v>
      </x:c>
      <x:c r="F26" s="28" t="str">
        <x:v>Грецкий орех имеет профиль «ореховый, древесный, землистый, слегка горький и маслянистый». Партнёр «цветная капуста»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26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26" s="28" t="str">
        <x:v>аллерген; быстро окисляется; горькая кожица способна доминировать</x:v>
      </x:c>
      <x:c r="I26" s="28" t="str">
        <x:v>пралине, паста, выпечка, гарнир, соус, молочный или коктейльный компонент с цветная капуста</x:v>
      </x:c>
      <x:c r="J26" s="28" t="str">
        <x:v>Средняя</x:v>
      </x:c>
      <x:c r="K26" s="28" t="str">
        <x:v>Тезариус вкусов (Ники Сегнит)(1).pdf</x:v>
      </x:c>
      <x:c r="L26" s="28" t="str">
        <x:v>Тезариус вкусов (Ники Сегнит)(1).pdf: 321, 629</x:v>
      </x:c>
    </x:row>
    <x:row r="27" ht="64" customHeight="1">
      <x:c r="A27" s="28" t="str">
        <x:v>NCT-0118</x:v>
      </x:c>
      <x:c r="B27" s="28" t="str">
        <x:v>грецкий орех</x:v>
      </x:c>
      <x:c r="C27" s="28" t="str">
        <x:v>чеснок</x:v>
      </x:c>
      <x:c r="D27" s="28" t="str">
        <x:v>Овощи, бобовые и грибы</x:v>
      </x:c>
      <x:c r="E27" s="28" t="str">
        <x:v>пересечение ароматических семейств</x:v>
      </x:c>
      <x:c r="F27" s="28" t="str">
        <x:v>Грецкий орех имеет профиль «ореховый, древесный, землистый, слегка горький и маслянистый». Партнёр «чеснок» относится к группе «Овощи, бобовые и грибы» и даёт зелёный, землистый или умами. Профили пересекаются в семействах: землистый Ореховый жир служит носителем ароматов и создаёт текстурный контраст, но окисление быстро превращает профиль в прогорклый. Итог: землистый; механизм не следует сводить к одной общей молекуле.</x:v>
      </x:c>
      <x:c r="G27" s="28" t="str">
        <x:v>лёгкая обжарка округляет вкус; измельчение и тепло резко ускоряют прогоркание. Целый орех обжаривать умеренно, охлаждать перед измельчением и хранить герметично.</x:v>
      </x:c>
      <x:c r="H27" s="28" t="str">
        <x:v>аллерген; быстро окисляется; горькая кожица способна доминировать</x:v>
      </x:c>
      <x:c r="I27" s="28" t="str">
        <x:v>пралине, паста, выпечка, гарнир, соус, молочный или коктейльный компонент с чеснок</x:v>
      </x:c>
      <x:c r="J27" s="28" t="str">
        <x:v>Средняя</x:v>
      </x:c>
      <x:c r="K27" s="28" t="str">
        <x:v>Тезариус вкусов (Ники Сегнит)(1).pdf</x:v>
      </x:c>
      <x:c r="L27" s="28" t="str">
        <x:v>Тезариус вкусов (Ники Сегнит)(1).pdf: 293, 630</x:v>
      </x:c>
    </x:row>
    <x:row r="28" ht="64" customHeight="1">
      <x:c r="A28" s="28" t="str">
        <x:v>NCT-0126</x:v>
      </x:c>
      <x:c r="B28" s="28" t="str">
        <x:v>зелёный чай</x:v>
      </x:c>
      <x:c r="C28" s="28" t="str">
        <x:v>fish</x:v>
      </x:c>
      <x:c r="D28" s="28" t="str">
        <x:v>Рыба и морепродукты</x:v>
      </x:c>
      <x:c r="E28" s="28" t="str">
        <x:v>пересечение ароматических семейств, солёно-умами контраст</x:v>
      </x:c>
      <x:c r="F28" s="28" t="str">
        <x:v>Зелёный чай имеет профиль «зелёный, морской, травянистый, цветочный и слегка жареный; у матча — умами». Партнёр «fish» относится к группе «Рыба и морепродукты» и даёт морской, солоноватый и умами. Профили пересекаются в семействах: морской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морской; механизм не следует сводить к одной общей молекуле.</x:v>
      </x:c>
      <x:c r="G28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8" s="28" t="str">
        <x:v>переэкстракция; матча легко становится меловой и горькой; кофеин; слишком горячая вода и долгое заваривание усиливают терпкость; малейшая прогорклость ореха или шоколада усиливает неприятные рыбные оттенки</x:v>
      </x:c>
      <x:c r="I28" s="28" t="str">
        <x:v>чайный настой, холодный чай, кордиал, молочный пунш, десерт или соус с fish</x:v>
      </x:c>
      <x:c r="J28" s="28" t="str">
        <x:v>Средняя</x:v>
      </x:c>
      <x:c r="K28" s="28" t="str">
        <x:v>The Art &amp; Science of Foodpairing.pdf</x:v>
      </x:c>
      <x:c r="L28" s="28" t="str">
        <x:v>The Art &amp; Science of Foodpairing.pdf: 104</x:v>
      </x:c>
    </x:row>
    <x:row r="29" ht="64" customHeight="1">
      <x:c r="A29" s="28" t="str">
        <x:v>NCT-0127</x:v>
      </x:c>
      <x:c r="B29" s="28" t="str">
        <x:v>зелёный чай</x:v>
      </x:c>
      <x:c r="C29" s="28" t="str">
        <x:v>garlic</x:v>
      </x:c>
      <x:c r="D29" s="28" t="str">
        <x:v>Овощи, бобовые и грибы</x:v>
      </x:c>
      <x:c r="E29" s="28" t="str">
        <x:v>пересечение ароматических семейств</x:v>
      </x:c>
      <x:c r="F29" s="28" t="str">
        <x:v>Зелёный чай имеет профиль «зелёный, морской, травянистый, цветочный и слегка жареный; у матча — умами». Партнёр «garlic» относится к группе «Овощи, бобовые и грибы» и даёт зелёный, землистый или умами. Профили пересекаются в семействах: зелёный Полифенолы создают терпкость, поэтому сахар, жир, соль или умами могут смягчить сухость; чрезмерно танинный партнёр, наоборот, её усиливает. Итог: зелёный; механизм не следует сводить к одной общей молекуле.</x:v>
      </x:c>
      <x:c r="G29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29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29" s="28" t="str">
        <x:v>чайный настой, холодный чай, кордиал, молочный пунш, десерт или соус с garlic</x:v>
      </x:c>
      <x:c r="J29" s="28" t="str">
        <x:v>Средняя</x:v>
      </x:c>
      <x:c r="K29" s="28" t="str">
        <x:v>The Art &amp; Science of Foodpairing.pdf</x:v>
      </x:c>
      <x:c r="L29" s="28" t="str">
        <x:v>The Art &amp; Science of Foodpairing.pdf: 113</x:v>
      </x:c>
    </x:row>
    <x:row r="30" ht="64" customHeight="1">
      <x:c r="A30" s="28" t="str">
        <x:v>NCT-0128</x:v>
      </x:c>
      <x:c r="B30" s="28" t="str">
        <x:v>зелёный чай</x:v>
      </x:c>
      <x:c r="C30" s="28" t="str">
        <x:v>meat</x:v>
      </x:c>
      <x:c r="D30" s="28" t="str">
        <x:v>Мясо и птица</x:v>
      </x:c>
      <x:c r="E30" s="28" t="str">
        <x:v>жареная химия и реакции Майяра, солёно-умами контраст</x:v>
      </x:c>
      <x:c r="F30" s="28" t="str">
        <x:v>Зелёный чай имеет профиль «зелёный, морской, травянистый, цветочный и слегка жареный; у матча — умами». Партнёр «meat»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30" s="28" t="str">
        <x:v>слишком горячая вода усиливает горечь и разрушает свежие ноты; обжаренные сорта дают ореховый профиль.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30" s="28" t="str">
        <x:v>переэкстракция; матча легко становится меловой и горькой; кофеин; слишком горячая вода и долгое заваривание усиливают терпкость</x:v>
      </x:c>
      <x:c r="I30" s="28" t="str">
        <x:v>чайный настой, холодный чай, кордиал, молочный пунш, десерт или соус с meat</x:v>
      </x:c>
      <x:c r="J30" s="28" t="str">
        <x:v>Средняя</x:v>
      </x:c>
      <x:c r="K30" s="28" t="str">
        <x:v>The Art &amp; Science of Foodpairing.pdf</x:v>
      </x:c>
      <x:c r="L30" s="28" t="str">
        <x:v>The Art &amp; Science of Foodpairing.pdf: 186</x:v>
      </x:c>
    </x:row>
    <x:row r="31" ht="64" customHeight="1">
      <x:c r="A31" s="28" t="str">
        <x:v>NCT-0141</x:v>
      </x:c>
      <x:c r="B31" s="28" t="str">
        <x:v>каштан</x:v>
      </x:c>
      <x:c r="C31" s="28" t="str">
        <x:v>баранина</x:v>
      </x:c>
      <x:c r="D31" s="28" t="str">
        <x:v>Мясо и птица</x:v>
      </x:c>
      <x:c r="E31" s="28" t="str">
        <x:v>общие ароматические соединения, жареная химия и реакции Майяра, солёно-умами контраст</x:v>
      </x:c>
      <x:c r="F31" s="28" t="str">
        <x:v>Каштан имеет профиль «крахмалистый, сладкий, древесный, слегка какаовый и печёный». Партнёр «баранина»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31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31" s="28" t="str">
        <x:v>сырой каштан жёсткий; требуется надрез перед запеканием; водянистое пюре размывает аромат</x:v>
      </x:c>
      <x:c r="I31" s="28" t="str">
        <x:v>пралине, паста, выпечка, гарнир, соус, молочный или коктейльный компонент с баранина</x:v>
      </x:c>
      <x:c r="J31" s="28" t="str">
        <x:v>Средняя</x:v>
      </x:c>
      <x:c r="K31" s="28" t="str">
        <x:v>Тезариус вкусов (Ники Сегнит)(1).pdf</x:v>
      </x:c>
      <x:c r="L31" s="28" t="str">
        <x:v>Тезариус вкусов (Ники Сегнит)(1).pdf: 130, 616</x:v>
      </x:c>
    </x:row>
    <x:row r="32" ht="64" customHeight="1">
      <x:c r="A32" s="28" t="str">
        <x:v>NCT-0144</x:v>
      </x:c>
      <x:c r="B32" s="28" t="str">
        <x:v>каштан</x:v>
      </x:c>
      <x:c r="C32" s="28" t="str">
        <x:v>грибы</x:v>
      </x:c>
      <x:c r="D32" s="28" t="str">
        <x:v>Овощи, бобовые и грибы</x:v>
      </x:c>
      <x:c r="E32" s="28" t="str">
        <x:v>общие ароматические соединения</x:v>
      </x:c>
      <x:c r="F32" s="28" t="str">
        <x:v>Каштан имеет профиль «крахмалистый, сладкий, древесный, слегка какаовый и печёный». Партнёр «грибы»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2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32" s="28" t="str">
        <x:v>сырой каштан жёсткий; требуется надрез перед запеканием; водянистое пюре размывает аромат</x:v>
      </x:c>
      <x:c r="I32" s="28" t="str">
        <x:v>пралине, паста, выпечка, гарнир, соус, молочный или коктейльный компонент с грибы</x:v>
      </x:c>
      <x:c r="J32" s="28" t="str">
        <x:v>Средняя</x:v>
      </x:c>
      <x:c r="K32" s="28" t="str">
        <x:v>Тезариус вкусов (Ники Сегнит)(1).pdf</x:v>
      </x:c>
      <x:c r="L32" s="28" t="str">
        <x:v>Тезариус вкусов (Ники Сегнит)(1).pdf: 197, 617</x:v>
      </x:c>
    </x:row>
    <x:row r="33" ht="64" customHeight="1">
      <x:c r="A33" s="28" t="str">
        <x:v>NCT-0149</x:v>
      </x:c>
      <x:c r="B33" s="28" t="str">
        <x:v>каштан</x:v>
      </x:c>
      <x:c r="C33" s="28" t="str">
        <x:v>капуста</x:v>
      </x:c>
      <x:c r="D33" s="28" t="str">
        <x:v>Овощи, бобовые и грибы</x:v>
      </x:c>
      <x:c r="E33" s="28" t="str">
        <x:v>общие ароматические соединения</x:v>
      </x:c>
      <x:c r="F33" s="28" t="str">
        <x:v>Каштан имеет профиль «крахмалистый, сладкий, древесный, слегка какаовый и печёный». Партнёр «капуста»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3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33" s="28" t="str">
        <x:v>сырой каштан жёсткий; требуется надрез перед запеканием; водянистое пюре размывает аромат</x:v>
      </x:c>
      <x:c r="I33" s="28" t="str">
        <x:v>пралине, паста, выпечка, гарнир, соус, молочный или коктейльный компонент с капуста</x:v>
      </x:c>
      <x:c r="J33" s="28" t="str">
        <x:v>Средняя</x:v>
      </x:c>
      <x:c r="K33" s="28" t="str">
        <x:v>Тезариус вкусов (Ники Сегнит)(1).pdf</x:v>
      </x:c>
      <x:c r="L33" s="28" t="str">
        <x:v>Тезариус вкусов (Ники Сегнит)(1).pdf: 311, 617</x:v>
      </x:c>
    </x:row>
    <x:row r="34" ht="64" customHeight="1">
      <x:c r="A34" s="28" t="str">
        <x:v>NCT-0159</x:v>
      </x:c>
      <x:c r="B34" s="28" t="str">
        <x:v>каштан</x:v>
      </x:c>
      <x:c r="C34" s="28" t="str">
        <x:v>свинина</x:v>
      </x:c>
      <x:c r="D34" s="28" t="str">
        <x:v>Мясо и птица</x:v>
      </x:c>
      <x:c r="E34" s="28" t="str">
        <x:v>общие ароматические соединения, жареная химия и реакции Майяра, солёно-умами контраст</x:v>
      </x:c>
      <x:c r="F34" s="28" t="str">
        <x:v>Каштан имеет профиль «крахмалистый, сладкий, древесный, слегка какаовый и печёный». Партнёр «свинина»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34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34" s="28" t="str">
        <x:v>сырой каштан жёсткий; требуется надрез перед запеканием; водянистое пюре размывает аромат</x:v>
      </x:c>
      <x:c r="I34" s="28" t="str">
        <x:v>пралине, паста, выпечка, гарнир, соус, молочный или коктейльный компонент с свинина</x:v>
      </x:c>
      <x:c r="J34" s="28" t="str">
        <x:v>Средняя</x:v>
      </x:c>
      <x:c r="K34" s="28" t="str">
        <x:v>Тезариус вкусов (Ники Сегнит)(1).pdf</x:v>
      </x:c>
      <x:c r="L34" s="28" t="str">
        <x:v>Тезариус вкусов (Ники Сегнит)(1).pdf: 85, 619</x:v>
      </x:c>
    </x:row>
    <x:row r="35" ht="64" customHeight="1">
      <x:c r="A35" s="28" t="str">
        <x:v>NCT-0164</x:v>
      </x:c>
      <x:c r="B35" s="28" t="str">
        <x:v>каштан</x:v>
      </x:c>
      <x:c r="C35" s="28" t="str">
        <x:v>тыква баттернат</x:v>
      </x:c>
      <x:c r="D35" s="28" t="str">
        <x:v>Овощи, бобовые и грибы</x:v>
      </x:c>
      <x:c r="E35" s="28" t="str">
        <x:v>общие ароматические соединения</x:v>
      </x:c>
      <x:c r="F35" s="28" t="str">
        <x:v>Каштан имеет профиль «крахмалистый, сладкий, древесный, слегка какаовый и печёный». Партнёр «тыква баттернат»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5" s="28" t="str">
        <x:v>хранение и нагрев превращают крахмал в более сладкий профиль; запекание создаёт фураны и карамельные ноты. Целый орех обжаривать умеренно, охлаждать перед измельчением и хранить герметично.</x:v>
      </x:c>
      <x:c r="H35" s="28" t="str">
        <x:v>сырой каштан жёсткий; требуется надрез перед запеканием; водянистое пюре размывает аромат</x:v>
      </x:c>
      <x:c r="I35" s="28" t="str">
        <x:v>пралине, паста, выпечка, гарнир, соус, молочный или коктейльный компонент с тыква баттернат</x:v>
      </x:c>
      <x:c r="J35" s="28" t="str">
        <x:v>Средняя</x:v>
      </x:c>
      <x:c r="K35" s="28" t="str">
        <x:v>Тезариус вкусов (Ники Сегнит)(1).pdf</x:v>
      </x:c>
      <x:c r="L35" s="28" t="str">
        <x:v>Тезариус вкусов (Ники Сегнит)(1).pdf: 610, 620</x:v>
      </x:c>
    </x:row>
    <x:row r="36" ht="64" customHeight="1">
      <x:c r="A36" s="28" t="str">
        <x:v>NCT-0169</x:v>
      </x:c>
      <x:c r="B36" s="28" t="str">
        <x:v>кедровый орех</x:v>
      </x:c>
      <x:c r="C36" s="28" t="str">
        <x:v>fish</x:v>
      </x:c>
      <x:c r="D36" s="28" t="str">
        <x:v>Рыба и морепродукты</x:v>
      </x:c>
      <x:c r="E36" s="28" t="str">
        <x:v>общие ароматические соединения, солёно-умами контраст</x:v>
      </x:c>
      <x:c r="F36" s="28" t="str">
        <x:v>Кедровый орех имеет профиль «смолистый, сливочный, зелёный и ореховый».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6" s="28" t="str">
        <x:v>лёгкая обжарка усиливает ореховость, но быстро переходит в горечь. Целый орех обжаривать умеренно, охлаждать перед измельчением и хранить герметично.</x:v>
      </x:c>
      <x:c r="H36" s="28" t="str">
        <x:v>аллерген; прогоркание; у части партий возможен длительный горький привкус; малейшая прогорклость ореха или шоколада усиливает неприятные рыбные оттенки</x:v>
      </x:c>
      <x:c r="I36" s="28" t="str">
        <x:v>пралине, паста, выпечка, гарнир, соус, молочный или коктейльный компонент с fish</x:v>
      </x:c>
      <x:c r="J36" s="28" t="str">
        <x:v>Средняя</x:v>
      </x:c>
      <x:c r="K36" s="28" t="str">
        <x:v>The Art &amp; Science of Foodpairing.pdf</x:v>
      </x:c>
      <x:c r="L36" s="28" t="str">
        <x:v>The Art &amp; Science of Foodpairing.pdf: 104</x:v>
      </x:c>
    </x:row>
    <x:row r="37" ht="64" customHeight="1">
      <x:c r="A37" s="28" t="str">
        <x:v>NCT-0181</x:v>
      </x:c>
      <x:c r="B37" s="28" t="str">
        <x:v>кешью</x:v>
      </x:c>
      <x:c r="C37" s="28" t="str">
        <x:v>balsamic vinegar</x:v>
      </x:c>
      <x:c r="D37" s="28" t="str">
        <x:v>Ферментированные продукты и соусы</x:v>
      </x:c>
      <x:c r="E37" s="28" t="str">
        <x:v>общие ароматические соединения, пересечение ароматических семейств, солёно-умами контраст</x:v>
      </x:c>
      <x:c r="F37" s="28" t="str">
        <x:v>Кешью имеет профиль «сливочный, мягко-ореховый, сладковатый и жареный». Партнёр «balsamic vinegar»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37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37" s="28" t="str">
        <x:v>аллерген; оболочка сырого ореха содержит раздражающие вещества, поэтому используется обработанный пищевой продукт</x:v>
      </x:c>
      <x:c r="I37" s="28" t="str">
        <x:v>пралине, паста, выпечка, гарнир, соус, молочный или коктейльный компонент с balsamic vinegar</x:v>
      </x:c>
      <x:c r="J37" s="28" t="str">
        <x:v>Средняя</x:v>
      </x:c>
      <x:c r="K37" s="28" t="str">
        <x:v>The Art &amp; Science of Foodpairing.pdf</x:v>
      </x:c>
      <x:c r="L37" s="28" t="str">
        <x:v>The Art &amp; Science of Foodpairing.pdf: 316</x:v>
      </x:c>
    </x:row>
    <x:row r="38" ht="64" customHeight="1">
      <x:c r="A38" s="28" t="str">
        <x:v>NCT-0182</x:v>
      </x:c>
      <x:c r="B38" s="28" t="str">
        <x:v>кешью</x:v>
      </x:c>
      <x:c r="C38" s="28" t="str">
        <x:v>cucumber</x:v>
      </x:c>
      <x:c r="D38" s="28" t="str">
        <x:v>Овощи, бобовые и грибы</x:v>
      </x:c>
      <x:c r="E38" s="28" t="str">
        <x:v>общие ароматические соединения</x:v>
      </x:c>
      <x:c r="F38" s="28" t="str">
        <x:v>Кешью имеет профиль «сливочный, мягко-ореховый, сладковатый и жареный». Партнёр «cucumber»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8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38" s="28" t="str">
        <x:v>аллерген; оболочка сырого ореха содержит раздражающие вещества, поэтому используется обработанный пищевой продукт</x:v>
      </x:c>
      <x:c r="I38" s="28" t="str">
        <x:v>пралине, паста, выпечка, гарнир, соус, молочный или коктейльный компонент с cucumber</x:v>
      </x:c>
      <x:c r="J38" s="28" t="str">
        <x:v>Средняя</x:v>
      </x:c>
      <x:c r="K38" s="28" t="str">
        <x:v>The Art &amp; Science of Foodpairing.pdf</x:v>
      </x:c>
      <x:c r="L38" s="28" t="str">
        <x:v>The Art &amp; Science of Foodpairing.pdf: 268</x:v>
      </x:c>
    </x:row>
    <x:row r="39" ht="64" customHeight="1">
      <x:c r="A39" s="28" t="str">
        <x:v>NCT-0183</x:v>
      </x:c>
      <x:c r="B39" s="28" t="str">
        <x:v>кешью</x:v>
      </x:c>
      <x:c r="C39" s="28" t="str">
        <x:v>fish</x:v>
      </x:c>
      <x:c r="D39" s="28" t="str">
        <x:v>Рыба и морепродукты</x:v>
      </x:c>
      <x:c r="E39" s="28" t="str">
        <x:v>общие ароматические соединения, солёно-умами контраст</x:v>
      </x:c>
      <x:c r="F39" s="28" t="str">
        <x:v>Кешью имеет профиль «сливочный, мягко-ореховый, сладковатый и жареный».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39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39" s="28" t="str">
        <x:v>аллерген; оболочка сырого ореха содержит раздражающие вещества, поэтому используется обработанный пищевой продукт; малейшая прогорклость ореха или шоколада усиливает неприятные рыбные оттенки</x:v>
      </x:c>
      <x:c r="I39" s="28" t="str">
        <x:v>пралине, паста, выпечка, гарнир, соус, молочный или коктейльный компонент с fish</x:v>
      </x:c>
      <x:c r="J39" s="28" t="str">
        <x:v>Средняя</x:v>
      </x:c>
      <x:c r="K39" s="28" t="str">
        <x:v>The Art &amp; Science of Foodpairing.pdf</x:v>
      </x:c>
      <x:c r="L39" s="28" t="str">
        <x:v>The Art &amp; Science of Foodpairing.pdf: 104</x:v>
      </x:c>
    </x:row>
    <x:row r="40" ht="64" customHeight="1">
      <x:c r="A40" s="28" t="str">
        <x:v>NCT-0185</x:v>
      </x:c>
      <x:c r="B40" s="28" t="str">
        <x:v>кешью</x:v>
      </x:c>
      <x:c r="C40" s="28" t="str">
        <x:v>lberico ham</x:v>
      </x:c>
      <x:c r="D40" s="28" t="str">
        <x:v>Мясо и птица</x:v>
      </x:c>
      <x:c r="E4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0" s="28" t="str">
        <x:v>Кешью имеет профиль «сливочный, мягко-ореховый, сладковатый и жареный».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40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40" s="28" t="str">
        <x:v>аллерген; оболочка сырого ореха содержит раздражающие вещества, поэтому используется обработанный пищевой продукт</x:v>
      </x:c>
      <x:c r="I40" s="28" t="str">
        <x:v>пралине, паста, выпечка, гарнир, соус, молочный или коктейльный компонент с lberico ham</x:v>
      </x:c>
      <x:c r="J40" s="28" t="str">
        <x:v>Средняя</x:v>
      </x:c>
      <x:c r="K40" s="28" t="str">
        <x:v>The Art &amp; Science of Foodpairing.pdf</x:v>
      </x:c>
      <x:c r="L40" s="28" t="str">
        <x:v>The Art &amp; Science of Foodpairing.pdf: 278</x:v>
      </x:c>
    </x:row>
    <x:row r="41" ht="64" customHeight="1">
      <x:c r="A41" s="28" t="str">
        <x:v>NCT-0186</x:v>
      </x:c>
      <x:c r="B41" s="28" t="str">
        <x:v>кешью</x:v>
      </x:c>
      <x:c r="C41" s="28" t="str">
        <x:v>tomato and tomato puree</x:v>
      </x:c>
      <x:c r="D41" s="28" t="str">
        <x:v>Овощи, бобовые и грибы</x:v>
      </x:c>
      <x:c r="E41" s="28" t="str">
        <x:v>общие ароматические соединения</x:v>
      </x:c>
      <x:c r="F41" s="28" t="str">
        <x:v>Кешью имеет профиль «сливочный, мягко-ореховый, сладковатый и жареный». Партнёр «tomato and tomato puree»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41" s="28" t="str">
        <x:v>обжарка усиливает жареные ноты; замачивание создаёт нейтральную кремовую базу. Целый орех обжаривать умеренно, охлаждать перед измельчением и хранить герметично.</x:v>
      </x:c>
      <x:c r="H41" s="28" t="str">
        <x:v>аллерген; оболочка сырого ореха содержит раздражающие вещества, поэтому используется обработанный пищевой продукт</x:v>
      </x:c>
      <x:c r="I41" s="28" t="str">
        <x:v>пралине, паста, выпечка, гарнир, соус, молочный или коктейльный компонент с tomato and tomato puree</x:v>
      </x:c>
      <x:c r="J41" s="28" t="str">
        <x:v>Средняя</x:v>
      </x:c>
      <x:c r="K41" s="28" t="str">
        <x:v>The Art &amp; Science of Foodpairing.pdf</x:v>
      </x:c>
      <x:c r="L41" s="28" t="str">
        <x:v>The Art &amp; Science of Foodpairing.pdf: 161</x:v>
      </x:c>
    </x:row>
    <x:row r="42" ht="64" customHeight="1">
      <x:c r="A42" s="28" t="str">
        <x:v>NCT-0202</x:v>
      </x:c>
      <x:c r="B42" s="28" t="str">
        <x:v>кофе</x:v>
      </x:c>
      <x:c r="C42" s="28" t="str">
        <x:v>bayonne ham</x:v>
      </x:c>
      <x:c r="D42" s="28" t="str">
        <x:v>Мясо и птица</x:v>
      </x:c>
      <x:c r="E42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2" s="28" t="str">
        <x:v>Кофе имеет профиль «жареный, ореховый, карамельный, цветочный, фруктовый, фенольный и древесный». Партнёр «bayonne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4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2" s="28" t="str">
        <x:v>кофейный напиток, холодный кофе, крем, сироп, десерт или соус с bayonne ham</x:v>
      </x:c>
      <x:c r="J42" s="28" t="str">
        <x:v>Средняя</x:v>
      </x:c>
      <x:c r="K42" s="28" t="str">
        <x:v>The Art &amp; Science of Foodpairing.pdf</x:v>
      </x:c>
      <x:c r="L42" s="28" t="str">
        <x:v>The Art &amp; Science of Foodpairing.pdf: 297</x:v>
      </x:c>
    </x:row>
    <x:row r="43" ht="64" customHeight="1">
      <x:c r="A43" s="28" t="str">
        <x:v>NCT-0203</x:v>
      </x:c>
      <x:c r="B43" s="28" t="str">
        <x:v>кофе</x:v>
      </x:c>
      <x:c r="C43" s="28" t="str">
        <x:v>boiled carrot</x:v>
      </x:c>
      <x:c r="D43" s="28" t="str">
        <x:v>Овощи, бобовые и грибы</x:v>
      </x:c>
      <x:c r="E43" s="28" t="str">
        <x:v>сенсорная комплементарность</x:v>
      </x:c>
      <x:c r="F43" s="28" t="str">
        <x:v>Кофе имеет профиль «жареный, ореховый, карамельный, цветочный, фруктовый, фенольный и древесный». Партнёр «boiled carrot»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3" s="28" t="str">
        <x:v>кофейный напиток, холодный кофе, крем, сироп, десерт или соус с boiled carrot</x:v>
      </x:c>
      <x:c r="J43" s="28" t="str">
        <x:v>Средняя</x:v>
      </x:c>
      <x:c r="K43" s="28" t="str">
        <x:v>The Art &amp; Science of Foodpairing.pdf</x:v>
      </x:c>
      <x:c r="L43" s="28" t="str">
        <x:v>The Art &amp; Science of Foodpairing.pdf: 297</x:v>
      </x:c>
    </x:row>
    <x:row r="44" ht="64" customHeight="1">
      <x:c r="A44" s="28" t="str">
        <x:v>NCT-0209</x:v>
      </x:c>
      <x:c r="B44" s="28" t="str">
        <x:v>кофе</x:v>
      </x:c>
      <x:c r="C44" s="28" t="str">
        <x:v>douchi</x:v>
      </x:c>
      <x:c r="D44" s="28" t="str">
        <x:v>Ферментированные продукты и соусы</x:v>
      </x:c>
      <x:c r="E44" s="28" t="str">
        <x:v>общие ароматические соединения, пересечение ароматических семейств, солёно-умами контраст</x:v>
      </x:c>
      <x:c r="F44" s="28" t="str">
        <x:v>Кофе имеет профиль «жареный, ореховый, карамельный, цветочный, фруктовый, фенольный и древесный». Партнёр «douchi»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пиразины, фураны.</x:v>
      </x:c>
      <x:c r="G4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4" s="28" t="str">
        <x:v>кофейный напиток, холодный кофе, крем, сироп, десерт или соус с douchi</x:v>
      </x:c>
      <x:c r="J44" s="28" t="str">
        <x:v>Средняя</x:v>
      </x:c>
      <x:c r="K44" s="28" t="str">
        <x:v>The Art &amp; Science of Foodpairing.pdf</x:v>
      </x:c>
      <x:c r="L44" s="28" t="str">
        <x:v>The Art &amp; Science of Foodpairing.pdf: 297</x:v>
      </x:c>
    </x:row>
    <x:row r="45" ht="64" customHeight="1">
      <x:c r="A45" s="28" t="str">
        <x:v>NCT-0212</x:v>
      </x:c>
      <x:c r="B45" s="28" t="str">
        <x:v>кофе</x:v>
      </x:c>
      <x:c r="C45" s="28" t="str">
        <x:v>garlic</x:v>
      </x:c>
      <x:c r="D45" s="28" t="str">
        <x:v>Овощи, бобовые и грибы</x:v>
      </x:c>
      <x:c r="E45" s="28" t="str">
        <x:v>сенсорная комплементарность</x:v>
      </x:c>
      <x:c r="F45" s="28" t="str">
        <x:v>Кофе имеет профиль «жареный, ореховый, карамельный, цветочный, фруктовый, фенольный и древесный». Партнёр «garlic»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5" s="28" t="str">
        <x:v>кофейный напиток, холодный кофе, крем, сироп, десерт или соус с garlic</x:v>
      </x:c>
      <x:c r="J45" s="28" t="str">
        <x:v>Средняя</x:v>
      </x:c>
      <x:c r="K45" s="28" t="str">
        <x:v>The Art &amp; Science of Foodpairing.pdf</x:v>
      </x:c>
      <x:c r="L45" s="28" t="str">
        <x:v>The Art &amp; Science of Foodpairing.pdf: 113</x:v>
      </x:c>
    </x:row>
    <x:row r="46" ht="64" customHeight="1">
      <x:c r="A46" s="28" t="str">
        <x:v>NCT-0214</x:v>
      </x:c>
      <x:c r="B46" s="28" t="str">
        <x:v>кофе</x:v>
      </x:c>
      <x:c r="C46" s="28" t="str">
        <x:v>grilled turbot</x:v>
      </x:c>
      <x:c r="D46" s="28" t="str">
        <x:v>Рыба и морепродукты</x:v>
      </x:c>
      <x:c r="E46" s="28" t="str">
        <x:v>солёно-умами контраст</x:v>
      </x:c>
      <x:c r="F46" s="28" t="str">
        <x:v>Кофе имеет профиль «жареный, ореховый, карамельный, цветочный, фруктовый, фенольный и древесный». Партнёр «grilled turbot»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46" s="28" t="str">
        <x:v>кофейный напиток, холодный кофе, крем, сироп, десерт или соус с grilled turbot</x:v>
      </x:c>
      <x:c r="J46" s="28" t="str">
        <x:v>Средняя</x:v>
      </x:c>
      <x:c r="K46" s="28" t="str">
        <x:v>The Art &amp; Science of Foodpairing.pdf</x:v>
      </x:c>
      <x:c r="L46" s="28" t="str">
        <x:v>The Art &amp; Science of Foodpairing.pdf: 297</x:v>
      </x:c>
    </x:row>
    <x:row r="47" ht="64" customHeight="1">
      <x:c r="A47" s="28" t="str">
        <x:v>NCT-0216</x:v>
      </x:c>
      <x:c r="B47" s="28" t="str">
        <x:v>кофе</x:v>
      </x:c>
      <x:c r="C47" s="28" t="str">
        <x:v>korean fish sauce</x:v>
      </x:c>
      <x:c r="D47" s="28" t="str">
        <x:v>Рыба и морепродукты</x:v>
      </x:c>
      <x:c r="E47" s="28" t="str">
        <x:v>солёно-умами контраст</x:v>
      </x:c>
      <x:c r="F47" s="28" t="str">
        <x:v>Кофе имеет профиль «жареный, ореховый, карамельный, цветочный, фруктовый, фенольный и древесный». Партнёр «korean fish sauce»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47" s="28" t="str">
        <x:v>кофейный напиток, холодный кофе, крем, сироп, десерт или соус с korean fish sauce</x:v>
      </x:c>
      <x:c r="J47" s="28" t="str">
        <x:v>Средняя</x:v>
      </x:c>
      <x:c r="K47" s="28" t="str">
        <x:v>The Art &amp; Science of Foodpairing.pdf</x:v>
      </x:c>
      <x:c r="L47" s="28" t="str">
        <x:v>The Art &amp; Science of Foodpairing.pdf: 297</x:v>
      </x:c>
    </x:row>
    <x:row r="48" ht="64" customHeight="1">
      <x:c r="A48" s="28" t="str">
        <x:v>NCT-0217</x:v>
      </x:c>
      <x:c r="B48" s="28" t="str">
        <x:v>кофе</x:v>
      </x:c>
      <x:c r="C48" s="28" t="str">
        <x:v>lberico ham (jam6n 100% lberico</x:v>
      </x:c>
      <x:c r="D48" s="28" t="str">
        <x:v>Мясо и птица</x:v>
      </x:c>
      <x:c r="E4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48" s="28" t="str">
        <x:v>Кофе имеет профиль «жареный, ореховый, карамельный, цветочный, фруктовый, фенольный и древесный». Партнёр «lberico ham (jam6n 100% lberico»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4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48" s="28" t="str">
        <x:v>кофейный напиток, холодный кофе, крем, сироп, десерт или соус с lberico ham (jam6n 100% lberico</x:v>
      </x:c>
      <x:c r="J48" s="28" t="str">
        <x:v>Средняя</x:v>
      </x:c>
      <x:c r="K48" s="28" t="str">
        <x:v>The Art &amp; Science of Foodpairing.pdf</x:v>
      </x:c>
      <x:c r="L48" s="28" t="str">
        <x:v>The Art &amp; Science of Foodpairing.pdf: 297</x:v>
      </x:c>
    </x:row>
    <x:row r="49" ht="64" customHeight="1">
      <x:c r="A49" s="28" t="str">
        <x:v>NCT-0218</x:v>
      </x:c>
      <x:c r="B49" s="28" t="str">
        <x:v>кофе</x:v>
      </x:c>
      <x:c r="C49" s="28" t="str">
        <x:v>lobster</x:v>
      </x:c>
      <x:c r="D49" s="28" t="str">
        <x:v>Рыба и морепродукты</x:v>
      </x:c>
      <x:c r="E49" s="28" t="str">
        <x:v>солёно-умами контраст</x:v>
      </x:c>
      <x:c r="F49" s="28" t="str">
        <x:v>Кофе имеет профиль «жареный, ореховый, карамельный, цветочный, фруктовый, фенольный и древесный». Партнёр «lobster»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4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4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49" s="28" t="str">
        <x:v>кофейный напиток, холодный кофе, крем, сироп, десерт или соус с lobster</x:v>
      </x:c>
      <x:c r="J49" s="28" t="str">
        <x:v>Высокая</x:v>
      </x:c>
      <x:c r="K49" s="28" t="str">
        <x:v>The Art &amp; Science of Foodpairing.pdf</x:v>
      </x:c>
      <x:c r="L49" s="28" t="str">
        <x:v>The Art &amp; Science of Foodpairing.pdf: 296</x:v>
      </x:c>
    </x:row>
    <x:row r="50" ht="64" customHeight="1">
      <x:c r="A50" s="28" t="str">
        <x:v>NCT-0219</x:v>
      </x:c>
      <x:c r="B50" s="28" t="str">
        <x:v>кофе</x:v>
      </x:c>
      <x:c r="C50" s="28" t="str">
        <x:v>pan-fried duck breast</x:v>
      </x:c>
      <x:c r="D50" s="28" t="str">
        <x:v>Мясо и птица</x:v>
      </x:c>
      <x:c r="E5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0" s="28" t="str">
        <x:v>Кофе имеет профиль «жареный, ореховый, карамельный, цветочный, фруктовый, фенольный и древесный». Партнёр «pan-fried duck breast»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5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0" s="28" t="str">
        <x:v>кофейный напиток, холодный кофе, крем, сироп, десерт или соус с pan-fried duck breast</x:v>
      </x:c>
      <x:c r="J50" s="28" t="str">
        <x:v>Средняя</x:v>
      </x:c>
      <x:c r="K50" s="28" t="str">
        <x:v>The Art &amp; Science of Foodpairing.pdf</x:v>
      </x:c>
      <x:c r="L50" s="28" t="str">
        <x:v>The Art &amp; Science of Foodpairing.pdf: 297</x:v>
      </x:c>
    </x:row>
    <x:row r="51" ht="64" customHeight="1">
      <x:c r="A51" s="28" t="str">
        <x:v>NCT-0220</x:v>
      </x:c>
      <x:c r="B51" s="28" t="str">
        <x:v>кофе</x:v>
      </x:c>
      <x:c r="C51" s="28" t="str">
        <x:v>pan-fried quail</x:v>
      </x:c>
      <x:c r="D51" s="28" t="str">
        <x:v>Мясо и птица</x:v>
      </x:c>
      <x:c r="E51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1" s="28" t="str">
        <x:v>Кофе имеет профиль «жареный, ореховый, карамельный, цветочный, фруктовый, фенольный и древесный». Партнёр «pan-fried quail»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5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1" s="28" t="str">
        <x:v>кофейный напиток, холодный кофе, крем, сироп, десерт или соус с pan-fried quail</x:v>
      </x:c>
      <x:c r="J51" s="28" t="str">
        <x:v>Средняя</x:v>
      </x:c>
      <x:c r="K51" s="28" t="str">
        <x:v>The Art &amp; Science of Foodpairing.pdf</x:v>
      </x:c>
      <x:c r="L51" s="28" t="str">
        <x:v>The Art &amp; Science of Foodpairing.pdf: 297</x:v>
      </x:c>
    </x:row>
    <x:row r="52" ht="64" customHeight="1">
      <x:c r="A52" s="28" t="str">
        <x:v>NCT-0223</x:v>
      </x:c>
      <x:c r="B52" s="28" t="str">
        <x:v>кофе</x:v>
      </x:c>
      <x:c r="C52" s="28" t="str">
        <x:v>poached grey mullet</x:v>
      </x:c>
      <x:c r="D52" s="28" t="str">
        <x:v>Рыба и морепродукты</x:v>
      </x:c>
      <x:c r="E52" s="28" t="str">
        <x:v>солёно-умами контраст</x:v>
      </x:c>
      <x:c r="F52" s="28" t="str">
        <x:v>Кофе имеет профиль «жареный, ореховый, карамельный, цветочный, фруктовый, фенольный и древесный». Партнёр «poached grey mullet»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52" s="28" t="str">
        <x:v>кофейный напиток, холодный кофе, крем, сироп, десерт или соус с poached grey mullet</x:v>
      </x:c>
      <x:c r="J52" s="28" t="str">
        <x:v>Средняя</x:v>
      </x:c>
      <x:c r="K52" s="28" t="str">
        <x:v>The Art &amp; Science of Foodpairing.pdf</x:v>
      </x:c>
      <x:c r="L52" s="28" t="str">
        <x:v>The Art &amp; Science of Foodpairing.pdf: 297</x:v>
      </x:c>
    </x:row>
    <x:row r="53" ht="64" customHeight="1">
      <x:c r="A53" s="28" t="str">
        <x:v>NCT-0224</x:v>
      </x:c>
      <x:c r="B53" s="28" t="str">
        <x:v>кофе</x:v>
      </x:c>
      <x:c r="C53" s="28" t="str">
        <x:v>rainbow trout</x:v>
      </x:c>
      <x:c r="D53" s="28" t="str">
        <x:v>Рыба и морепродукты</x:v>
      </x:c>
      <x:c r="E53" s="28" t="str">
        <x:v>солёно-умами контраст</x:v>
      </x:c>
      <x:c r="F53" s="28" t="str">
        <x:v>Кофе имеет профиль «жареный, ореховый, карамельный, цветочный, фруктовый, фенольный и древесный». Партнёр «rainbow trout»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53" s="28" t="str">
        <x:v>кофейный напиток, холодный кофе, крем, сироп, десерт или соус с rainbow trout</x:v>
      </x:c>
      <x:c r="J53" s="28" t="str">
        <x:v>Средняя</x:v>
      </x:c>
      <x:c r="K53" s="28" t="str">
        <x:v>The Art &amp; Science of Foodpairing.pdf</x:v>
      </x:c>
      <x:c r="L53" s="28" t="str">
        <x:v>The Art &amp; Science of Foodpairing.pdf: 297</x:v>
      </x:c>
    </x:row>
    <x:row r="54" ht="64" customHeight="1">
      <x:c r="A54" s="28" t="str">
        <x:v>NCT-0227</x:v>
      </x:c>
      <x:c r="B54" s="28" t="str">
        <x:v>кофе</x:v>
      </x:c>
      <x:c r="C54" s="28" t="str">
        <x:v>roasted veal sweetbreads</x:v>
      </x:c>
      <x:c r="D54" s="28" t="str">
        <x:v>Мясо и птица</x:v>
      </x:c>
      <x:c r="E5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4" s="28" t="str">
        <x:v>Кофе имеет профиль «жареный, ореховый, карамельный, цветочный, фруктовый, фенольный и древесный». Партнёр «roasted veal sweetbreads»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5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4" s="28" t="str">
        <x:v>кофейный напиток, холодный кофе, крем, сироп, десерт или соус с roasted veal sweetbreads</x:v>
      </x:c>
      <x:c r="J54" s="28" t="str">
        <x:v>Средняя</x:v>
      </x:c>
      <x:c r="K54" s="28" t="str">
        <x:v>The Art &amp; Science of Foodpairing.pdf</x:v>
      </x:c>
      <x:c r="L54" s="28" t="str">
        <x:v>The Art &amp; Science of Foodpairing.pdf: 297</x:v>
      </x:c>
    </x:row>
    <x:row r="55" ht="64" customHeight="1">
      <x:c r="A55" s="28" t="str">
        <x:v>NCT-0231</x:v>
      </x:c>
      <x:c r="B55" s="28" t="str">
        <x:v>кофе</x:v>
      </x:c>
      <x:c r="C55" s="28" t="str">
        <x:v>smoked atlantic salmon</x:v>
      </x:c>
      <x:c r="D55" s="28" t="str">
        <x:v>Рыба и морепродукты</x:v>
      </x:c>
      <x:c r="E55" s="28" t="str">
        <x:v>солёно-умами контраст</x:v>
      </x:c>
      <x:c r="F55" s="28" t="str">
        <x:v>Кофе имеет профиль «жареный, ореховый, карамельный, цветочный, фруктовый, фенольный и древесный». Партнёр «smoked atlantic salmon»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горечь; малейшая прогорклость ореха или шоколада усиливает неприятные рыбные оттенки</x:v>
      </x:c>
      <x:c r="I55" s="28" t="str">
        <x:v>кофейный напиток, холодный кофе, крем, сироп, десерт или соус с smoked atlantic salmon</x:v>
      </x:c>
      <x:c r="J55" s="28" t="str">
        <x:v>Средняя</x:v>
      </x:c>
      <x:c r="K55" s="28" t="str">
        <x:v>The Art &amp; Science of Foodpairing.pdf</x:v>
      </x:c>
      <x:c r="L55" s="28" t="str">
        <x:v>The Art &amp; Science of Foodpairing.pdf: 297</x:v>
      </x:c>
    </x:row>
    <x:row r="56" ht="64" customHeight="1">
      <x:c r="A56" s="28" t="str">
        <x:v>NCT-0232</x:v>
      </x:c>
      <x:c r="B56" s="28" t="str">
        <x:v>кофе</x:v>
      </x:c>
      <x:c r="C56" s="28" t="str">
        <x:v>sprouted chickpea</x:v>
      </x:c>
      <x:c r="D56" s="28" t="str">
        <x:v>Овощи, бобовые и грибы</x:v>
      </x:c>
      <x:c r="E56" s="28" t="str">
        <x:v>сенсорная комплементарность</x:v>
      </x:c>
      <x:c r="F56" s="28" t="str">
        <x:v>Кофе имеет профиль «жареный, ореховый, карамельный, цветочный, фруктовый, фенольный и древесный». Партнёр «sprouted chickpea»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6" s="28" t="str">
        <x:v>кофейный напиток, холодный кофе, крем, сироп, десерт или соус с sprouted chickpea</x:v>
      </x:c>
      <x:c r="J56" s="28" t="str">
        <x:v>Средняя</x:v>
      </x:c>
      <x:c r="K56" s="28" t="str">
        <x:v>The Art &amp; Science of Foodpairing.pdf</x:v>
      </x:c>
      <x:c r="L56" s="28" t="str">
        <x:v>The Art &amp; Science of Foodpairing.pdf: 297</x:v>
      </x:c>
    </x:row>
    <x:row r="57" ht="64" customHeight="1">
      <x:c r="A57" s="28" t="str">
        <x:v>NCT-0233</x:v>
      </x:c>
      <x:c r="B57" s="28" t="str">
        <x:v>кофе</x:v>
      </x:c>
      <x:c r="C57" s="28" t="str">
        <x:v>stewed pork gravy</x:v>
      </x:c>
      <x:c r="D57" s="28" t="str">
        <x:v>Мясо и птица</x:v>
      </x:c>
      <x:c r="E57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7" s="28" t="str">
        <x:v>Кофе имеет профиль «жареный, ореховый, карамельный, цветочный, фруктовый, фенольный и древесный». Партнёр «stewed pork gravy»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57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7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7" s="28" t="str">
        <x:v>кофейный напиток, холодный кофе, крем, сироп, десерт или соус с stewed pork gravy</x:v>
      </x:c>
      <x:c r="J57" s="28" t="str">
        <x:v>Средняя</x:v>
      </x:c>
      <x:c r="K57" s="28" t="str">
        <x:v>The Art &amp; Science of Foodpairing.pdf</x:v>
      </x:c>
      <x:c r="L57" s="28" t="str">
        <x:v>The Art &amp; Science of Foodpairing.pdf: 297</x:v>
      </x:c>
    </x:row>
    <x:row r="58" ht="64" customHeight="1">
      <x:c r="A58" s="28" t="str">
        <x:v>NCT-0235</x:v>
      </x:c>
      <x:c r="B58" s="28" t="str">
        <x:v>кофе</x:v>
      </x:c>
      <x:c r="C58" s="28" t="str">
        <x:v>sweet potato</x:v>
      </x:c>
      <x:c r="D58" s="28" t="str">
        <x:v>Овощи, бобовые и грибы</x:v>
      </x:c>
      <x:c r="E58" s="28" t="str">
        <x:v>сенсорная комплементарность</x:v>
      </x:c>
      <x:c r="F58" s="28" t="str">
        <x:v>Кофе имеет профиль «жареный, ореховый, карамельный, цветочный, фруктовый, фенольный и древесный». Партнёр «sweet potato»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58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8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8" s="28" t="str">
        <x:v>кофейный напиток, холодный кофе, крем, сироп, десерт или соус с sweet potato</x:v>
      </x:c>
      <x:c r="J58" s="28" t="str">
        <x:v>Средняя</x:v>
      </x:c>
      <x:c r="K58" s="28" t="str">
        <x:v>The Art &amp; Science of Foodpairing.pdf</x:v>
      </x:c>
      <x:c r="L58" s="28" t="str">
        <x:v>The Art &amp; Science of Foodpairing.pdf: 119</x:v>
      </x:c>
    </x:row>
    <x:row r="59" ht="64" customHeight="1">
      <x:c r="A59" s="28" t="str">
        <x:v>NCT-0247</x:v>
      </x:c>
      <x:c r="B59" s="28" t="str">
        <x:v>кофе</x:v>
      </x:c>
      <x:c r="C59" s="28" t="str">
        <x:v>говядина</x:v>
      </x:c>
      <x:c r="D59" s="28" t="str">
        <x:v>Мясо и птица</x:v>
      </x:c>
      <x:c r="E59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59" s="28" t="str">
        <x:v>Кофе имеет профиль «жареный, ореховый, карамельный, цветочный, фруктовый, фенольный и древесный». Партнёр «говядина»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пиразины.</x:v>
      </x:c>
      <x:c r="G59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59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59" s="28" t="str">
        <x:v>кофейный напиток, холодный кофе, крем, сироп, десерт или соус с говядина</x:v>
      </x:c>
      <x:c r="J59" s="28" t="str">
        <x:v>Средняя</x:v>
      </x:c>
      <x:c r="K59" s="28" t="str">
        <x:v>Тезариус вкусов (Ники Сегнит)(1).pdf</x:v>
      </x:c>
      <x:c r="L59" s="28" t="str">
        <x:v>Тезариус вкусов (Ники Сегнит)(1).pdf: 43, 113</x:v>
      </x:c>
    </x:row>
    <x:row r="60" ht="64" customHeight="1">
      <x:c r="A60" s="28" t="str">
        <x:v>NCT-0254</x:v>
      </x:c>
      <x:c r="B60" s="28" t="str">
        <x:v>кофе</x:v>
      </x:c>
      <x:c r="C60" s="28" t="str">
        <x:v>картофель фри</x:v>
      </x:c>
      <x:c r="D60" s="28" t="str">
        <x:v>Овощи, бобовые и грибы</x:v>
      </x:c>
      <x:c r="E60" s="28" t="str">
        <x:v>сенсорная комплементарность</x:v>
      </x:c>
      <x:c r="F60" s="28" t="str">
        <x:v>Кофе имеет профиль «жареный, ореховый, карамельный, цветочный, фруктовый, фенольный и древесный». Партнёр «картофель фри»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0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0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0" s="28" t="str">
        <x:v>кофейный напиток, холодный кофе, крем, сироп, десерт или соус с картофель фри</x:v>
      </x:c>
      <x:c r="J60" s="28" t="str">
        <x:v>Средняя</x:v>
      </x:c>
      <x:c r="K60" s="28" t="str">
        <x:v>The Art &amp; Science of Foodpairing.pdf</x:v>
      </x:c>
      <x:c r="L60" s="28" t="str">
        <x:v>The Art &amp; Science of Foodpairing.pdf: 196</x:v>
      </x:c>
    </x:row>
    <x:row r="61" ht="64" customHeight="1">
      <x:c r="A61" s="28" t="str">
        <x:v>NCT-0277</x:v>
      </x:c>
      <x:c r="B61" s="28" t="str">
        <x:v>кофе</x:v>
      </x:c>
      <x:c r="C61" s="28" t="str">
        <x:v>свёкла</x:v>
      </x:c>
      <x:c r="D61" s="28" t="str">
        <x:v>Овощи, бобовые и грибы</x:v>
      </x:c>
      <x:c r="E61" s="28" t="str">
        <x:v>сенсорная комплементарность</x:v>
      </x:c>
      <x:c r="F61" s="28" t="str">
        <x:v>Кофе имеет профиль «жареный, ореховый, карамельный, цветочный, фруктовый, фенольный и древесный». Партнёр «свёкла» относится к группе «Овощи, бобовые и грибы» и даёт землистый, сладкий.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1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1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1" s="28" t="str">
        <x:v>кофейный напиток, холодный кофе, крем, сироп, десерт или соус с свёкла</x:v>
      </x:c>
      <x:c r="J61" s="28" t="str">
        <x:v>Средняя</x:v>
      </x:c>
      <x:c r="K61" s="28" t="str">
        <x:v>The Art &amp; Science of Foodpairing.pdf</x:v>
      </x:c>
      <x:c r="L61" s="28" t="str">
        <x:v>The Art &amp; Science of Foodpairing.pdf: 297</x:v>
      </x:c>
    </x:row>
    <x:row r="62" ht="64" customHeight="1">
      <x:c r="A62" s="28" t="str">
        <x:v>NCT-0281</x:v>
      </x:c>
      <x:c r="B62" s="28" t="str">
        <x:v>кофе</x:v>
      </x:c>
      <x:c r="C62" s="28" t="str">
        <x:v>соевый соус</x:v>
      </x:c>
      <x:c r="D62" s="28" t="str">
        <x:v>Ферментированные продукты и соусы</x:v>
      </x:c>
      <x:c r="E62" s="28" t="str">
        <x:v>общие ароматические соединения, пересечение ароматических семейств, солёно-умами контраст</x:v>
      </x:c>
      <x:c r="F62" s="28" t="str">
        <x:v>Кофе имеет профиль «жареный, ореховый, карамельный, цветочный, фруктовый, фенольный и древесный». Партнёр «соевый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пиразины, фураны.</x:v>
      </x:c>
      <x:c r="G62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2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2" s="28" t="str">
        <x:v>кофейный напиток, холодный кофе, крем, сироп, десерт или соус с соевый соус</x:v>
      </x:c>
      <x:c r="J62" s="28" t="str">
        <x:v>Высокая</x:v>
      </x:c>
      <x:c r="K62" s="28" t="str">
        <x:v>The Art &amp; Science of Foodpairing.pdf</x:v>
      </x:c>
      <x:c r="L62" s="28" t="str">
        <x:v>The Art &amp; Science of Foodpairing.pdf: 297</x:v>
      </x:c>
    </x:row>
    <x:row r="63" ht="64" customHeight="1">
      <x:c r="A63" s="28" t="str">
        <x:v>NCT-0282</x:v>
      </x:c>
      <x:c r="B63" s="28" t="str">
        <x:v>кофе</x:v>
      </x:c>
      <x:c r="C63" s="28" t="str">
        <x:v>соус тукупи</x:v>
      </x:c>
      <x:c r="D63" s="28" t="str">
        <x:v>Ферментированные продукты и соусы</x:v>
      </x:c>
      <x:c r="E63" s="28" t="str">
        <x:v>общие ароматические соединения, пересечение ароматических семейств, солёно-умами контраст</x:v>
      </x:c>
      <x:c r="F63" s="28" t="str">
        <x:v>Кофе имеет профиль «жареный, ореховый, карамельный, цветочный, фруктовый, фенольный и древесный». Партнёр «соус тукупи»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Кофейные летучие соединения очень быстро теряются после помола и заваривания, поэтому сочетание зависит от свежести и степени обжарки. Итог: жареный; пиразины, фураны.</x:v>
      </x:c>
      <x:c r="G63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3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3" s="28" t="str">
        <x:v>кофейный напиток, холодный кофе, крем, сироп, десерт или соус с соус тукупи</x:v>
      </x:c>
      <x:c r="J63" s="28" t="str">
        <x:v>Высокая</x:v>
      </x:c>
      <x:c r="K63" s="28" t="str">
        <x:v>The Art &amp; Science of Foodpairing.pdf</x:v>
      </x:c>
      <x:c r="L63" s="28" t="str">
        <x:v>The Art &amp; Science of Foodpairing.pdf: 250</x:v>
      </x:c>
    </x:row>
    <x:row r="64" ht="64" customHeight="1">
      <x:c r="A64" s="28" t="str">
        <x:v>NCT-0284</x:v>
      </x:c>
      <x:c r="B64" s="28" t="str">
        <x:v>кофе</x:v>
      </x:c>
      <x:c r="C64" s="28" t="str">
        <x:v>томат</x:v>
      </x:c>
      <x:c r="D64" s="28" t="str">
        <x:v>Овощи, бобовые и грибы</x:v>
      </x:c>
      <x:c r="E64" s="28" t="str">
        <x:v>сенсорная комплементарность</x:v>
      </x:c>
      <x:c r="F64" s="28" t="str">
        <x:v>Кофе имеет профиль «жареный, ореховый, карамельный, цветочный, фруктовый, фенольный и древесный». Партнёр «томат» относится к группе «Овощи, бобовые и грибы» и даёт зелёный, умами, фруктовый.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4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4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4" s="28" t="str">
        <x:v>кофейный напиток, холодный кофе, крем, сироп, десерт или соус с томат</x:v>
      </x:c>
      <x:c r="J64" s="28" t="str">
        <x:v>Средняя</x:v>
      </x:c>
      <x:c r="K64" s="28" t="str">
        <x:v>The Art &amp; Science of Foodpairing.pdf</x:v>
      </x:c>
      <x:c r="L64" s="28" t="str">
        <x:v>The Art &amp; Science of Foodpairing.pdf: 297</x:v>
      </x:c>
    </x:row>
    <x:row r="65" ht="64" customHeight="1">
      <x:c r="A65" s="28" t="str">
        <x:v>NCT-0286</x:v>
      </x:c>
      <x:c r="B65" s="28" t="str">
        <x:v>кофе</x:v>
      </x:c>
      <x:c r="C65" s="28" t="str">
        <x:v>тыква</x:v>
      </x:c>
      <x:c r="D65" s="28" t="str">
        <x:v>Овощи, бобовые и грибы</x:v>
      </x:c>
      <x:c r="E65" s="28" t="str">
        <x:v>сенсорная комплементарность</x:v>
      </x:c>
      <x:c r="F65" s="28" t="str">
        <x:v>Кофе имеет профиль «жареный, ореховый, карамельный, цветочный, фруктовый, фенольный и древесный». Партнёр «тыква»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5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5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5" s="28" t="str">
        <x:v>кофейный напиток, холодный кофе, крем, сироп, десерт или соус с тыква</x:v>
      </x:c>
      <x:c r="J65" s="28" t="str">
        <x:v>Высокая</x:v>
      </x:c>
      <x:c r="K65" s="28" t="str">
        <x:v>The Art &amp; Science of Foodpairing.pdf | Таблица сочетания(1).pdf</x:v>
      </x:c>
      <x:c r="L65" s="28" t="str">
        <x:v>The Art &amp; Science of Foodpairing.pdf: 297; Таблица сочетания(1).pdf: 6, 18</x:v>
      </x:c>
    </x:row>
    <x:row r="66" ht="64" customHeight="1">
      <x:c r="A66" s="28" t="str">
        <x:v>NCT-0289</x:v>
      </x:c>
      <x:c r="B66" s="28" t="str">
        <x:v>кофе</x:v>
      </x:c>
      <x:c r="C66" s="28" t="str">
        <x:v>цветная капуста</x:v>
      </x:c>
      <x:c r="D66" s="28" t="str">
        <x:v>Овощи, бобовые и грибы</x:v>
      </x:c>
      <x:c r="E66" s="28" t="str">
        <x:v>сенсорная комплементарность</x:v>
      </x:c>
      <x:c r="F66" s="28" t="str">
        <x:v>Кофе имеет профиль «жареный, ореховый, карамельный, цветочный, фруктовый, фенольный и древесный». Партнёр «цветная капуста» относится к группе «Овощи, бобовые и грибы» и даёт зелёный, землистый или умами. Кофейные летучие соединения очень быстро теряются после помола и заваривания, поэтому сочетание зависит от свежести и степени обжарки. Итог: прямое совпадение одной ключевой молекулы не подтверждено; механизм не следует сводить к одной общей молекуле.</x:v>
      </x:c>
      <x:c r="G66" s="28" t="str">
        <x:v>обжарка формирует сотни летучих соединений; слишком длительное заваривание извлекает горечь и вяжущие вещества. Молоть перед завариванием; добавлять свежий кофе ближе к финалу соуса или напитка, чтобы сохранить летучие молекулы.</x:v>
      </x:c>
      <x:c r="H66" s="28" t="str">
        <x:v>быстро теряет аромат после помола; переэкстракция и пережарка дают пепельную горечь; кофеин; пережарка и переэкстракция дают пепельную горечь</x:v>
      </x:c>
      <x:c r="I66" s="28" t="str">
        <x:v>кофейный напиток, холодный кофе, крем, сироп, десерт или соус с цветная капуста</x:v>
      </x:c>
      <x:c r="J66" s="28" t="str">
        <x:v>Средняя</x:v>
      </x:c>
      <x:c r="K66" s="28" t="str">
        <x:v>The Art &amp; Science of Foodpairing.pdf</x:v>
      </x:c>
      <x:c r="L66" s="28" t="str">
        <x:v>The Art &amp; Science of Foodpairing.pdf: 297</x:v>
      </x:c>
    </x:row>
    <x:row r="67" ht="64" customHeight="1">
      <x:c r="A67" s="28" t="str">
        <x:v>NCT-0295</x:v>
      </x:c>
      <x:c r="B67" s="28" t="str">
        <x:v>макадамия</x:v>
      </x:c>
      <x:c r="C67" s="28" t="str">
        <x:v>bacon</x:v>
      </x:c>
      <x:c r="D67" s="28" t="str">
        <x:v>Мясо и птица</x:v>
      </x:c>
      <x:c r="E67" s="28" t="str">
        <x:v>общие ароматические соединения, жареная химия и реакции Майяра, солёно-умами контраст</x:v>
      </x:c>
      <x:c r="F67" s="28" t="str">
        <x:v>Макадамия имеет профиль «сливочный, маслянистый, сладко-ореховый и мягко-жареный». Партнёр «bacon»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пиразины.</x:v>
      </x:c>
      <x:c r="G67" s="28" t="str">
        <x:v>лёгкая обжарка добавляет карамельные ноты; длительный нагрев даёт тяжёлую маслянистость. Целый орех обжаривать умеренно, охлаждать перед измельчением и хранить герметично.</x:v>
      </x:c>
      <x:c r="H67" s="28" t="str">
        <x:v>аллерген; высокая энергетическая плотность и прогоркание</x:v>
      </x:c>
      <x:c r="I67" s="28" t="str">
        <x:v>пралине, паста, выпечка, гарнир, соус, молочный или коктейльный компонент с bacon</x:v>
      </x:c>
      <x:c r="J67" s="28" t="str">
        <x:v>Высокая</x:v>
      </x:c>
      <x:c r="K67" s="28" t="str">
        <x:v>The Art &amp; Science of Foodpairing.pdf</x:v>
      </x:c>
      <x:c r="L67" s="28" t="str">
        <x:v>The Art &amp; Science of Foodpairing.pdf: 188</x:v>
      </x:c>
    </x:row>
    <x:row r="68" ht="64" customHeight="1">
      <x:c r="A68" s="28" t="str">
        <x:v>NCT-0311</x:v>
      </x:c>
      <x:c r="B68" s="28" t="str">
        <x:v>миндаль</x:v>
      </x:c>
      <x:c r="C68" s="28" t="str">
        <x:v>baechu kimchi</x:v>
      </x:c>
      <x:c r="D68" s="28" t="str">
        <x:v>Ферментированные продукты и соусы</x:v>
      </x:c>
      <x:c r="E68" s="28" t="str">
        <x:v>общие ароматические соединения, пересечение ароматических семейств, солёно-умами контраст</x:v>
      </x:c>
      <x:c r="F68" s="28" t="str">
        <x:v>Миндаль имеет профиль «ореховый, сладкий, марципановый, слегка зелёный; после обжарки — карамельный и жареный». Партнёр «baechu kimchi»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68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68" s="28" t="str">
        <x:v>аллерген; быстро прогоркает после помола; горький миндаль и ядра косточковых не взаимозаменяемы</x:v>
      </x:c>
      <x:c r="I68" s="28" t="str">
        <x:v>пралине, паста, выпечка, гарнир, соус, молочный или коктейльный компонент с baechu kimchi</x:v>
      </x:c>
      <x:c r="J68" s="28" t="str">
        <x:v>Средняя</x:v>
      </x:c>
      <x:c r="K68" s="28" t="str">
        <x:v>The Art &amp; Science of Foodpairing.pdf</x:v>
      </x:c>
      <x:c r="L68" s="28" t="str">
        <x:v>The Art &amp; Science of Foodpairing.pdf: 305</x:v>
      </x:c>
    </x:row>
    <x:row r="69" ht="64" customHeight="1">
      <x:c r="A69" s="28" t="str">
        <x:v>NCT-0313</x:v>
      </x:c>
      <x:c r="B69" s="28" t="str">
        <x:v>миндаль</x:v>
      </x:c>
      <x:c r="C69" s="28" t="str">
        <x:v>carrot</x:v>
      </x:c>
      <x:c r="D69" s="28" t="str">
        <x:v>Овощи, бобовые и грибы</x:v>
      </x:c>
      <x:c r="E69" s="28" t="str">
        <x:v>сенсорная комплементарность</x:v>
      </x:c>
      <x:c r="F69" s="28" t="str">
        <x:v>Миндаль имеет профиль «ореховый, сладкий, марципановый, слегка зелёный; после обжарки — карамельный и жареный». Партнёр «carrot»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69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69" s="28" t="str">
        <x:v>аллерген; быстро прогоркает после помола; горький миндаль и ядра косточковых не взаимозаменяемы</x:v>
      </x:c>
      <x:c r="I69" s="28" t="str">
        <x:v>пралине, паста, выпечка, гарнир, соус, молочный или коктейльный компонент с carrot</x:v>
      </x:c>
      <x:c r="J69" s="28" t="str">
        <x:v>Средняя</x:v>
      </x:c>
      <x:c r="K69" s="28" t="str">
        <x:v>The Art &amp; Science of Foodpairing.pdf</x:v>
      </x:c>
      <x:c r="L69" s="28" t="str">
        <x:v>The Art &amp; Science of Foodpairing.pdf: 232</x:v>
      </x:c>
    </x:row>
    <x:row r="70" ht="64" customHeight="1">
      <x:c r="A70" s="28" t="str">
        <x:v>NCT-0316</x:v>
      </x:c>
      <x:c r="B70" s="28" t="str">
        <x:v>миндаль</x:v>
      </x:c>
      <x:c r="C70" s="28" t="str">
        <x:v>duck</x:v>
      </x:c>
      <x:c r="D70" s="28" t="str">
        <x:v>Мясо и птица</x:v>
      </x:c>
      <x:c r="E7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70" s="28" t="str">
        <x:v>Миндаль имеет профиль «ореховый, сладкий, марципановый, слегка зелёный; после обжарки — карамельный и жареный». Партнёр «duck»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70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70" s="28" t="str">
        <x:v>аллерген; быстро прогоркает после помола; горький миндаль и ядра косточковых не взаимозаменяемы</x:v>
      </x:c>
      <x:c r="I70" s="28" t="str">
        <x:v>пралине, паста, выпечка, гарнир, соус, молочный или коктейльный компонент с duck</x:v>
      </x:c>
      <x:c r="J70" s="28" t="str">
        <x:v>Высокая</x:v>
      </x:c>
      <x:c r="K70" s="28" t="str">
        <x:v>The Art &amp; Science of Foodpairing.pdf</x:v>
      </x:c>
      <x:c r="L70" s="28" t="str">
        <x:v>The Art &amp; Science of Foodpairing.pdf: 346</x:v>
      </x:c>
    </x:row>
    <x:row r="71" ht="64" customHeight="1">
      <x:c r="A71" s="28" t="str">
        <x:v>NCT-0326</x:v>
      </x:c>
      <x:c r="B71" s="28" t="str">
        <x:v>миндаль</x:v>
      </x:c>
      <x:c r="C71" s="28" t="str">
        <x:v>баранина</x:v>
      </x:c>
      <x:c r="D71" s="28" t="str">
        <x:v>Мясо и птица</x:v>
      </x:c>
      <x:c r="E71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71" s="28" t="str">
        <x:v>Миндаль имеет профиль «ореховый, сладкий, марципановый, слегка зелёный; после обжарки — карамельный и жареный». Партнёр «баранина»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71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71" s="28" t="str">
        <x:v>аллерген; быстро прогоркает после помола; горький миндаль и ядра косточковых не взаимозаменяемы</x:v>
      </x:c>
      <x:c r="I71" s="28" t="str">
        <x:v>пралине, паста, выпечка, гарнир, соус, молочный или коктейльный компонент с баранина</x:v>
      </x:c>
      <x:c r="J71" s="28" t="str">
        <x:v>Средняя</x:v>
      </x:c>
      <x:c r="K71" s="28" t="str">
        <x:v>Тезариус вкусов (Ники Сегнит)(1).pdf</x:v>
      </x:c>
      <x:c r="L71" s="28" t="str">
        <x:v>Тезариус вкусов (Ники Сегнит)(1).pdf: 130, 642</x:v>
      </x:c>
    </x:row>
    <x:row r="72" ht="64" customHeight="1">
      <x:c r="A72" s="28" t="str">
        <x:v>NCT-0336</x:v>
      </x:c>
      <x:c r="B72" s="28" t="str">
        <x:v>миндаль</x:v>
      </x:c>
      <x:c r="C72" s="28" t="str">
        <x:v>жирная рыба</x:v>
      </x:c>
      <x:c r="D72" s="28" t="str">
        <x:v>Рыба и морепродукты</x:v>
      </x:c>
      <x:c r="E72" s="28" t="str">
        <x:v>солёно-умами контраст</x:v>
      </x:c>
      <x:c r="F72" s="28" t="str">
        <x:v>Миндаль имеет профиль «ореховый, сладкий, марципановый, слегка зелёный; после обжарки — карамельный и жареный». Партнёр «жирная рыба» относится к группе «Рыба и морепродукты» и даёт морской, солоноватый и умами.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2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72" s="28" t="str">
        <x:v>аллерген; быстро прогоркает после помола; горький миндаль и ядра косточковых не взаимозаменяемы; малейшая прогорклость ореха или шоколада усиливает неприятные рыбные оттенки</x:v>
      </x:c>
      <x:c r="I72" s="28" t="str">
        <x:v>пралине, паста, выпечка, гарнир, соус, молочный или коктейльный компонент с жирная рыба</x:v>
      </x:c>
      <x:c r="J72" s="28" t="str">
        <x:v>Средняя</x:v>
      </x:c>
      <x:c r="K72" s="28" t="str">
        <x:v>Тезариус вкусов (Ники Сегнит)(1).pdf</x:v>
      </x:c>
      <x:c r="L72" s="28" t="str">
        <x:v>Тезариус вкусов (Ники Сегнит)(1).pdf: 415, 643</x:v>
      </x:c>
    </x:row>
    <x:row r="73" ht="64" customHeight="1">
      <x:c r="A73" s="28" t="str">
        <x:v>NCT-0369</x:v>
      </x:c>
      <x:c r="B73" s="28" t="str">
        <x:v>миндаль</x:v>
      </x:c>
      <x:c r="C73" s="28" t="str">
        <x:v>см. также чеснок</x:v>
      </x:c>
      <x:c r="D73" s="28" t="str">
        <x:v>Овощи, бобовые и грибы</x:v>
      </x:c>
      <x:c r="E73" s="28" t="str">
        <x:v>сенсорная комплементарность</x:v>
      </x:c>
      <x:c r="F73" s="28" t="str">
        <x:v>Миндаль имеет профиль «ореховый, сладкий, марципановый, слегка зелёный; после обжарки — карамельный и жареный». Партнёр «см. также чеснок»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3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73" s="28" t="str">
        <x:v>аллерген; быстро прогоркает после помола; горький миндаль и ядра косточковых не взаимозаменяемы</x:v>
      </x:c>
      <x:c r="I73" s="28" t="str">
        <x:v>пралине, паста, выпечка, гарнир, соус, молочный или коктейльный компонент с см. также чеснок</x:v>
      </x:c>
      <x:c r="J73" s="28" t="str">
        <x:v>Средняя</x:v>
      </x:c>
      <x:c r="K73" s="28" t="str">
        <x:v>Тезариус вкусов (Ники Сегнит)(1).pdf</x:v>
      </x:c>
      <x:c r="L73" s="28" t="str">
        <x:v>Тезариус вкусов (Ники Сегнит)(1).pdf: 668</x:v>
      </x:c>
    </x:row>
    <x:row r="74" ht="64" customHeight="1">
      <x:c r="A74" s="28" t="str">
        <x:v>NCT-0370</x:v>
      </x:c>
      <x:c r="B74" s="28" t="str">
        <x:v>миндаль</x:v>
      </x:c>
      <x:c r="C74" s="28" t="str">
        <x:v>спаржа</x:v>
      </x:c>
      <x:c r="D74" s="28" t="str">
        <x:v>Овощи, бобовые и грибы</x:v>
      </x:c>
      <x:c r="E74" s="28" t="str">
        <x:v>сенсорная комплементарность</x:v>
      </x:c>
      <x:c r="F74" s="28" t="str">
        <x:v>Миндаль имеет профиль «ореховый, сладкий, марципановый, слегка зелёный; после обжарки — карамельный и жареный». Партнёр «спаржа»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4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74" s="28" t="str">
        <x:v>аллерген; быстро прогоркает после помола; горький миндаль и ядра косточковых не взаимозаменяемы</x:v>
      </x:c>
      <x:c r="I74" s="28" t="str">
        <x:v>пралине, паста, выпечка, гарнир, соус, молочный или коктейльный компонент с спаржа</x:v>
      </x:c>
      <x:c r="J74" s="28" t="str">
        <x:v>Средняя</x:v>
      </x:c>
      <x:c r="K74" s="28" t="str">
        <x:v>Тезариус вкусов (Ники Сегнит)(1).pdf</x:v>
      </x:c>
      <x:c r="L74" s="28" t="str">
        <x:v>Тезариус вкусов (Ники Сегнит)(1).pdf: 347, 648</x:v>
      </x:c>
    </x:row>
    <x:row r="75" ht="64" customHeight="1">
      <x:c r="A75" s="28" t="str">
        <x:v>NCT-0373</x:v>
      </x:c>
      <x:c r="B75" s="28" t="str">
        <x:v>миндаль</x:v>
      </x:c>
      <x:c r="C75" s="28" t="str">
        <x:v>тыква баттернат</x:v>
      </x:c>
      <x:c r="D75" s="28" t="str">
        <x:v>Овощи, бобовые и грибы</x:v>
      </x:c>
      <x:c r="E75" s="28" t="str">
        <x:v>сенсорная комплементарность</x:v>
      </x:c>
      <x:c r="F75" s="28" t="str">
        <x:v>Миндаль имеет профиль «ореховый, сладкий, марципановый, слегка зелёный; после обжарки — карамельный и жареный». Партнёр «тыква баттернат»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5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75" s="28" t="str">
        <x:v>аллерген; быстро прогоркает после помола; горький миндаль и ядра косточковых не взаимозаменяемы</x:v>
      </x:c>
      <x:c r="I75" s="28" t="str">
        <x:v>пралине, паста, выпечка, гарнир, соус, молочный или коктейльный компонент с тыква баттернат</x:v>
      </x:c>
      <x:c r="J75" s="28" t="str">
        <x:v>Средняя</x:v>
      </x:c>
      <x:c r="K75" s="28" t="str">
        <x:v>Тезариус вкусов (Ники Сегнит)(1).pdf</x:v>
      </x:c>
      <x:c r="L75" s="28" t="str">
        <x:v>Тезариус вкусов (Ники Сегнит)(1).pdf: 611, 648</x:v>
      </x:c>
    </x:row>
    <x:row r="76" ht="64" customHeight="1">
      <x:c r="A76" s="28" t="str">
        <x:v>NCT-0378</x:v>
      </x:c>
      <x:c r="B76" s="28" t="str">
        <x:v>миндаль</x:v>
      </x:c>
      <x:c r="C76" s="28" t="str">
        <x:v>цветная капуста</x:v>
      </x:c>
      <x:c r="D76" s="28" t="str">
        <x:v>Овощи, бобовые и грибы</x:v>
      </x:c>
      <x:c r="E76" s="28" t="str">
        <x:v>сенсорная комплементарность</x:v>
      </x:c>
      <x:c r="F76" s="28" t="str">
        <x:v>Миндаль имеет профиль «ореховый, сладкий, марципановый, слегка зелёный; после обжарки — карамельный и жареный». Партнёр «цветная капуста»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6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76" s="28" t="str">
        <x:v>аллерген; быстро прогоркает после помола; горький миндаль и ядра косточковых не взаимозаменяемы</x:v>
      </x:c>
      <x:c r="I76" s="28" t="str">
        <x:v>пралине, паста, выпечка, гарнир, соус, молочный или коктейльный компонент с цветная капуста</x:v>
      </x:c>
      <x:c r="J76" s="28" t="str">
        <x:v>Средняя</x:v>
      </x:c>
      <x:c r="K76" s="28" t="str">
        <x:v>Тезариус вкусов (Ники Сегнит)(1).pdf</x:v>
      </x:c>
      <x:c r="L76" s="28" t="str">
        <x:v>Тезариус вкусов (Ники Сегнит)(1).pdf: 324, 648</x:v>
      </x:c>
    </x:row>
    <x:row r="77" ht="64" customHeight="1">
      <x:c r="A77" s="28" t="str">
        <x:v>NCT-0383</x:v>
      </x:c>
      <x:c r="B77" s="28" t="str">
        <x:v>миндаль</x:v>
      </x:c>
      <x:c r="C77" s="28" t="str">
        <x:v>чеснок</x:v>
      </x:c>
      <x:c r="D77" s="28" t="str">
        <x:v>Овощи, бобовые и грибы</x:v>
      </x:c>
      <x:c r="E77" s="28" t="str">
        <x:v>сенсорная комплементарность</x:v>
      </x:c>
      <x:c r="F77" s="28" t="str">
        <x:v>Миндаль имеет профиль «ореховый, сладкий, марципановый, слегка зелёный; после обжарки — карамельный и жареный». Партнёр «чеснок»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77" s="28" t="str">
        <x:v>обжарка усиливает пиразины и фураны; измельчение ускоряет окисление; бланширование удаляет горьковатую кожицу. Целый орех обжаривать умеренно, охлаждать перед измельчением и хранить герметично.</x:v>
      </x:c>
      <x:c r="H77" s="28" t="str">
        <x:v>аллерген; быстро прогоркает после помола; горький миндаль и ядра косточковых не взаимозаменяемы</x:v>
      </x:c>
      <x:c r="I77" s="28" t="str">
        <x:v>пралине, паста, выпечка, гарнир, соус, молочный или коктейльный компонент с чеснок</x:v>
      </x:c>
      <x:c r="J77" s="28" t="str">
        <x:v>Средняя</x:v>
      </x:c>
      <x:c r="K77" s="28" t="str">
        <x:v>Тезариус вкусов (Ники Сегнит)(1).pdf</x:v>
      </x:c>
      <x:c r="L77" s="28" t="str">
        <x:v>Тезариус вкусов (Ники Сегнит)(1).pdf: 295, 650</x:v>
      </x:c>
    </x:row>
    <x:row r="78" ht="64" customHeight="1">
      <x:c r="A78" s="28" t="str">
        <x:v>NCT-0390</x:v>
      </x:c>
      <x:c r="B78" s="28" t="str">
        <x:v>молочный шоколад</x:v>
      </x:c>
      <x:c r="C78" s="28" t="str">
        <x:v>balsamic vinegar</x:v>
      </x:c>
      <x:c r="D78" s="28" t="str">
        <x:v>Ферментированные продукты и соусы</x:v>
      </x:c>
      <x:c r="E78" s="28" t="str">
        <x:v>общие ароматические соединения, солёно-умами контраст</x:v>
      </x:c>
      <x:c r="F78" s="28" t="str">
        <x:v>Молочный шоколад имеет профиль «какаовый, молочный, карамельный и ванильный». Партнёр «balsamic vinegar» относится к группе «Ферментированные продукты и соусы» и даёт ферментированный, умами и сложный. Молекулярный мост создают пиразины, фураны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пиразины, фураны.</x:v>
      </x:c>
      <x:c r="G78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78" s="28" t="str">
        <x:v>сладость и жир быстро подавляют кислотные и цветочные продукты</x:v>
      </x:c>
      <x:c r="I78" s="28" t="str">
        <x:v>ганаш, плитка, крем, мусс, напиток, глазурь или соус с balsamic vinegar</x:v>
      </x:c>
      <x:c r="J78" s="28" t="str">
        <x:v>Средняя</x:v>
      </x:c>
      <x:c r="K78" s="28" t="str">
        <x:v>The Art &amp; Science of Foodpairing.pdf</x:v>
      </x:c>
      <x:c r="L78" s="28" t="str">
        <x:v>The Art &amp; Science of Foodpairing.pdf: 316</x:v>
      </x:c>
    </x:row>
    <x:row r="79" ht="64" customHeight="1">
      <x:c r="A79" s="28" t="str">
        <x:v>NCT-0391</x:v>
      </x:c>
      <x:c r="B79" s="28" t="str">
        <x:v>молочный шоколад</x:v>
      </x:c>
      <x:c r="C79" s="28" t="str">
        <x:v>lberico ham</x:v>
      </x:c>
      <x:c r="D79" s="28" t="str">
        <x:v>Мясо и птица</x:v>
      </x:c>
      <x:c r="E79" s="28" t="str">
        <x:v>общие ароматические соединения, жареная химия и реакции Майяра, солёно-умами контраст</x:v>
      </x:c>
      <x:c r="F79" s="28" t="str">
        <x:v>Молочный шоколад имеет профиль «какаовый, молочный, карамельный и ванильный».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пиразины.</x:v>
      </x:c>
      <x:c r="G79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79" s="28" t="str">
        <x:v>сладость и жир быстро подавляют кислотные и цветочные продукты</x:v>
      </x:c>
      <x:c r="I79" s="28" t="str">
        <x:v>ганаш, плитка, крем, мусс, напиток, глазурь или соус с lberico ham</x:v>
      </x:c>
      <x:c r="J79" s="28" t="str">
        <x:v>Средняя</x:v>
      </x:c>
      <x:c r="K79" s="28" t="str">
        <x:v>The Art &amp; Science of Foodpairing.pdf</x:v>
      </x:c>
      <x:c r="L79" s="28" t="str">
        <x:v>The Art &amp; Science of Foodpairing.pdf: 278</x:v>
      </x:c>
    </x:row>
    <x:row r="80" ht="64" customHeight="1">
      <x:c r="A80" s="28" t="str">
        <x:v>NCT-0392</x:v>
      </x:c>
      <x:c r="B80" s="28" t="str">
        <x:v>молочный шоколад</x:v>
      </x:c>
      <x:c r="C80" s="28" t="str">
        <x:v>tomato and tomato puree</x:v>
      </x:c>
      <x:c r="D80" s="28" t="str">
        <x:v>Овощи, бобовые и грибы</x:v>
      </x:c>
      <x:c r="E80" s="28" t="str">
        <x:v>сенсорная комплементарность</x:v>
      </x:c>
      <x:c r="F80" s="28" t="str">
        <x:v>Молочный шоколад имеет профиль «какаовый, молочный, карамельный и ванильный». Партнёр «tomato and tomato puree» относится к группе «Овощи, бобовые и грибы» и даёт зелёный, землистый или умами.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80" s="28" t="str">
        <x:v>нагрев усиливает карамельные ноты, но может нарушить эмульсию и темперирование. Темперировать или плавить мягко; водную фазу вводить как стабильную эмульсию, чтобы избежать расслоения.</x:v>
      </x:c>
      <x:c r="H80" s="28" t="str">
        <x:v>сладость и жир быстро подавляют кислотные и цветочные продукты</x:v>
      </x:c>
      <x:c r="I80" s="28" t="str">
        <x:v>ганаш, плитка, крем, мусс, напиток, глазурь или соус с tomato and tomato puree</x:v>
      </x:c>
      <x:c r="J80" s="28" t="str">
        <x:v>Средняя</x:v>
      </x:c>
      <x:c r="K80" s="28" t="str">
        <x:v>The Art &amp; Science of Foodpairing.pdf</x:v>
      </x:c>
      <x:c r="L80" s="28" t="str">
        <x:v>The Art &amp; Science of Foodpairing.pdf: 161</x:v>
      </x:c>
    </x:row>
    <x:row r="81" ht="64" customHeight="1">
      <x:c r="A81" s="28" t="str">
        <x:v>NCT-0399</x:v>
      </x:c>
      <x:c r="B81" s="28" t="str">
        <x:v>пекан</x:v>
      </x:c>
      <x:c r="C81" s="28" t="str">
        <x:v>tomato and tomato puree</x:v>
      </x:c>
      <x:c r="D81" s="28" t="str">
        <x:v>Овощи, бобовые и грибы</x:v>
      </x:c>
      <x:c r="E81" s="28" t="str">
        <x:v>сенсорная комплементарность</x:v>
      </x:c>
      <x:c r="F81" s="28" t="str">
        <x:v>Пекан имеет профиль «маслянистый, сладкий, карамельный и древесно-ореховый». Партнёр «tomato and tomato puree» относится к группе «Овощи, бобовые и грибы» и даёт зелёный, землистый или умами.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1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81" s="28" t="str">
        <x:v>аллерген и высокая склонность к окислению</x:v>
      </x:c>
      <x:c r="I81" s="28" t="str">
        <x:v>пралине, паста, выпечка, гарнир, соус, молочный или коктейльный компонент с tomato and tomato puree</x:v>
      </x:c>
      <x:c r="J81" s="28" t="str">
        <x:v>Средняя</x:v>
      </x:c>
      <x:c r="K81" s="28" t="str">
        <x:v>The Art &amp; Science of Foodpairing.pdf</x:v>
      </x:c>
      <x:c r="L81" s="28" t="str">
        <x:v>The Art &amp; Science of Foodpairing.pdf: 161</x:v>
      </x:c>
    </x:row>
    <x:row r="82" ht="64" customHeight="1">
      <x:c r="A82" s="28" t="str">
        <x:v>NCT-0415</x:v>
      </x:c>
      <x:c r="B82" s="28" t="str">
        <x:v>пекан</x:v>
      </x:c>
      <x:c r="C82" s="28" t="str">
        <x:v>свёкла</x:v>
      </x:c>
      <x:c r="D82" s="28" t="str">
        <x:v>Овощи, бобовые и грибы</x:v>
      </x:c>
      <x:c r="E82" s="28" t="str">
        <x:v>сенсорная комплементарность</x:v>
      </x:c>
      <x:c r="F82" s="28" t="str">
        <x:v>Пекан имеет профиль «маслянистый, сладкий, карамельный и древесно-ореховый». Партнёр «свёкла» относится к группе «Овощи, бобовые и грибы» и даёт землистый, сладкий.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82" s="28" t="str">
        <x:v>обжарка усиливает пралиновый профиль; сахарная карамелизация создаёт устойчивую десертную связь. Целый орех обжаривать умеренно, охлаждать перед измельчением и хранить герметично.</x:v>
      </x:c>
      <x:c r="H82" s="28" t="str">
        <x:v>аллерген и высокая склонность к окислению</x:v>
      </x:c>
      <x:c r="I82" s="28" t="str">
        <x:v>пралине, паста, выпечка, гарнир, соус, молочный или коктейльный компонент с свёкла</x:v>
      </x:c>
      <x:c r="J82" s="28" t="str">
        <x:v>Средняя</x:v>
      </x:c>
      <x:c r="K82" s="28" t="str">
        <x:v>The Art &amp; Science of Foodpairing.pdf</x:v>
      </x:c>
      <x:c r="L82" s="28" t="str">
        <x:v>The Art &amp; Science of Foodpairing.pdf: 224</x:v>
      </x:c>
    </x:row>
    <x:row r="83" ht="64" customHeight="1">
      <x:c r="A83" s="28" t="str">
        <x:v>NCT-0421</x:v>
      </x:c>
      <x:c r="B83" s="28" t="str">
        <x:v>ройбуш</x:v>
      </x:c>
      <x:c r="C83" s="28" t="str">
        <x:v>свёкла</x:v>
      </x:c>
      <x:c r="D83" s="28" t="str">
        <x:v>Овощи, бобовые и грибы</x:v>
      </x:c>
      <x:c r="E83" s="28" t="str">
        <x:v>сенсорная комплементарность</x:v>
      </x:c>
      <x:c r="F83" s="28" t="str">
        <x:v>Ройбуш имеет профиль «медовый, древесный, ванильный и слегка ореховый». Партнёр «свёкла» относится к группе «Овощи, бобовые и грибы» и даёт землистый, сладкий.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83" s="28" t="str">
        <x:v>длительное заваривание переносит лучше чая, но может усилить древесность.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83" s="28" t="str">
        <x:v>слабая структура требует кислоты или специи; легко потерять тонкий аромат; слишком горячая вода и долгое заваривание усиливают терпкость</x:v>
      </x:c>
      <x:c r="I83" s="28" t="str">
        <x:v>чайный настой, холодный чай, кордиал, молочный пунш, десерт или соус с свёкла</x:v>
      </x:c>
      <x:c r="J83" s="28" t="str">
        <x:v>Средняя</x:v>
      </x:c>
      <x:c r="K83" s="28" t="str">
        <x:v>The Art &amp; Science of Foodpairing.pdf</x:v>
      </x:c>
      <x:c r="L83" s="28" t="str">
        <x:v>The Art &amp; Science of Foodpairing.pdf: 224</x:v>
      </x:c>
    </x:row>
    <x:row r="84" ht="64" customHeight="1">
      <x:c r="A84" s="28" t="str">
        <x:v>NCT-0450</x:v>
      </x:c>
      <x:c r="B84" s="28" t="str">
        <x:v>фундук</x:v>
      </x:c>
      <x:c r="C84" s="28" t="str">
        <x:v>artichoke, ray wing</x:v>
      </x:c>
      <x:c r="D84" s="28" t="str">
        <x:v>Овощи, бобовые и грибы</x:v>
      </x:c>
      <x:c r="E84" s="28" t="str">
        <x:v>общие ароматические соединения</x:v>
      </x:c>
      <x:c r="F84" s="28" t="str">
        <x:v>Фундук имеет профиль «ореховый, жареный, сладкий, землистый и какаоподобный». Партнёр «artichoke, ray wing»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8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84" s="28" t="str">
        <x:v>аллерген и чувствительность к прогорканию; пережаривание даёт дымную горечь</x:v>
      </x:c>
      <x:c r="I84" s="28" t="str">
        <x:v>пралине, паста, выпечка, гарнир, соус, молочный или коктейльный компонент с artichoke, ray wing</x:v>
      </x:c>
      <x:c r="J84" s="28" t="str">
        <x:v>Высокая</x:v>
      </x:c>
      <x:c r="K84" s="28" t="str">
        <x:v>The Art &amp; Science of Foodpairing.pdf</x:v>
      </x:c>
      <x:c r="L84" s="28" t="str">
        <x:v>The Art &amp; Science of Foodpairing.pdf: 329</x:v>
      </x:c>
    </x:row>
    <x:row r="85" ht="64" customHeight="1">
      <x:c r="A85" s="28" t="str">
        <x:v>NCT-0451</x:v>
      </x:c>
      <x:c r="B85" s="28" t="str">
        <x:v>фундук</x:v>
      </x:c>
      <x:c r="C85" s="28" t="str">
        <x:v>atlantic salmon fillet</x:v>
      </x:c>
      <x:c r="D85" s="28" t="str">
        <x:v>Рыба и морепродукты</x:v>
      </x:c>
      <x:c r="E85" s="28" t="str">
        <x:v>общие ароматические соединения, солёно-умами контраст</x:v>
      </x:c>
      <x:c r="F85" s="28" t="str">
        <x:v>Фундук имеет профиль «ореховый, жареный, сладкий, землистый и какаоподобный». Партнёр «atlantic salmon fillet»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8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85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85" s="28" t="str">
        <x:v>пралине, паста, выпечка, гарнир, соус, молочный или коктейльный компонент с atlantic salmon fillet</x:v>
      </x:c>
      <x:c r="J85" s="28" t="str">
        <x:v>Средняя</x:v>
      </x:c>
      <x:c r="K85" s="28" t="str">
        <x:v>The Art &amp; Science of Foodpairing.pdf</x:v>
      </x:c>
      <x:c r="L85" s="28" t="str">
        <x:v>The Art &amp; Science of Foodpairing.pdf: 332</x:v>
      </x:c>
    </x:row>
    <x:row r="86" ht="64" customHeight="1">
      <x:c r="A86" s="28" t="str">
        <x:v>NCT-0452</x:v>
      </x:c>
      <x:c r="B86" s="28" t="str">
        <x:v>фундук</x:v>
      </x:c>
      <x:c r="C86" s="28" t="str">
        <x:v>bayonne ham</x:v>
      </x:c>
      <x:c r="D86" s="28" t="str">
        <x:v>Мясо и птица</x:v>
      </x:c>
      <x:c r="E86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86" s="28" t="str">
        <x:v>Фундук имеет профиль «ореховый, жареный, сладкий, землистый и какаоподобный». Партнёр «bayonne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8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86" s="28" t="str">
        <x:v>аллерген и чувствительность к прогорканию; пережаривание даёт дымную горечь</x:v>
      </x:c>
      <x:c r="I86" s="28" t="str">
        <x:v>пралине, паста, выпечка, гарнир, соус, молочный или коктейльный компонент с bayonne ham</x:v>
      </x:c>
      <x:c r="J86" s="28" t="str">
        <x:v>Средняя</x:v>
      </x:c>
      <x:c r="K86" s="28" t="str">
        <x:v>The Art &amp; Science of Foodpairing.pdf</x:v>
      </x:c>
      <x:c r="L86" s="28" t="str">
        <x:v>The Art &amp; Science of Foodpairing.pdf: 332</x:v>
      </x:c>
    </x:row>
    <x:row r="87" ht="64" customHeight="1">
      <x:c r="A87" s="28" t="str">
        <x:v>NCT-0455</x:v>
      </x:c>
      <x:c r="B87" s="28" t="str">
        <x:v>фундук</x:v>
      </x:c>
      <x:c r="C87" s="28" t="str">
        <x:v>boiled purple sweet potato</x:v>
      </x:c>
      <x:c r="D87" s="28" t="str">
        <x:v>Овощи, бобовые и грибы</x:v>
      </x:c>
      <x:c r="E87" s="28" t="str">
        <x:v>общие ароматические соединения</x:v>
      </x:c>
      <x:c r="F87" s="28" t="str">
        <x:v>Фундук имеет профиль «ореховый, жареный, сладкий, землистый и какаоподобный». Партнёр «boiled purple sweet potato»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8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87" s="28" t="str">
        <x:v>аллерген и чувствительность к прогорканию; пережаривание даёт дымную горечь</x:v>
      </x:c>
      <x:c r="I87" s="28" t="str">
        <x:v>пралине, паста, выпечка, гарнир, соус, молочный или коктейльный компонент с boiled purple sweet potato</x:v>
      </x:c>
      <x:c r="J87" s="28" t="str">
        <x:v>Средняя</x:v>
      </x:c>
      <x:c r="K87" s="28" t="str">
        <x:v>The Art &amp; Science of Foodpairing.pdf</x:v>
      </x:c>
      <x:c r="L87" s="28" t="str">
        <x:v>The Art &amp; Science of Foodpairing.pdf: 332</x:v>
      </x:c>
    </x:row>
    <x:row r="88" ht="64" customHeight="1">
      <x:c r="A88" s="28" t="str">
        <x:v>NCT-0456</x:v>
      </x:c>
      <x:c r="B88" s="28" t="str">
        <x:v>фундук</x:v>
      </x:c>
      <x:c r="C88" s="28" t="str">
        <x:v>boiledcourgette</x:v>
      </x:c>
      <x:c r="D88" s="28" t="str">
        <x:v>Овощи, бобовые и грибы</x:v>
      </x:c>
      <x:c r="E88" s="28" t="str">
        <x:v>общие ароматические соединения</x:v>
      </x:c>
      <x:c r="F88" s="28" t="str">
        <x:v>Фундук имеет профиль «ореховый, жареный, сладкий, землистый и какаоподобный». Партнёр «boiledcourgette»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8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88" s="28" t="str">
        <x:v>аллерген и чувствительность к прогорканию; пережаривание даёт дымную горечь</x:v>
      </x:c>
      <x:c r="I88" s="28" t="str">
        <x:v>пралине, паста, выпечка, гарнир, соус, молочный или коктейльный компонент с boiledcourgette</x:v>
      </x:c>
      <x:c r="J88" s="28" t="str">
        <x:v>Средняя</x:v>
      </x:c>
      <x:c r="K88" s="28" t="str">
        <x:v>The Art &amp; Science of Foodpairing.pdf</x:v>
      </x:c>
      <x:c r="L88" s="28" t="str">
        <x:v>The Art &amp; Science of Foodpairing.pdf: 332</x:v>
      </x:c>
    </x:row>
    <x:row r="89" ht="64" customHeight="1">
      <x:c r="A89" s="28" t="str">
        <x:v>NCT-0459</x:v>
      </x:c>
      <x:c r="B89" s="28" t="str">
        <x:v>фундук</x:v>
      </x:c>
      <x:c r="C89" s="28" t="str">
        <x:v>carrot</x:v>
      </x:c>
      <x:c r="D89" s="28" t="str">
        <x:v>Овощи, бобовые и грибы</x:v>
      </x:c>
      <x:c r="E89" s="28" t="str">
        <x:v>общие ароматические соединения</x:v>
      </x:c>
      <x:c r="F89" s="28" t="str">
        <x:v>Фундук имеет профиль «ореховый, жареный, сладкий, землистый и какаоподобный». Партнёр «carrot»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8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89" s="28" t="str">
        <x:v>аллерген и чувствительность к прогорканию; пережаривание даёт дымную горечь</x:v>
      </x:c>
      <x:c r="I89" s="28" t="str">
        <x:v>пралине, паста, выпечка, гарнир, соус, молочный или коктейльный компонент с carrot</x:v>
      </x:c>
      <x:c r="J89" s="28" t="str">
        <x:v>Средняя</x:v>
      </x:c>
      <x:c r="K89" s="28" t="str">
        <x:v>The Art &amp; Science of Foodpairing.pdf</x:v>
      </x:c>
      <x:c r="L89" s="28" t="str">
        <x:v>The Art &amp; Science of Foodpairing.pdf: 232</x:v>
      </x:c>
    </x:row>
    <x:row r="90" ht="64" customHeight="1">
      <x:c r="A90" s="28" t="str">
        <x:v>NCT-0461</x:v>
      </x:c>
      <x:c r="B90" s="28" t="str">
        <x:v>фундук</x:v>
      </x:c>
      <x:c r="C90" s="28" t="str">
        <x:v>cooked mussels</x:v>
      </x:c>
      <x:c r="D90" s="28" t="str">
        <x:v>Рыба и морепродукты</x:v>
      </x:c>
      <x:c r="E90" s="28" t="str">
        <x:v>общие ароматические соединения, солёно-умами контраст</x:v>
      </x:c>
      <x:c r="F90" s="28" t="str">
        <x:v>Фундук имеет профиль «ореховый, жареный, сладкий, землистый и какаоподобный». Партнёр «cooked mussels»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9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0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90" s="28" t="str">
        <x:v>пралине, паста, выпечка, гарнир, соус, молочный или коктейльный компонент с cooked mussels</x:v>
      </x:c>
      <x:c r="J90" s="28" t="str">
        <x:v>Средняя</x:v>
      </x:c>
      <x:c r="K90" s="28" t="str">
        <x:v>The Art &amp; Science of Foodpairing.pdf</x:v>
      </x:c>
      <x:c r="L90" s="28" t="str">
        <x:v>The Art &amp; Science of Foodpairing.pdf: 332</x:v>
      </x:c>
    </x:row>
    <x:row r="91" ht="64" customHeight="1">
      <x:c r="A91" s="28" t="str">
        <x:v>NCT-0463</x:v>
      </x:c>
      <x:c r="B91" s="28" t="str">
        <x:v>фундук</x:v>
      </x:c>
      <x:c r="C91" s="28" t="str">
        <x:v>crayfish</x:v>
      </x:c>
      <x:c r="D91" s="28" t="str">
        <x:v>Рыба и морепродукты</x:v>
      </x:c>
      <x:c r="E91" s="28" t="str">
        <x:v>общие ароматические соединения, солёно-умами контраст</x:v>
      </x:c>
      <x:c r="F91" s="28" t="str">
        <x:v>Фундук имеет профиль «ореховый, жареный, сладкий, землистый и какаоподобный». Партнёр «crayfish»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9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1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91" s="28" t="str">
        <x:v>пралине, паста, выпечка, гарнир, соус, молочный или коктейльный компонент с crayfish</x:v>
      </x:c>
      <x:c r="J91" s="28" t="str">
        <x:v>Средняя</x:v>
      </x:c>
      <x:c r="K91" s="28" t="str">
        <x:v>The Art &amp; Science of Foodpairing.pdf</x:v>
      </x:c>
      <x:c r="L91" s="28" t="str">
        <x:v>The Art &amp; Science of Foodpairing.pdf: 332</x:v>
      </x:c>
    </x:row>
    <x:row r="92" ht="64" customHeight="1">
      <x:c r="A92" s="28" t="str">
        <x:v>NCT-0464</x:v>
      </x:c>
      <x:c r="B92" s="28" t="str">
        <x:v>фундук</x:v>
      </x:c>
      <x:c r="C92" s="28" t="str">
        <x:v>dry-aged beef</x:v>
      </x:c>
      <x:c r="D92" s="28" t="str">
        <x:v>Мясо и птица</x:v>
      </x:c>
      <x:c r="E92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92" s="28" t="str">
        <x:v>Фундук имеет профиль «ореховый, жареный, сладкий, землистый и какаоподобный». Партнёр «dry-aged 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9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2" s="28" t="str">
        <x:v>аллерген и чувствительность к прогорканию; пережаривание даёт дымную горечь</x:v>
      </x:c>
      <x:c r="I92" s="28" t="str">
        <x:v>пралине, паста, выпечка, гарнир, соус, молочный или коктейльный компонент с dry-aged beef</x:v>
      </x:c>
      <x:c r="J92" s="28" t="str">
        <x:v>Средняя</x:v>
      </x:c>
      <x:c r="K92" s="28" t="str">
        <x:v>The Art &amp; Science of Foodpairing.pdf</x:v>
      </x:c>
      <x:c r="L92" s="28" t="str">
        <x:v>The Art &amp; Science of Foodpairing.pdf: 332</x:v>
      </x:c>
    </x:row>
    <x:row r="93" ht="64" customHeight="1">
      <x:c r="A93" s="28" t="str">
        <x:v>NCT-0465</x:v>
      </x:c>
      <x:c r="B93" s="28" t="str">
        <x:v>фундук</x:v>
      </x:c>
      <x:c r="C93" s="28" t="str">
        <x:v>dry-agedbeef</x:v>
      </x:c>
      <x:c r="D93" s="28" t="str">
        <x:v>Мясо и птица</x:v>
      </x:c>
      <x:c r="E93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93" s="28" t="str">
        <x:v>Фундук имеет профиль «ореховый, жареный, сладкий, землистый и какаоподобный». Партнёр «dry-agedbeef»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9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3" s="28" t="str">
        <x:v>аллерген и чувствительность к прогорканию; пережаривание даёт дымную горечь</x:v>
      </x:c>
      <x:c r="I93" s="28" t="str">
        <x:v>пралине, паста, выпечка, гарнир, соус, молочный или коктейльный компонент с dry-agedbeef</x:v>
      </x:c>
      <x:c r="J93" s="28" t="str">
        <x:v>Средняя</x:v>
      </x:c>
      <x:c r="K93" s="28" t="str">
        <x:v>The Art &amp; Science of Foodpairing.pdf</x:v>
      </x:c>
      <x:c r="L93" s="28" t="str">
        <x:v>The Art &amp; Science of Foodpairing.pdf: 332</x:v>
      </x:c>
    </x:row>
    <x:row r="94" ht="64" customHeight="1">
      <x:c r="A94" s="28" t="str">
        <x:v>NCT-0469</x:v>
      </x:c>
      <x:c r="B94" s="28" t="str">
        <x:v>фундук</x:v>
      </x:c>
      <x:c r="C94" s="28" t="str">
        <x:v>gandaham</x:v>
      </x:c>
      <x:c r="D94" s="28" t="str">
        <x:v>Мясо и птица</x:v>
      </x:c>
      <x:c r="E9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94" s="28" t="str">
        <x:v>Фундук имеет профиль «ореховый, жареный, сладкий, землистый и какаоподобный». Партнёр «gandaham»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9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4" s="28" t="str">
        <x:v>аллерген и чувствительность к прогорканию; пережаривание даёт дымную горечь</x:v>
      </x:c>
      <x:c r="I94" s="28" t="str">
        <x:v>пралине, паста, выпечка, гарнир, соус, молочный или коктейльный компонент с gandaham</x:v>
      </x:c>
      <x:c r="J94" s="28" t="str">
        <x:v>Средняя</x:v>
      </x:c>
      <x:c r="K94" s="28" t="str">
        <x:v>The Art &amp; Science of Foodpairing.pdf</x:v>
      </x:c>
      <x:c r="L94" s="28" t="str">
        <x:v>The Art &amp; Science of Foodpairing.pdf: 332</x:v>
      </x:c>
    </x:row>
    <x:row r="95" ht="64" customHeight="1">
      <x:c r="A95" s="28" t="str">
        <x:v>NCT-0471</x:v>
      </x:c>
      <x:c r="B95" s="28" t="str">
        <x:v>фундук</x:v>
      </x:c>
      <x:c r="C95" s="28" t="str">
        <x:v>horse mackerel</x:v>
      </x:c>
      <x:c r="D95" s="28" t="str">
        <x:v>Рыба и морепродукты</x:v>
      </x:c>
      <x:c r="E95" s="28" t="str">
        <x:v>общие ароматические соединения, солёно-умами контраст</x:v>
      </x:c>
      <x:c r="F95" s="28" t="str">
        <x:v>Фундук имеет профиль «ореховый, жареный, сладкий, землистый и какаоподобный». Партнёр «horse mackerel»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9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5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95" s="28" t="str">
        <x:v>пралине, паста, выпечка, гарнир, соус, молочный или коктейльный компонент с horse mackerel</x:v>
      </x:c>
      <x:c r="J95" s="28" t="str">
        <x:v>Средняя</x:v>
      </x:c>
      <x:c r="K95" s="28" t="str">
        <x:v>The Art &amp; Science of Foodpairing.pdf</x:v>
      </x:c>
      <x:c r="L95" s="28" t="str">
        <x:v>The Art &amp; Science of Foodpairing.pdf: 332</x:v>
      </x:c>
    </x:row>
    <x:row r="96" ht="64" customHeight="1">
      <x:c r="A96" s="28" t="str">
        <x:v>NCT-0473</x:v>
      </x:c>
      <x:c r="B96" s="28" t="str">
        <x:v>фундук</x:v>
      </x:c>
      <x:c r="C96" s="28" t="str">
        <x:v>korean fish sauce</x:v>
      </x:c>
      <x:c r="D96" s="28" t="str">
        <x:v>Рыба и морепродукты</x:v>
      </x:c>
      <x:c r="E96" s="28" t="str">
        <x:v>общие ароматические соединения, солёно-умами контраст</x:v>
      </x:c>
      <x:c r="F96" s="28" t="str">
        <x:v>Фундук имеет профиль «ореховый, жареный, сладкий, землистый и какаоподобный». Партнёр «korean fish sauce»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9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6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96" s="28" t="str">
        <x:v>пралине, паста, выпечка, гарнир, соус, молочный или коктейльный компонент с korean fish sauce</x:v>
      </x:c>
      <x:c r="J96" s="28" t="str">
        <x:v>Средняя</x:v>
      </x:c>
      <x:c r="K96" s="28" t="str">
        <x:v>The Art &amp; Science of Foodpairing.pdf</x:v>
      </x:c>
      <x:c r="L96" s="28" t="str">
        <x:v>The Art &amp; Science of Foodpairing.pdf: 332</x:v>
      </x:c>
    </x:row>
    <x:row r="97" ht="64" customHeight="1">
      <x:c r="A97" s="28" t="str">
        <x:v>NCT-0476</x:v>
      </x:c>
      <x:c r="B97" s="28" t="str">
        <x:v>фундук</x:v>
      </x:c>
      <x:c r="C97" s="28" t="str">
        <x:v>meat</x:v>
      </x:c>
      <x:c r="D97" s="28" t="str">
        <x:v>Мясо и птица</x:v>
      </x:c>
      <x:c r="E97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97" s="28" t="str">
        <x:v>Фундук имеет профиль «ореховый, жареный, сладкий, землистый и какаоподобный». Партнёр «meat»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9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7" s="28" t="str">
        <x:v>аллерген и чувствительность к прогорканию; пережаривание даёт дымную горечь</x:v>
      </x:c>
      <x:c r="I97" s="28" t="str">
        <x:v>пралине, паста, выпечка, гарнир, соус, молочный или коктейльный компонент с meat</x:v>
      </x:c>
      <x:c r="J97" s="28" t="str">
        <x:v>Средняя</x:v>
      </x:c>
      <x:c r="K97" s="28" t="str">
        <x:v>The Art &amp; Science of Foodpairing.pdf</x:v>
      </x:c>
      <x:c r="L97" s="28" t="str">
        <x:v>The Art &amp; Science of Foodpairing.pdf: 186</x:v>
      </x:c>
    </x:row>
    <x:row r="98" ht="64" customHeight="1">
      <x:c r="A98" s="28" t="str">
        <x:v>NCT-0478</x:v>
      </x:c>
      <x:c r="B98" s="28" t="str">
        <x:v>фундук</x:v>
      </x:c>
      <x:c r="C98" s="28" t="str">
        <x:v>pan-fried duck breast</x:v>
      </x:c>
      <x:c r="D98" s="28" t="str">
        <x:v>Мясо и птица</x:v>
      </x:c>
      <x:c r="E9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98" s="28" t="str">
        <x:v>Фундук имеет профиль «ореховый, жареный, сладкий, землистый и какаоподобный». Партнёр «pan-fried duck breast»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9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8" s="28" t="str">
        <x:v>аллерген и чувствительность к прогорканию; пережаривание даёт дымную горечь</x:v>
      </x:c>
      <x:c r="I98" s="28" t="str">
        <x:v>пралине, паста, выпечка, гарнир, соус, молочный или коктейльный компонент с pan-fried duck breast</x:v>
      </x:c>
      <x:c r="J98" s="28" t="str">
        <x:v>Средняя</x:v>
      </x:c>
      <x:c r="K98" s="28" t="str">
        <x:v>The Art &amp; Science of Foodpairing.pdf</x:v>
      </x:c>
      <x:c r="L98" s="28" t="str">
        <x:v>The Art &amp; Science of Foodpairing.pdf: 332</x:v>
      </x:c>
    </x:row>
    <x:row r="99" ht="64" customHeight="1">
      <x:c r="A99" s="28" t="str">
        <x:v>NCT-0479</x:v>
      </x:c>
      <x:c r="B99" s="28" t="str">
        <x:v>фундук</x:v>
      </x:c>
      <x:c r="C99" s="28" t="str">
        <x:v>pan-fried duck foie gras</x:v>
      </x:c>
      <x:c r="D99" s="28" t="str">
        <x:v>Мясо и птица</x:v>
      </x:c>
      <x:c r="E99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99" s="28" t="str">
        <x:v>Фундук имеет профиль «ореховый, жареный, сладкий, землистый и какаоподобный». Партнёр «pan-fried duck foie gras»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9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99" s="28" t="str">
        <x:v>аллерген и чувствительность к прогорканию; пережаривание даёт дымную горечь</x:v>
      </x:c>
      <x:c r="I99" s="28" t="str">
        <x:v>пралине, паста, выпечка, гарнир, соус, молочный или коктейльный компонент с pan-fried duck foie gras</x:v>
      </x:c>
      <x:c r="J99" s="28" t="str">
        <x:v>Средняя</x:v>
      </x:c>
      <x:c r="K99" s="28" t="str">
        <x:v>The Art &amp; Science of Foodpairing.pdf</x:v>
      </x:c>
      <x:c r="L99" s="28" t="str">
        <x:v>The Art &amp; Science of Foodpairing.pdf: 332</x:v>
      </x:c>
    </x:row>
    <x:row r="100" ht="64" customHeight="1">
      <x:c r="A100" s="28" t="str">
        <x:v>NCT-0480</x:v>
      </x:c>
      <x:c r="B100" s="28" t="str">
        <x:v>фундук</x:v>
      </x:c>
      <x:c r="C100" s="28" t="str">
        <x:v>pan-fried wild duck</x:v>
      </x:c>
      <x:c r="D100" s="28" t="str">
        <x:v>Мясо и птица</x:v>
      </x:c>
      <x:c r="E10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00" s="28" t="str">
        <x:v>Фундук имеет профиль «ореховый, жареный, сладкий, землистый и какаоподобный». Партнёр «pan-fried wild duck»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пиразины.</x:v>
      </x:c>
      <x:c r="G10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0" s="28" t="str">
        <x:v>аллерген и чувствительность к прогорканию; пережаривание даёт дымную горечь</x:v>
      </x:c>
      <x:c r="I100" s="28" t="str">
        <x:v>пралине, паста, выпечка, гарнир, соус, молочный или коктейльный компонент с pan-fried wild duck</x:v>
      </x:c>
      <x:c r="J100" s="28" t="str">
        <x:v>Средняя</x:v>
      </x:c>
      <x:c r="K100" s="28" t="str">
        <x:v>The Art &amp; Science of Foodpairing.pdf</x:v>
      </x:c>
      <x:c r="L100" s="28" t="str">
        <x:v>The Art &amp; Science of Foodpairing.pdf: 332</x:v>
      </x:c>
    </x:row>
    <x:row r="101" ht="64" customHeight="1">
      <x:c r="A101" s="28" t="str">
        <x:v>NCT-0482</x:v>
      </x:c>
      <x:c r="B101" s="28" t="str">
        <x:v>фундук</x:v>
      </x:c>
      <x:c r="C101" s="28" t="str">
        <x:v>poached cod fillet</x:v>
      </x:c>
      <x:c r="D101" s="28" t="str">
        <x:v>Рыба и морепродукты</x:v>
      </x:c>
      <x:c r="E101" s="28" t="str">
        <x:v>общие ароматические соединения, солёно-умами контраст</x:v>
      </x:c>
      <x:c r="F101" s="28" t="str">
        <x:v>Фундук имеет профиль «ореховый, жареный, сладкий, землистый и какаоподобный». Партнёр «poached cod fillet»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1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101" s="28" t="str">
        <x:v>пралине, паста, выпечка, гарнир, соус, молочный или коктейльный компонент с poached cod fillet</x:v>
      </x:c>
      <x:c r="J101" s="28" t="str">
        <x:v>Средняя</x:v>
      </x:c>
      <x:c r="K101" s="28" t="str">
        <x:v>The Art &amp; Science of Foodpairing.pdf</x:v>
      </x:c>
      <x:c r="L101" s="28" t="str">
        <x:v>The Art &amp; Science of Foodpairing.pdf: 332</x:v>
      </x:c>
    </x:row>
    <x:row r="102" ht="64" customHeight="1">
      <x:c r="A102" s="28" t="str">
        <x:v>NCT-0483</x:v>
      </x:c>
      <x:c r="B102" s="28" t="str">
        <x:v>фундук</x:v>
      </x:c>
      <x:c r="C102" s="28" t="str">
        <x:v>poached salmon</x:v>
      </x:c>
      <x:c r="D102" s="28" t="str">
        <x:v>Рыба и морепродукты</x:v>
      </x:c>
      <x:c r="E102" s="28" t="str">
        <x:v>общие ароматические соединения, солёно-умами контраст</x:v>
      </x:c>
      <x:c r="F102" s="28" t="str">
        <x:v>Фундук имеет профиль «ореховый, жареный, сладкий, землистый и какаоподобный». Партнёр «poached salmon»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2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102" s="28" t="str">
        <x:v>пралине, паста, выпечка, гарнир, соус, молочный или коктейльный компонент с poached salmon</x:v>
      </x:c>
      <x:c r="J102" s="28" t="str">
        <x:v>Средняя</x:v>
      </x:c>
      <x:c r="K102" s="28" t="str">
        <x:v>The Art &amp; Science of Foodpairing.pdf</x:v>
      </x:c>
      <x:c r="L102" s="28" t="str">
        <x:v>The Art &amp; Science of Foodpairing.pdf: 332</x:v>
      </x:c>
    </x:row>
    <x:row r="103" ht="64" customHeight="1">
      <x:c r="A103" s="28" t="str">
        <x:v>NCT-0484</x:v>
      </x:c>
      <x:c r="B103" s="28" t="str">
        <x:v>фундук</x:v>
      </x:c>
      <x:c r="C103" s="28" t="str">
        <x:v>poached turbot</x:v>
      </x:c>
      <x:c r="D103" s="28" t="str">
        <x:v>Рыба и морепродукты</x:v>
      </x:c>
      <x:c r="E103" s="28" t="str">
        <x:v>общие ароматические соединения, солёно-умами контраст</x:v>
      </x:c>
      <x:c r="F103" s="28" t="str">
        <x:v>Фундук имеет профиль «ореховый, жареный, сладкий, землистый и какаоподобный». Партнёр «poached turbot»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3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103" s="28" t="str">
        <x:v>пралине, паста, выпечка, гарнир, соус, молочный или коктейльный компонент с poached turbot</x:v>
      </x:c>
      <x:c r="J103" s="28" t="str">
        <x:v>Средняя</x:v>
      </x:c>
      <x:c r="K103" s="28" t="str">
        <x:v>The Art &amp; Science of Foodpairing.pdf</x:v>
      </x:c>
      <x:c r="L103" s="28" t="str">
        <x:v>The Art &amp; Science of Foodpairing.pdf: 332</x:v>
      </x:c>
    </x:row>
    <x:row r="104" ht="64" customHeight="1">
      <x:c r="A104" s="28" t="str">
        <x:v>NCT-0485</x:v>
      </x:c>
      <x:c r="B104" s="28" t="str">
        <x:v>фундук</x:v>
      </x:c>
      <x:c r="C104" s="28" t="str">
        <x:v>pumpkin seed oil</x:v>
      </x:c>
      <x:c r="D104" s="28" t="str">
        <x:v>Овощи, бобовые и грибы</x:v>
      </x:c>
      <x:c r="E104" s="28" t="str">
        <x:v>общие ароматические соединения</x:v>
      </x:c>
      <x:c r="F104" s="28" t="str">
        <x:v>Фундук имеет профиль «ореховый, жареный, сладкий, землистый и какаоподобный». Партнёр «pumpkin seed oil»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4" s="28" t="str">
        <x:v>аллерген и чувствительность к прогорканию; пережаривание даёт дымную горечь</x:v>
      </x:c>
      <x:c r="I104" s="28" t="str">
        <x:v>пралине, паста, выпечка, гарнир, соус, молочный или коктейльный компонент с pumpkin seed oil</x:v>
      </x:c>
      <x:c r="J104" s="28" t="str">
        <x:v>Средняя</x:v>
      </x:c>
      <x:c r="K104" s="28" t="str">
        <x:v>The Art &amp; Science of Foodpairing.pdf</x:v>
      </x:c>
      <x:c r="L104" s="28" t="str">
        <x:v>The Art &amp; Science of Foodpairing.pdf: 332</x:v>
      </x:c>
    </x:row>
    <x:row r="105" ht="64" customHeight="1">
      <x:c r="A105" s="28" t="str">
        <x:v>NCT-0487</x:v>
      </x:c>
      <x:c r="B105" s="28" t="str">
        <x:v>фундук</x:v>
      </x:c>
      <x:c r="C105" s="28" t="str">
        <x:v>salted sardine</x:v>
      </x:c>
      <x:c r="D105" s="28" t="str">
        <x:v>Рыба и морепродукты</x:v>
      </x:c>
      <x:c r="E105" s="28" t="str">
        <x:v>общие ароматические соединения, солёно-умами контраст</x:v>
      </x:c>
      <x:c r="F105" s="28" t="str">
        <x:v>Фундук имеет профиль «ореховый, жареный, сладкий, землистый и какаоподобный». Партнёр «salted sardine»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5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105" s="28" t="str">
        <x:v>пралине, паста, выпечка, гарнир, соус, молочный или коктейльный компонент с salted sardine</x:v>
      </x:c>
      <x:c r="J105" s="28" t="str">
        <x:v>Средняя</x:v>
      </x:c>
      <x:c r="K105" s="28" t="str">
        <x:v>The Art &amp; Science of Foodpairing.pdf</x:v>
      </x:c>
      <x:c r="L105" s="28" t="str">
        <x:v>The Art &amp; Science of Foodpairing.pdf: 332</x:v>
      </x:c>
    </x:row>
    <x:row r="106" ht="64" customHeight="1">
      <x:c r="A106" s="28" t="str">
        <x:v>NCT-0489</x:v>
      </x:c>
      <x:c r="B106" s="28" t="str">
        <x:v>фундук</x:v>
      </x:c>
      <x:c r="C106" s="28" t="str">
        <x:v>sweet potato</x:v>
      </x:c>
      <x:c r="D106" s="28" t="str">
        <x:v>Овощи, бобовые и грибы</x:v>
      </x:c>
      <x:c r="E106" s="28" t="str">
        <x:v>общие ароматические соединения</x:v>
      </x:c>
      <x:c r="F106" s="28" t="str">
        <x:v>Фундук имеет профиль «ореховый, жареный, сладкий, землистый и какаоподобный». Партнёр «sweet potato»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6" s="28" t="str">
        <x:v>аллерген и чувствительность к прогорканию; пережаривание даёт дымную горечь</x:v>
      </x:c>
      <x:c r="I106" s="28" t="str">
        <x:v>пралине, паста, выпечка, гарнир, соус, молочный или коктейльный компонент с sweet potato</x:v>
      </x:c>
      <x:c r="J106" s="28" t="str">
        <x:v>Средняя</x:v>
      </x:c>
      <x:c r="K106" s="28" t="str">
        <x:v>The Art &amp; Science of Foodpairing.pdf</x:v>
      </x:c>
      <x:c r="L106" s="28" t="str">
        <x:v>The Art &amp; Science of Foodpairing.pdf: 119</x:v>
      </x:c>
    </x:row>
    <x:row r="107" ht="64" customHeight="1">
      <x:c r="A107" s="28" t="str">
        <x:v>NCT-0498</x:v>
      </x:c>
      <x:c r="B107" s="28" t="str">
        <x:v>фундук</x:v>
      </x:c>
      <x:c r="C107" s="28" t="str">
        <x:v>белая рыба</x:v>
      </x:c>
      <x:c r="D107" s="28" t="str">
        <x:v>Рыба и морепродукты</x:v>
      </x:c>
      <x:c r="E107" s="28" t="str">
        <x:v>общие ароматические соединения, солёно-умами контраст</x:v>
      </x:c>
      <x:c r="F107" s="28" t="str">
        <x:v>Фундук имеет профиль «ореховый, жареный, сладкий, землистый и какаоподобный». Партнёр «белая рыба»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7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7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107" s="28" t="str">
        <x:v>пралине, паста, выпечка, гарнир, соус, молочный или коктейльный компонент с белая рыба</x:v>
      </x:c>
      <x:c r="J107" s="28" t="str">
        <x:v>Средняя</x:v>
      </x:c>
      <x:c r="K107" s="28" t="str">
        <x:v>Тезариус вкусов (Ники Сегнит)(1).pdf</x:v>
      </x:c>
      <x:c r="L107" s="28" t="str">
        <x:v>Тезариус вкусов (Ники Сегнит)(1).pdf: 393, 633</x:v>
      </x:c>
    </x:row>
    <x:row r="108" ht="64" customHeight="1">
      <x:c r="A108" s="28" t="str">
        <x:v>NCT-0508</x:v>
      </x:c>
      <x:c r="B108" s="28" t="str">
        <x:v>фундук</x:v>
      </x:c>
      <x:c r="C108" s="28" t="str">
        <x:v>зелёная спаржа</x:v>
      </x:c>
      <x:c r="D108" s="28" t="str">
        <x:v>Овощи, бобовые и грибы</x:v>
      </x:c>
      <x:c r="E108" s="28" t="str">
        <x:v>общие ароматические соединения</x:v>
      </x:c>
      <x:c r="F108" s="28" t="str">
        <x:v>Фундук имеет профиль «ореховый, жареный, сладкий, землистый и какаоподобный». Партнёр «зелёная спаржа»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8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8" s="28" t="str">
        <x:v>аллерген и чувствительность к прогорканию; пережаривание даёт дымную горечь</x:v>
      </x:c>
      <x:c r="I108" s="28" t="str">
        <x:v>пралине, паста, выпечка, гарнир, соус, молочный или коктейльный компонент с зелёная спаржа</x:v>
      </x:c>
      <x:c r="J108" s="28" t="str">
        <x:v>Средняя</x:v>
      </x:c>
      <x:c r="K108" s="28" t="str">
        <x:v>The Art &amp; Science of Foodpairing.pdf</x:v>
      </x:c>
      <x:c r="L108" s="28" t="str">
        <x:v>The Art &amp; Science of Foodpairing.pdf: 332</x:v>
      </x:c>
    </x:row>
    <x:row r="109" ht="64" customHeight="1">
      <x:c r="A109" s="28" t="str">
        <x:v>NCT-0509</x:v>
      </x:c>
      <x:c r="B109" s="28" t="str">
        <x:v>фундук</x:v>
      </x:c>
      <x:c r="C109" s="28" t="str">
        <x:v>зелёная фасоль</x:v>
      </x:c>
      <x:c r="D109" s="28" t="str">
        <x:v>Овощи, бобовые и грибы</x:v>
      </x:c>
      <x:c r="E109" s="28" t="str">
        <x:v>общие ароматические соединения</x:v>
      </x:c>
      <x:c r="F109" s="28" t="str">
        <x:v>Фундук имеет профиль «ореховый, жареный, сладкий, землистый и какаоподобный». Партнёр «зелёная фасоль»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09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09" s="28" t="str">
        <x:v>аллерген и чувствительность к прогорканию; пережаривание даёт дымную горечь</x:v>
      </x:c>
      <x:c r="I109" s="28" t="str">
        <x:v>пралине, паста, выпечка, гарнир, соус, молочный или коктейльный компонент с зелёная фасоль</x:v>
      </x:c>
      <x:c r="J109" s="28" t="str">
        <x:v>Средняя</x:v>
      </x:c>
      <x:c r="K109" s="28" t="str">
        <x:v>The Art &amp; Science of Foodpairing.pdf</x:v>
      </x:c>
      <x:c r="L109" s="28" t="str">
        <x:v>The Art &amp; Science of Foodpairing.pdf: 332</x:v>
      </x:c>
    </x:row>
    <x:row r="110" ht="64" customHeight="1">
      <x:c r="A110" s="28" t="str">
        <x:v>NCT-0513</x:v>
      </x:c>
      <x:c r="B110" s="28" t="str">
        <x:v>фундук</x:v>
      </x:c>
      <x:c r="C110" s="28" t="str">
        <x:v>кабачок</x:v>
      </x:c>
      <x:c r="D110" s="28" t="str">
        <x:v>Овощи, бобовые и грибы</x:v>
      </x:c>
      <x:c r="E110" s="28" t="str">
        <x:v>общие ароматические соединения</x:v>
      </x:c>
      <x:c r="F110" s="28" t="str">
        <x:v>Фундук имеет профиль «ореховый, жареный, сладкий, землистый и какаоподобный». Партнёр «кабачок»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10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10" s="28" t="str">
        <x:v>аллерген и чувствительность к прогорканию; пережаривание даёт дымную горечь</x:v>
      </x:c>
      <x:c r="I110" s="28" t="str">
        <x:v>пралине, паста, выпечка, гарнир, соус, молочный или коктейльный компонент с кабачок</x:v>
      </x:c>
      <x:c r="J110" s="28" t="str">
        <x:v>Высокая</x:v>
      </x:c>
      <x:c r="K110" s="28" t="str">
        <x:v>The Art &amp; Science of Foodpairing.pdf</x:v>
      </x:c>
      <x:c r="L110" s="28" t="str">
        <x:v>The Art &amp; Science of Foodpairing.pdf: 332</x:v>
      </x:c>
    </x:row>
    <x:row r="111" ht="64" customHeight="1">
      <x:c r="A111" s="28" t="str">
        <x:v>NCT-0514</x:v>
      </x:c>
      <x:c r="B111" s="28" t="str">
        <x:v>фундук</x:v>
      </x:c>
      <x:c r="C111" s="28" t="str">
        <x:v>картофель фри</x:v>
      </x:c>
      <x:c r="D111" s="28" t="str">
        <x:v>Овощи, бобовые и грибы</x:v>
      </x:c>
      <x:c r="E111" s="28" t="str">
        <x:v>общие ароматические соединения</x:v>
      </x:c>
      <x:c r="F111" s="28" t="str">
        <x:v>Фундук имеет профиль «ореховый, жареный, сладкий, землистый и какаоподобный». Партнёр «картофель фри»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11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11" s="28" t="str">
        <x:v>аллерген и чувствительность к прогорканию; пережаривание даёт дымную горечь</x:v>
      </x:c>
      <x:c r="I111" s="28" t="str">
        <x:v>пралине, паста, выпечка, гарнир, соус, молочный или коктейльный компонент с картофель фри</x:v>
      </x:c>
      <x:c r="J111" s="28" t="str">
        <x:v>Средняя</x:v>
      </x:c>
      <x:c r="K111" s="28" t="str">
        <x:v>The Art &amp; Science of Foodpairing.pdf</x:v>
      </x:c>
      <x:c r="L111" s="28" t="str">
        <x:v>The Art &amp; Science of Foodpairing.pdf: 196, 332</x:v>
      </x:c>
    </x:row>
    <x:row r="112" ht="64" customHeight="1">
      <x:c r="A112" s="28" t="str">
        <x:v>NCT-0527</x:v>
      </x:c>
      <x:c r="B112" s="28" t="str">
        <x:v>фундук</x:v>
      </x:c>
      <x:c r="C112" s="28" t="str">
        <x:v>морковь</x:v>
      </x:c>
      <x:c r="D112" s="28" t="str">
        <x:v>Овощи, бобовые и грибы</x:v>
      </x:c>
      <x:c r="E112" s="28" t="str">
        <x:v>общие ароматические соединения</x:v>
      </x:c>
      <x:c r="F112" s="28" t="str">
        <x:v>Фундук имеет профиль «ореховый, жареный, сладкий, землистый и какаоподобный». Партнёр «морковь»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12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12" s="28" t="str">
        <x:v>аллерген и чувствительность к прогорканию; пережаривание даёт дымную горечь</x:v>
      </x:c>
      <x:c r="I112" s="28" t="str">
        <x:v>пралине, паста, выпечка, гарнир, соус, молочный или коктейльный компонент с морковь</x:v>
      </x:c>
      <x:c r="J112" s="28" t="str">
        <x:v>Средняя</x:v>
      </x:c>
      <x:c r="K112" s="28" t="str">
        <x:v>Тезариус вкусов (Ники Сегнит)(1).pdf</x:v>
      </x:c>
      <x:c r="L112" s="28" t="str">
        <x:v>Тезариус вкусов (Ники Сегнит)(1).pdf: 607, 636</x:v>
      </x:c>
    </x:row>
    <x:row r="113" ht="64" customHeight="1">
      <x:c r="A113" s="28" t="str">
        <x:v>NCT-0535</x:v>
      </x:c>
      <x:c r="B113" s="28" t="str">
        <x:v>фундук</x:v>
      </x:c>
      <x:c r="C113" s="28" t="str">
        <x:v>свёкла</x:v>
      </x:c>
      <x:c r="D113" s="28" t="str">
        <x:v>Овощи, бобовые и грибы</x:v>
      </x:c>
      <x:c r="E113" s="28" t="str">
        <x:v>сенсорная комплементарность</x:v>
      </x:c>
      <x:c r="F113" s="28" t="str">
        <x:v>Фундук имеет профиль «ореховый, жареный, сладкий, землистый и какаоподобный». Партнёр «свёкла» относится к группе «Овощи, бобовые и грибы» и даёт землистый, сладкий.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механизм не следует сводить к одной общей молекуле.</x:v>
      </x:c>
      <x:c r="G113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13" s="28" t="str">
        <x:v>аллерген и чувствительность к прогорканию; пережаривание даёт дымную горечь</x:v>
      </x:c>
      <x:c r="I113" s="28" t="str">
        <x:v>пралине, паста, выпечка, гарнир, соус, молочный или коктейльный компонент с свёкла</x:v>
      </x:c>
      <x:c r="J113" s="28" t="str">
        <x:v>Средняя</x:v>
      </x:c>
      <x:c r="K113" s="28" t="str">
        <x:v>The Art &amp; Science of Foodpairing.pdf</x:v>
      </x:c>
      <x:c r="L113" s="28" t="str">
        <x:v>The Art &amp; Science of Foodpairing.pdf: 332</x:v>
      </x:c>
    </x:row>
    <x:row r="114" ht="64" customHeight="1">
      <x:c r="A114" s="28" t="str">
        <x:v>NCT-0539</x:v>
      </x:c>
      <x:c r="B114" s="28" t="str">
        <x:v>фундук</x:v>
      </x:c>
      <x:c r="C114" s="28" t="str">
        <x:v>тёмный соевый соус</x:v>
      </x:c>
      <x:c r="D114" s="28" t="str">
        <x:v>Ферментированные продукты и соусы</x:v>
      </x:c>
      <x:c r="E114" s="28" t="str">
        <x:v>общие ароматические соединения, пересечение ароматических семейств, солёно-умами контраст</x:v>
      </x:c>
      <x:c r="F114" s="28" t="str">
        <x:v>Фундук имеет профиль «ореховый, жареный, сладкий, землистый и какаоподобный». Партнёр «тёмный 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жареный; пиразины, фураны.</x:v>
      </x:c>
      <x:c r="G114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14" s="28" t="str">
        <x:v>аллерген и чувствительность к прогорканию; пережаривание даёт дымную горечь</x:v>
      </x:c>
      <x:c r="I114" s="28" t="str">
        <x:v>пралине, паста, выпечка, гарнир, соус, молочный или коктейльный компонент с тёмный соевый соус</x:v>
      </x:c>
      <x:c r="J114" s="28" t="str">
        <x:v>Средняя</x:v>
      </x:c>
      <x:c r="K114" s="28" t="str">
        <x:v>The Art &amp; Science of Foodpairing.pdf</x:v>
      </x:c>
      <x:c r="L114" s="28" t="str">
        <x:v>The Art &amp; Science of Foodpairing.pdf: 332</x:v>
      </x:c>
    </x:row>
    <x:row r="115" ht="64" customHeight="1">
      <x:c r="A115" s="28" t="str">
        <x:v>NCT-0543</x:v>
      </x:c>
      <x:c r="B115" s="28" t="str">
        <x:v>фундук</x:v>
      </x:c>
      <x:c r="C115" s="28" t="str">
        <x:v>черная икра</x:v>
      </x:c>
      <x:c r="D115" s="28" t="str">
        <x:v>Рыба и морепродукты</x:v>
      </x:c>
      <x:c r="E115" s="28" t="str">
        <x:v>общие ароматические соединения, солёно-умами контраст</x:v>
      </x:c>
      <x:c r="F115" s="28" t="str">
        <x:v>Фундук имеет профиль «ореховый, жареный, сладкий, землистый и какаоподобный». Партнёр «черная икра»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15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15" s="28" t="str">
        <x:v>аллерген и чувствительность к прогорканию; пережаривание даёт дымную горечь; малейшая прогорклость ореха или шоколада усиливает неприятные рыбные оттенки</x:v>
      </x:c>
      <x:c r="I115" s="28" t="str">
        <x:v>пралине, паста, выпечка, гарнир, соус, молочный или коктейльный компонент с черная икра</x:v>
      </x:c>
      <x:c r="J115" s="28" t="str">
        <x:v>Средняя</x:v>
      </x:c>
      <x:c r="K115" s="28" t="str">
        <x:v>Тезариус вкусов (Ники Сегнит)(1).pdf</x:v>
      </x:c>
      <x:c r="L115" s="28" t="str">
        <x:v>Тезариус вкусов (Ники Сегнит)(1).pdf: 408, 638</x:v>
      </x:c>
    </x:row>
    <x:row r="116" ht="64" customHeight="1">
      <x:c r="A116" s="28" t="str">
        <x:v>NCT-0545</x:v>
      </x:c>
      <x:c r="B116" s="28" t="str">
        <x:v>фундук</x:v>
      </x:c>
      <x:c r="C116" s="28" t="str">
        <x:v>чеснок</x:v>
      </x:c>
      <x:c r="D116" s="28" t="str">
        <x:v>Овощи, бобовые и грибы</x:v>
      </x:c>
      <x:c r="E116" s="28" t="str">
        <x:v>общие ароматические соединения</x:v>
      </x:c>
      <x:c r="F116" s="28" t="str">
        <x:v>Фундук имеет профиль «ореховый, жареный, сладкий, землистый и какаоподобный». Партнёр «чеснок» относится к группе «Овощи, бобовые и грибы» и даёт зелёный, землистый или умами. Молекулярный мост создают альдегиды Ореховый жир служит носителем ароматов и создаёт текстурный контраст, но окисление быстро превращает профиль в прогорклый. Итог: прямое совпадение одной ключевой молекулы не подтверждено; альдегиды.</x:v>
      </x:c>
      <x:c r="G116" s="28" t="str">
        <x:v>обжарка резко усиливает фильбертон, пиразины и жареные ноты; снятие кожицы снижает горечь. Целый орех обжаривать умеренно, охлаждать перед измельчением и хранить герметично.</x:v>
      </x:c>
      <x:c r="H116" s="28" t="str">
        <x:v>аллерген и чувствительность к прогорканию; пережаривание даёт дымную горечь</x:v>
      </x:c>
      <x:c r="I116" s="28" t="str">
        <x:v>пралине, паста, выпечка, гарнир, соус, молочный или коктейльный компонент с чеснок</x:v>
      </x:c>
      <x:c r="J116" s="28" t="str">
        <x:v>Средняя</x:v>
      </x:c>
      <x:c r="K116" s="28" t="str">
        <x:v>Тезариус вкусов (Ники Сегнит)(1).pdf</x:v>
      </x:c>
      <x:c r="L116" s="28" t="str">
        <x:v>Тезариус вкусов (Ники Сегнит)(1).pdf: 299, 377, 638</x:v>
      </x:c>
    </x:row>
    <x:row r="117" ht="64" customHeight="1">
      <x:c r="A117" s="28" t="str">
        <x:v>NCT-0551</x:v>
      </x:c>
      <x:c r="B117" s="28" t="str">
        <x:v>чёрный чай</x:v>
      </x:c>
      <x:c r="C117" s="28" t="str">
        <x:v>bacon</x:v>
      </x:c>
      <x:c r="D117" s="28" t="str">
        <x:v>Мясо и птица</x:v>
      </x:c>
      <x:c r="E117" s="28" t="str">
        <x:v>жареная химия и реакции Майяра, солёно-умами контраст</x:v>
      </x:c>
      <x:c r="F117" s="28" t="str">
        <x:v>Чёрный чай имеет профиль «мальтовый, цветочный, фруктовый, древесный и слегка дымный». Партнёр «bacon»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17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17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17" s="28" t="str">
        <x:v>чайный настой, холодный чай, кордиал, молочный пунш, десерт или соус с bacon</x:v>
      </x:c>
      <x:c r="J117" s="28" t="str">
        <x:v>Высокая</x:v>
      </x:c>
      <x:c r="K117" s="28" t="str">
        <x:v>The Art &amp; Science of Foodpairing.pdf</x:v>
      </x:c>
      <x:c r="L117" s="28" t="str">
        <x:v>The Art &amp; Science of Foodpairing.pdf: 362</x:v>
      </x:c>
    </x:row>
    <x:row r="118" ht="64" customHeight="1">
      <x:c r="A118" s="28" t="str">
        <x:v>NCT-0552</x:v>
      </x:c>
      <x:c r="B118" s="28" t="str">
        <x:v>чёрный чай</x:v>
      </x:c>
      <x:c r="C118" s="28" t="str">
        <x:v>balsamic vinegar</x:v>
      </x:c>
      <x:c r="D118" s="28" t="str">
        <x:v>Ферментированные продукты и соусы</x:v>
      </x:c>
      <x:c r="E118" s="28" t="str">
        <x:v>солёно-умами контраст</x:v>
      </x:c>
      <x:c r="F118" s="28" t="str">
        <x:v>Чёрный чай имеет профиль «мальтовый, цветочный, фруктовый, древесный и слегка дымный». Партнёр «balsamic vinegar» относится к группе «Ферментированные продукты и соусы» и даёт ферментированный, умами и сложный.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18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18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18" s="28" t="str">
        <x:v>чайный настой, холодный чай, кордиал, молочный пунш, десерт или соус с balsamic vinegar</x:v>
      </x:c>
      <x:c r="J118" s="28" t="str">
        <x:v>Средняя</x:v>
      </x:c>
      <x:c r="K118" s="28" t="str">
        <x:v>The Art &amp; Science of Foodpairing.pdf</x:v>
      </x:c>
      <x:c r="L118" s="28" t="str">
        <x:v>The Art &amp; Science of Foodpairing.pdf: 316</x:v>
      </x:c>
    </x:row>
    <x:row r="119" ht="64" customHeight="1">
      <x:c r="A119" s="28" t="str">
        <x:v>NCT-0555</x:v>
      </x:c>
      <x:c r="B119" s="28" t="str">
        <x:v>чёрный чай</x:v>
      </x:c>
      <x:c r="C119" s="28" t="str">
        <x:v>garlic</x:v>
      </x:c>
      <x:c r="D119" s="28" t="str">
        <x:v>Овощи, бобовые и грибы</x:v>
      </x:c>
      <x:c r="E119" s="28" t="str">
        <x:v>сенсорная комплементарность</x:v>
      </x:c>
      <x:c r="F119" s="28" t="str">
        <x:v>Чёрный чай имеет профиль «мальтовый, цветочный, фруктовый, древесный и слегка дымный». Партнёр «garlic» относится к группе «Овощи, бобовые и грибы» и даёт зелёный, землистый или умами.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19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19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19" s="28" t="str">
        <x:v>чайный настой, холодный чай, кордиал, молочный пунш, десерт или соус с garlic</x:v>
      </x:c>
      <x:c r="J119" s="28" t="str">
        <x:v>Средняя</x:v>
      </x:c>
      <x:c r="K119" s="28" t="str">
        <x:v>The Art &amp; Science of Foodpairing.pdf</x:v>
      </x:c>
      <x:c r="L119" s="28" t="str">
        <x:v>The Art &amp; Science of Foodpairing.pdf: 113</x:v>
      </x:c>
    </x:row>
    <x:row r="120" ht="64" customHeight="1">
      <x:c r="A120" s="28" t="str">
        <x:v>NCT-0556</x:v>
      </x:c>
      <x:c r="B120" s="28" t="str">
        <x:v>чёрный чай</x:v>
      </x:c>
      <x:c r="C120" s="28" t="str">
        <x:v>lberico ham</x:v>
      </x:c>
      <x:c r="D120" s="28" t="str">
        <x:v>Мясо и птица</x:v>
      </x:c>
      <x:c r="E120" s="28" t="str">
        <x:v>жареная химия и реакции Майяра, солёно-умами контраст</x:v>
      </x:c>
      <x:c r="F120" s="28" t="str">
        <x:v>Чёрный чай имеет профиль «мальтовый, цветочный, фруктовый, древесный и слегка дымный». Партнёр «lberico ham»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20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20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20" s="28" t="str">
        <x:v>чайный настой, холодный чай, кордиал, молочный пунш, десерт или соус с lberico ham</x:v>
      </x:c>
      <x:c r="J120" s="28" t="str">
        <x:v>Средняя</x:v>
      </x:c>
      <x:c r="K120" s="28" t="str">
        <x:v>The Art &amp; Science of Foodpairing.pdf</x:v>
      </x:c>
      <x:c r="L120" s="28" t="str">
        <x:v>The Art &amp; Science of Foodpairing.pdf: 278</x:v>
      </x:c>
    </x:row>
    <x:row r="121" ht="64" customHeight="1">
      <x:c r="A121" s="28" t="str">
        <x:v>NCT-0557</x:v>
      </x:c>
      <x:c r="B121" s="28" t="str">
        <x:v>чёрный чай</x:v>
      </x:c>
      <x:c r="C121" s="28" t="str">
        <x:v>meat</x:v>
      </x:c>
      <x:c r="D121" s="28" t="str">
        <x:v>Мясо и птица</x:v>
      </x:c>
      <x:c r="E121" s="28" t="str">
        <x:v>жареная химия и реакции Майяра, солёно-умами контраст</x:v>
      </x:c>
      <x:c r="F121" s="28" t="str">
        <x:v>Чёрный чай имеет профиль «мальтовый, цветочный, фруктовый, древесный и слегка дымный». Партнёр «meat» относится к группе «Мясо и птица» и даёт жареный, мясной и умами. Соль и умами усиливают ароматическую насыщенность и создают контраст со сладкими или ореховыми нотами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21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21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21" s="28" t="str">
        <x:v>чайный настой, холодный чай, кордиал, молочный пунш, десерт или соус с meat</x:v>
      </x:c>
      <x:c r="J121" s="28" t="str">
        <x:v>Средняя</x:v>
      </x:c>
      <x:c r="K121" s="28" t="str">
        <x:v>The Art &amp; Science of Foodpairing.pdf</x:v>
      </x:c>
      <x:c r="L121" s="28" t="str">
        <x:v>The Art &amp; Science of Foodpairing.pdf: 186</x:v>
      </x:c>
    </x:row>
    <x:row r="122" ht="64" customHeight="1">
      <x:c r="A122" s="28" t="str">
        <x:v>NCT-0563</x:v>
      </x:c>
      <x:c r="B122" s="28" t="str">
        <x:v>чёрный чай</x:v>
      </x:c>
      <x:c r="C122" s="28" t="str">
        <x:v>картофель фри</x:v>
      </x:c>
      <x:c r="D122" s="28" t="str">
        <x:v>Овощи, бобовые и грибы</x:v>
      </x:c>
      <x:c r="E122" s="28" t="str">
        <x:v>сенсорная комплементарность</x:v>
      </x:c>
      <x:c r="F122" s="28" t="str">
        <x:v>Чёрный чай имеет профиль «мальтовый, цветочный, фруктовый, древесный и слегка дымный». Партнёр «картофель фри» относится к группе «Овощи, бобовые и грибы» и даёт зелёный, землистый или умами. Полифенолы создают терпкость, поэтому сахар, жир, соль или умами могут смягчить сухость; чрезмерно танинный партнёр, наоборот, её усиливает. Итог: прямое совпадение одной ключевой молекулы не подтверждено; механизм не следует сводить к одной общей молекуле.</x:v>
      </x:c>
      <x:c r="G122" s="28" t="str">
        <x:v>окисление листа формирует чёрночайный профиль; длительное и горячее заваривание усиливает терпкость. Использовать воду подходящей температуры и короткие контролируемые проливы; охлаждать перед соединением с молочной или фруктовой фазой.</x:v>
      </x:c>
      <x:c r="H122" s="28" t="str">
        <x:v>переэкстракция; сочетание с очень танинными продуктами может стать сухим; кофеин; слишком горячая вода и долгое заваривание усиливают терпкость</x:v>
      </x:c>
      <x:c r="I122" s="28" t="str">
        <x:v>чайный настой, холодный чай, кордиал, молочный пунш, десерт или соус с картофель фри</x:v>
      </x:c>
      <x:c r="J122" s="28" t="str">
        <x:v>Средняя</x:v>
      </x:c>
      <x:c r="K122" s="28" t="str">
        <x:v>The Art &amp; Science of Foodpairing.pdf</x:v>
      </x:c>
      <x:c r="L122" s="28" t="str">
        <x:v>The Art &amp; Science of Foodpairing.pdf: 196</x:v>
      </x:c>
    </x:row>
    <x:row r="123" ht="64" customHeight="1">
      <x:c r="A123" s="28" t="str">
        <x:v>NCT-0570</x:v>
      </x:c>
      <x:c r="B123" s="28" t="str">
        <x:v>шоколад</x:v>
      </x:c>
      <x:c r="C123" s="28" t="str">
        <x:v>bacon</x:v>
      </x:c>
      <x:c r="D123" s="28" t="str">
        <x:v>Мясо и птица</x:v>
      </x:c>
      <x:c r="E123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2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«bacon»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2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3" s="28" t="str">
        <x:v>горечь и терпкость способны подавлять нежные продукты; содержит стимуляторы; аллергенные добавки возможны</x:v>
      </x:c>
      <x:c r="I123" s="28" t="str">
        <x:v>ганаш, плитка, крем, мусс, напиток, глазурь или соус с bacon</x:v>
      </x:c>
      <x:c r="J123" s="28" t="str">
        <x:v>Высокая</x:v>
      </x:c>
      <x:c r="K123" s="28" t="str">
        <x:v>The Art &amp; Science of Foodpairing.pdf</x:v>
      </x:c>
      <x:c r="L123" s="28" t="str">
        <x:v>The Art &amp; Science of Foodpairing.pdf: 184</x:v>
      </x:c>
    </x:row>
    <x:row r="124" ht="64" customHeight="1">
      <x:c r="A124" s="28" t="str">
        <x:v>NCT-0571</x:v>
      </x:c>
      <x:c r="B124" s="28" t="str">
        <x:v>шоколад</x:v>
      </x:c>
      <x:c r="C124" s="28" t="str">
        <x:v>baechu kimchi</x:v>
      </x:c>
      <x:c r="D124" s="28" t="str">
        <x:v>Ферментированные продукты и соусы</x:v>
      </x:c>
      <x:c r="E124" s="28" t="str">
        <x:v>общие ароматические соединения, пересечение ароматических семейств, солёно-умами контраст</x:v>
      </x:c>
      <x:c r="F12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«baechu kimchi» относится к группе «Ферментированные продукты и соусы» и даёт ферментированный, умами и сложный. Молекулярный мост создают пиразины, фураны, эфиры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пиразины, фураны, эфиры.</x:v>
      </x:c>
      <x:c r="G12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4" s="28" t="str">
        <x:v>горечь и терпкость способны подавлять нежные продукты; содержит стимуляторы; аллергенные добавки возможны</x:v>
      </x:c>
      <x:c r="I124" s="28" t="str">
        <x:v>ганаш, плитка, крем, мусс, напиток, глазурь или соус с baechu kimchi</x:v>
      </x:c>
      <x:c r="J124" s="28" t="str">
        <x:v>Средняя</x:v>
      </x:c>
      <x:c r="K124" s="28" t="str">
        <x:v>The Art &amp; Science of Foodpairing.pdf</x:v>
      </x:c>
      <x:c r="L124" s="28" t="str">
        <x:v>The Art &amp; Science of Foodpairing.pdf: 305</x:v>
      </x:c>
    </x:row>
    <x:row r="125" ht="64" customHeight="1">
      <x:c r="A125" s="28" t="str">
        <x:v>NCT-0572</x:v>
      </x:c>
      <x:c r="B125" s="28" t="str">
        <x:v>шоколад</x:v>
      </x:c>
      <x:c r="C125" s="28" t="str">
        <x:v>bayonne ham</x:v>
      </x:c>
      <x:c r="D125" s="28" t="str">
        <x:v>Мясо и птица</x:v>
      </x:c>
      <x:c r="E125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2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«bayonne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2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5" s="28" t="str">
        <x:v>горечь и терпкость способны подавлять нежные продукты; содержит стимуляторы; аллергенные добавки возможны</x:v>
      </x:c>
      <x:c r="I125" s="28" t="str">
        <x:v>ганаш, плитка, крем, мусс, напиток, глазурь или соус с bayonne ham</x:v>
      </x:c>
      <x:c r="J125" s="28" t="str">
        <x:v>Средняя</x:v>
      </x:c>
      <x:c r="K125" s="28" t="str">
        <x:v>The Art &amp; Science of Foodpairing.pdf</x:v>
      </x:c>
      <x:c r="L125" s="28" t="str">
        <x:v>The Art &amp; Science of Foodpairing.pdf: 62</x:v>
      </x:c>
    </x:row>
    <x:row r="126" ht="64" customHeight="1">
      <x:c r="A126" s="28" t="str">
        <x:v>NCT-0573</x:v>
      </x:c>
      <x:c r="B126" s="28" t="str">
        <x:v>шоколад</x:v>
      </x:c>
      <x:c r="C126" s="28" t="str">
        <x:v>black garlic</x:v>
      </x:c>
      <x:c r="D126" s="28" t="str">
        <x:v>Овощи, бобовые и грибы</x:v>
      </x:c>
      <x:c r="E126" s="28" t="str">
        <x:v>общие ароматические соединения</x:v>
      </x:c>
      <x:c r="F12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«black garlic»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2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6" s="28" t="str">
        <x:v>горечь и терпкость способны подавлять нежные продукты; содержит стимуляторы; аллергенные добавки возможны</x:v>
      </x:c>
      <x:c r="I126" s="28" t="str">
        <x:v>ганаш, плитка, крем, мусс, напиток, глазурь или соус с black garlic</x:v>
      </x:c>
      <x:c r="J126" s="28" t="str">
        <x:v>Высокая</x:v>
      </x:c>
      <x:c r="K126" s="28" t="str">
        <x:v>The Art &amp; Science of Foodpairing.pdf</x:v>
      </x:c>
      <x:c r="L126" s="28" t="str">
        <x:v>The Art &amp; Science of Foodpairing.pdf: 113</x:v>
      </x:c>
    </x:row>
    <x:row r="127" ht="64" customHeight="1">
      <x:c r="A127" s="28" t="str">
        <x:v>NCT-0575</x:v>
      </x:c>
      <x:c r="B127" s="28" t="str">
        <x:v>шоколад</x:v>
      </x:c>
      <x:c r="C127" s="28" t="str">
        <x:v>boiled potato</x:v>
      </x:c>
      <x:c r="D127" s="28" t="str">
        <x:v>Овощи, бобовые и грибы</x:v>
      </x:c>
      <x:c r="E127" s="28" t="str">
        <x:v>общие ароматические соединения</x:v>
      </x:c>
      <x:c r="F12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«boiled potato»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2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7" s="28" t="str">
        <x:v>горечь и терпкость способны подавлять нежные продукты; содержит стимуляторы; аллергенные добавки возможны</x:v>
      </x:c>
      <x:c r="I127" s="28" t="str">
        <x:v>ганаш, плитка, крем, мусс, напиток, глазурь или соус с boiled potato</x:v>
      </x:c>
      <x:c r="J127" s="28" t="str">
        <x:v>Средняя</x:v>
      </x:c>
      <x:c r="K127" s="28" t="str">
        <x:v>The Art &amp; Science of Foodpairing.pdf</x:v>
      </x:c>
      <x:c r="L127" s="28" t="str">
        <x:v>The Art &amp; Science of Foodpairing.pdf: 62</x:v>
      </x:c>
    </x:row>
    <x:row r="128" ht="64" customHeight="1">
      <x:c r="A128" s="28" t="str">
        <x:v>NCT-0576</x:v>
      </x:c>
      <x:c r="B128" s="28" t="str">
        <x:v>шоколад</x:v>
      </x:c>
      <x:c r="C128" s="28" t="str">
        <x:v>boiledlobster</x:v>
      </x:c>
      <x:c r="D128" s="28" t="str">
        <x:v>Рыба и морепродукты</x:v>
      </x:c>
      <x:c r="E128" s="28" t="str">
        <x:v>общие ароматические соединения, солёно-умами контраст</x:v>
      </x:c>
      <x:c r="F12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«boiledlobster»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2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8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128" s="28" t="str">
        <x:v>ганаш, плитка, крем, мусс, напиток, глазурь или соус с boiledlobster</x:v>
      </x:c>
      <x:c r="J128" s="28" t="str">
        <x:v>Средняя</x:v>
      </x:c>
      <x:c r="K128" s="28" t="str">
        <x:v>The Art &amp; Science of Foodpairing.pdf</x:v>
      </x:c>
      <x:c r="L128" s="28" t="str">
        <x:v>The Art &amp; Science of Foodpairing.pdf: 62</x:v>
      </x:c>
    </x:row>
    <x:row r="129" ht="64" customHeight="1">
      <x:c r="A129" s="28" t="str">
        <x:v>NCT-0580</x:v>
      </x:c>
      <x:c r="B129" s="28" t="str">
        <x:v>шоколад</x:v>
      </x:c>
      <x:c r="C129" s="28" t="str">
        <x:v>carrot</x:v>
      </x:c>
      <x:c r="D129" s="28" t="str">
        <x:v>Овощи, бобовые и грибы</x:v>
      </x:c>
      <x:c r="E129" s="28" t="str">
        <x:v>общие ароматические соединения</x:v>
      </x:c>
      <x:c r="F12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«carrot»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2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29" s="28" t="str">
        <x:v>горечь и терпкость способны подавлять нежные продукты; содержит стимуляторы; аллергенные добавки возможны</x:v>
      </x:c>
      <x:c r="I129" s="28" t="str">
        <x:v>ганаш, плитка, крем, мусс, напиток, глазурь или соус с carrot</x:v>
      </x:c>
      <x:c r="J129" s="28" t="str">
        <x:v>Средняя</x:v>
      </x:c>
      <x:c r="K129" s="28" t="str">
        <x:v>The Art &amp; Science of Foodpairing.pdf</x:v>
      </x:c>
      <x:c r="L129" s="28" t="str">
        <x:v>The Art &amp; Science of Foodpairing.pdf: 232</x:v>
      </x:c>
    </x:row>
    <x:row r="130" ht="64" customHeight="1">
      <x:c r="A130" s="28" t="str">
        <x:v>NCT-0583</x:v>
      </x:c>
      <x:c r="B130" s="28" t="str">
        <x:v>шоколад</x:v>
      </x:c>
      <x:c r="C130" s="28" t="str">
        <x:v>dry-aged beef</x:v>
      </x:c>
      <x:c r="D130" s="28" t="str">
        <x:v>Мясо и птица</x:v>
      </x:c>
      <x:c r="E13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3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«dry-aged 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3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0" s="28" t="str">
        <x:v>горечь и терпкость способны подавлять нежные продукты; содержит стимуляторы; аллергенные добавки возможны</x:v>
      </x:c>
      <x:c r="I130" s="28" t="str">
        <x:v>ганаш, плитка, крем, мусс, напиток, глазурь или соус с dry-aged beef</x:v>
      </x:c>
      <x:c r="J130" s="28" t="str">
        <x:v>Средняя</x:v>
      </x:c>
      <x:c r="K130" s="28" t="str">
        <x:v>The Art &amp; Science of Foodpairing.pdf</x:v>
      </x:c>
      <x:c r="L130" s="28" t="str">
        <x:v>The Art &amp; Science of Foodpairing.pdf: 62</x:v>
      </x:c>
    </x:row>
    <x:row r="131" ht="64" customHeight="1">
      <x:c r="A131" s="28" t="str">
        <x:v>NCT-0585</x:v>
      </x:c>
      <x:c r="B131" s="28" t="str">
        <x:v>шоколад</x:v>
      </x:c>
      <x:c r="C131" s="28" t="str">
        <x:v>fish</x:v>
      </x:c>
      <x:c r="D131" s="28" t="str">
        <x:v>Рыба и морепродукты</x:v>
      </x:c>
      <x:c r="E131" s="28" t="str">
        <x:v>общие ароматические соединения, солёно-умами контраст</x:v>
      </x:c>
      <x:c r="F13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«fish»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3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1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131" s="28" t="str">
        <x:v>ганаш, плитка, крем, мусс, напиток, глазурь или соус с fish</x:v>
      </x:c>
      <x:c r="J131" s="28" t="str">
        <x:v>Средняя</x:v>
      </x:c>
      <x:c r="K131" s="28" t="str">
        <x:v>The Art &amp; Science of Foodpairing.pdf</x:v>
      </x:c>
      <x:c r="L131" s="28" t="str">
        <x:v>The Art &amp; Science of Foodpairing.pdf: 104</x:v>
      </x:c>
    </x:row>
    <x:row r="132" ht="64" customHeight="1">
      <x:c r="A132" s="28" t="str">
        <x:v>NCT-0586</x:v>
      </x:c>
      <x:c r="B132" s="28" t="str">
        <x:v>шоколад</x:v>
      </x:c>
      <x:c r="C132" s="28" t="str">
        <x:v>garlic</x:v>
      </x:c>
      <x:c r="D132" s="28" t="str">
        <x:v>Овощи, бобовые и грибы</x:v>
      </x:c>
      <x:c r="E132" s="28" t="str">
        <x:v>общие ароматические соединения</x:v>
      </x:c>
      <x:c r="F13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«garlic»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3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2" s="28" t="str">
        <x:v>горечь и терпкость способны подавлять нежные продукты; содержит стимуляторы; аллергенные добавки возможны</x:v>
      </x:c>
      <x:c r="I132" s="28" t="str">
        <x:v>ганаш, плитка, крем, мусс, напиток, глазурь или соус с garlic</x:v>
      </x:c>
      <x:c r="J132" s="28" t="str">
        <x:v>Средняя</x:v>
      </x:c>
      <x:c r="K132" s="28" t="str">
        <x:v>The Art &amp; Science of Foodpairing.pdf</x:v>
      </x:c>
      <x:c r="L132" s="28" t="str">
        <x:v>The Art &amp; Science of Foodpairing.pdf: 113</x:v>
      </x:c>
    </x:row>
    <x:row r="133" ht="64" customHeight="1">
      <x:c r="A133" s="28" t="str">
        <x:v>NCT-0587</x:v>
      </x:c>
      <x:c r="B133" s="28" t="str">
        <x:v>шоколад</x:v>
      </x:c>
      <x:c r="C133" s="28" t="str">
        <x:v>grilled lamb</x:v>
      </x:c>
      <x:c r="D133" s="28" t="str">
        <x:v>Мясо и птица</x:v>
      </x:c>
      <x:c r="E133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3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«grilled lamb»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3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3" s="28" t="str">
        <x:v>горечь и терпкость способны подавлять нежные продукты; содержит стимуляторы; аллергенные добавки возможны</x:v>
      </x:c>
      <x:c r="I133" s="28" t="str">
        <x:v>ганаш, плитка, крем, мусс, напиток, глазурь или соус с grilled lamb</x:v>
      </x:c>
      <x:c r="J133" s="28" t="str">
        <x:v>Средняя</x:v>
      </x:c>
      <x:c r="K133" s="28" t="str">
        <x:v>The Art &amp; Science of Foodpairing.pdf</x:v>
      </x:c>
      <x:c r="L133" s="28" t="str">
        <x:v>The Art &amp; Science of Foodpairing.pdf: 62</x:v>
      </x:c>
    </x:row>
    <x:row r="134" ht="64" customHeight="1">
      <x:c r="A134" s="28" t="str">
        <x:v>NCT-0589</x:v>
      </x:c>
      <x:c r="B134" s="28" t="str">
        <x:v>шоколад</x:v>
      </x:c>
      <x:c r="C134" s="28" t="str">
        <x:v>lberico ham</x:v>
      </x:c>
      <x:c r="D134" s="28" t="str">
        <x:v>Мясо и птица</x:v>
      </x:c>
      <x:c r="E134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3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«lberico ham»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3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4" s="28" t="str">
        <x:v>горечь и терпкость способны подавлять нежные продукты; содержит стимуляторы; аллергенные добавки возможны</x:v>
      </x:c>
      <x:c r="I134" s="28" t="str">
        <x:v>ганаш, плитка, крем, мусс, напиток, глазурь или соус с lberico ham</x:v>
      </x:c>
      <x:c r="J134" s="28" t="str">
        <x:v>Средняя</x:v>
      </x:c>
      <x:c r="K134" s="28" t="str">
        <x:v>The Art &amp; Science of Foodpairing.pdf</x:v>
      </x:c>
      <x:c r="L134" s="28" t="str">
        <x:v>The Art &amp; Science of Foodpairing.pdf: 278</x:v>
      </x:c>
    </x:row>
    <x:row r="135" ht="64" customHeight="1">
      <x:c r="A135" s="28" t="str">
        <x:v>NCT-0591</x:v>
      </x:c>
      <x:c r="B135" s="28" t="str">
        <x:v>шоколад</x:v>
      </x:c>
      <x:c r="C135" s="28" t="str">
        <x:v>meat</x:v>
      </x:c>
      <x:c r="D135" s="28" t="str">
        <x:v>Мясо и птица</x:v>
      </x:c>
      <x:c r="E135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3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«meat»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3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5" s="28" t="str">
        <x:v>горечь и терпкость способны подавлять нежные продукты; содержит стимуляторы; аллергенные добавки возможны</x:v>
      </x:c>
      <x:c r="I135" s="28" t="str">
        <x:v>ганаш, плитка, крем, мусс, напиток, глазурь или соус с meat</x:v>
      </x:c>
      <x:c r="J135" s="28" t="str">
        <x:v>Средняя</x:v>
      </x:c>
      <x:c r="K135" s="28" t="str">
        <x:v>The Art &amp; Science of Foodpairing.pdf</x:v>
      </x:c>
      <x:c r="L135" s="28" t="str">
        <x:v>The Art &amp; Science of Foodpairing.pdf: 186</x:v>
      </x:c>
    </x:row>
    <x:row r="136" ht="64" customHeight="1">
      <x:c r="A136" s="28" t="str">
        <x:v>NCT-0594</x:v>
      </x:c>
      <x:c r="B136" s="28" t="str">
        <x:v>шоколад</x:v>
      </x:c>
      <x:c r="C136" s="28" t="str">
        <x:v>oyster leaf</x:v>
      </x:c>
      <x:c r="D136" s="28" t="str">
        <x:v>Рыба и морепродукты</x:v>
      </x:c>
      <x:c r="E136" s="28" t="str">
        <x:v>общие ароматические соединения, солёно-умами контраст</x:v>
      </x:c>
      <x:c r="F13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«oyster leaf»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3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6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136" s="28" t="str">
        <x:v>ганаш, плитка, крем, мусс, напиток, глазурь или соус с oyster leaf</x:v>
      </x:c>
      <x:c r="J136" s="28" t="str">
        <x:v>Средняя</x:v>
      </x:c>
      <x:c r="K136" s="28" t="str">
        <x:v>The Art &amp; Science of Foodpairing.pdf</x:v>
      </x:c>
      <x:c r="L136" s="28" t="str">
        <x:v>The Art &amp; Science of Foodpairing.pdf: 62</x:v>
      </x:c>
    </x:row>
    <x:row r="137" ht="64" customHeight="1">
      <x:c r="A137" s="28" t="str">
        <x:v>NCT-0595</x:v>
      </x:c>
      <x:c r="B137" s="28" t="str">
        <x:v>шоколад</x:v>
      </x:c>
      <x:c r="C137" s="28" t="str">
        <x:v>pan-fried king prawns</x:v>
      </x:c>
      <x:c r="D137" s="28" t="str">
        <x:v>Рыба и морепродукты</x:v>
      </x:c>
      <x:c r="E137" s="28" t="str">
        <x:v>общие ароматические соединения, солёно-умами контраст</x:v>
      </x:c>
      <x:c r="F13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king prawns»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3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7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137" s="28" t="str">
        <x:v>ганаш, плитка, крем, мусс, напиток, глазурь или соус с pan-fried king prawns</x:v>
      </x:c>
      <x:c r="J137" s="28" t="str">
        <x:v>Средняя</x:v>
      </x:c>
      <x:c r="K137" s="28" t="str">
        <x:v>The Art &amp; Science of Foodpairing.pdf</x:v>
      </x:c>
      <x:c r="L137" s="28" t="str">
        <x:v>The Art &amp; Science of Foodpairing.pdf: 62</x:v>
      </x:c>
    </x:row>
    <x:row r="138" ht="64" customHeight="1">
      <x:c r="A138" s="28" t="str">
        <x:v>NCT-0596</x:v>
      </x:c>
      <x:c r="B138" s="28" t="str">
        <x:v>шоколад</x:v>
      </x:c>
      <x:c r="C138" s="28" t="str">
        <x:v>pan-fried kingprawn</x:v>
      </x:c>
      <x:c r="D138" s="28" t="str">
        <x:v>Рыба и морепродукты</x:v>
      </x:c>
      <x:c r="E138" s="28" t="str">
        <x:v>общие ароматические соединения, солёно-умами контраст</x:v>
      </x:c>
      <x:c r="F13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kingprawn»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3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8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138" s="28" t="str">
        <x:v>ганаш, плитка, крем, мусс, напиток, глазурь или соус с pan-fried kingprawn</x:v>
      </x:c>
      <x:c r="J138" s="28" t="str">
        <x:v>Средняя</x:v>
      </x:c>
      <x:c r="K138" s="28" t="str">
        <x:v>The Art &amp; Science of Foodpairing.pdf</x:v>
      </x:c>
      <x:c r="L138" s="28" t="str">
        <x:v>The Art &amp; Science of Foodpairing.pdf: 62</x:v>
      </x:c>
    </x:row>
    <x:row r="139" ht="64" customHeight="1">
      <x:c r="A139" s="28" t="str">
        <x:v>NCT-0597</x:v>
      </x:c>
      <x:c r="B139" s="28" t="str">
        <x:v>шоколад</x:v>
      </x:c>
      <x:c r="C139" s="28" t="str">
        <x:v>pan-fried porkloin</x:v>
      </x:c>
      <x:c r="D139" s="28" t="str">
        <x:v>Мясо и птица</x:v>
      </x:c>
      <x:c r="E139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3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porkloin»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3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39" s="28" t="str">
        <x:v>горечь и терпкость способны подавлять нежные продукты; содержит стимуляторы; аллергенные добавки возможны</x:v>
      </x:c>
      <x:c r="I139" s="28" t="str">
        <x:v>ганаш, плитка, крем, мусс, напиток, глазурь или соус с pan-fried porkloin</x:v>
      </x:c>
      <x:c r="J139" s="28" t="str">
        <x:v>Средняя</x:v>
      </x:c>
      <x:c r="K139" s="28" t="str">
        <x:v>The Art &amp; Science of Foodpairing.pdf</x:v>
      </x:c>
      <x:c r="L139" s="28" t="str">
        <x:v>The Art &amp; Science of Foodpairing.pdf: 62</x:v>
      </x:c>
    </x:row>
    <x:row r="140" ht="64" customHeight="1">
      <x:c r="A140" s="28" t="str">
        <x:v>NCT-0598</x:v>
      </x:c>
      <x:c r="B140" s="28" t="str">
        <x:v>шоколад</x:v>
      </x:c>
      <x:c r="C140" s="28" t="str">
        <x:v>pan-fried quail</x:v>
      </x:c>
      <x:c r="D140" s="28" t="str">
        <x:v>Мясо и птица</x:v>
      </x:c>
      <x:c r="E14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4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«pan-fried quail»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4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0" s="28" t="str">
        <x:v>горечь и терпкость способны подавлять нежные продукты; содержит стимуляторы; аллергенные добавки возможны</x:v>
      </x:c>
      <x:c r="I140" s="28" t="str">
        <x:v>ганаш, плитка, крем, мусс, напиток, глазурь или соус с pan-fried quail</x:v>
      </x:c>
      <x:c r="J140" s="28" t="str">
        <x:v>Средняя</x:v>
      </x:c>
      <x:c r="K140" s="28" t="str">
        <x:v>The Art &amp; Science of Foodpairing.pdf</x:v>
      </x:c>
      <x:c r="L140" s="28" t="str">
        <x:v>The Art &amp; Science of Foodpairing.pdf: 62</x:v>
      </x:c>
    </x:row>
    <x:row r="141" ht="64" customHeight="1">
      <x:c r="A141" s="28" t="str">
        <x:v>NCT-0603</x:v>
      </x:c>
      <x:c r="B141" s="28" t="str">
        <x:v>шоколад</x:v>
      </x:c>
      <x:c r="C141" s="28" t="str">
        <x:v>roastedbrown shrimp</x:v>
      </x:c>
      <x:c r="D141" s="28" t="str">
        <x:v>Рыба и морепродукты</x:v>
      </x:c>
      <x:c r="E141" s="28" t="str">
        <x:v>общие ароматические соединения, солёно-умами контраст</x:v>
      </x:c>
      <x:c r="F14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«roastedbrown shrimp»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4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1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141" s="28" t="str">
        <x:v>ганаш, плитка, крем, мусс, напиток, глазурь или соус с roastedbrown shrimp</x:v>
      </x:c>
      <x:c r="J141" s="28" t="str">
        <x:v>Средняя</x:v>
      </x:c>
      <x:c r="K141" s="28" t="str">
        <x:v>The Art &amp; Science of Foodpairing.pdf</x:v>
      </x:c>
      <x:c r="L141" s="28" t="str">
        <x:v>The Art &amp; Science of Foodpairing.pdf: 62</x:v>
      </x:c>
    </x:row>
    <x:row r="142" ht="64" customHeight="1">
      <x:c r="A142" s="28" t="str">
        <x:v>NCT-0605</x:v>
      </x:c>
      <x:c r="B142" s="28" t="str">
        <x:v>шоколад</x:v>
      </x:c>
      <x:c r="C142" s="28" t="str">
        <x:v>salted anchovies</x:v>
      </x:c>
      <x:c r="D142" s="28" t="str">
        <x:v>Рыба и морепродукты</x:v>
      </x:c>
      <x:c r="E142" s="28" t="str">
        <x:v>общие ароматические соединения, солёно-умами контраст</x:v>
      </x:c>
      <x:c r="F14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«salted anchovies»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4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2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142" s="28" t="str">
        <x:v>ганаш, плитка, крем, мусс, напиток, глазурь или соус с salted anchovies</x:v>
      </x:c>
      <x:c r="J142" s="28" t="str">
        <x:v>Средняя</x:v>
      </x:c>
      <x:c r="K142" s="28" t="str">
        <x:v>The Art &amp; Science of Foodpairing.pdf</x:v>
      </x:c>
      <x:c r="L142" s="28" t="str">
        <x:v>The Art &amp; Science of Foodpairing.pdf: 62</x:v>
      </x:c>
    </x:row>
    <x:row r="143" ht="64" customHeight="1">
      <x:c r="A143" s="28" t="str">
        <x:v>NCT-0606</x:v>
      </x:c>
      <x:c r="B143" s="28" t="str">
        <x:v>шоколад</x:v>
      </x:c>
      <x:c r="C143" s="28" t="str">
        <x:v>salted dried cod</x:v>
      </x:c>
      <x:c r="D143" s="28" t="str">
        <x:v>Рыба и морепродукты</x:v>
      </x:c>
      <x:c r="E143" s="28" t="str">
        <x:v>общие ароматические соединения, солёно-умами контраст</x:v>
      </x:c>
      <x:c r="F14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«salted dried cod» относится к группе «Рыба и морепродукты» и даёт морской, солоноватый и умами. Молекулярный мост создают альдегиды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4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3" s="28" t="str">
        <x:v>горечь и терпкость способны подавлять нежные продукты; содержит стимуляторы; аллергенные добавки возможны; малейшая прогорклость ореха или шоколада усиливает неприятные рыбные оттенки</x:v>
      </x:c>
      <x:c r="I143" s="28" t="str">
        <x:v>ганаш, плитка, крем, мусс, напиток, глазурь или соус с salted dried cod</x:v>
      </x:c>
      <x:c r="J143" s="28" t="str">
        <x:v>Средняя</x:v>
      </x:c>
      <x:c r="K143" s="28" t="str">
        <x:v>The Art &amp; Science of Foodpairing.pdf</x:v>
      </x:c>
      <x:c r="L143" s="28" t="str">
        <x:v>The Art &amp; Science of Foodpairing.pdf: 62</x:v>
      </x:c>
    </x:row>
    <x:row r="144" ht="64" customHeight="1">
      <x:c r="A144" s="28" t="str">
        <x:v>NCT-0608</x:v>
      </x:c>
      <x:c r="B144" s="28" t="str">
        <x:v>шоколад</x:v>
      </x:c>
      <x:c r="C144" s="28" t="str">
        <x:v>sweet potato</x:v>
      </x:c>
      <x:c r="D144" s="28" t="str">
        <x:v>Овощи, бобовые и грибы</x:v>
      </x:c>
      <x:c r="E144" s="28" t="str">
        <x:v>общие ароматические соединения</x:v>
      </x:c>
      <x:c r="F14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«sweet potato»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4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4" s="28" t="str">
        <x:v>горечь и терпкость способны подавлять нежные продукты; содержит стимуляторы; аллергенные добавки возможны</x:v>
      </x:c>
      <x:c r="I144" s="28" t="str">
        <x:v>ганаш, плитка, крем, мусс, напиток, глазурь или соус с sweet potato</x:v>
      </x:c>
      <x:c r="J144" s="28" t="str">
        <x:v>Средняя</x:v>
      </x:c>
      <x:c r="K144" s="28" t="str">
        <x:v>The Art &amp; Science of Foodpairing.pdf</x:v>
      </x:c>
      <x:c r="L144" s="28" t="str">
        <x:v>The Art &amp; Science of Foodpairing.pdf: 119</x:v>
      </x:c>
    </x:row>
    <x:row r="145" ht="64" customHeight="1">
      <x:c r="A145" s="28" t="str">
        <x:v>NCT-0609</x:v>
      </x:c>
      <x:c r="B145" s="28" t="str">
        <x:v>шоколад</x:v>
      </x:c>
      <x:c r="C145" s="28" t="str">
        <x:v>tomato and tomato puree</x:v>
      </x:c>
      <x:c r="D145" s="28" t="str">
        <x:v>Овощи, бобовые и грибы</x:v>
      </x:c>
      <x:c r="E145" s="28" t="str">
        <x:v>общие ароматические соединения</x:v>
      </x:c>
      <x:c r="F14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«tomato and tomato puree»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4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5" s="28" t="str">
        <x:v>горечь и терпкость способны подавлять нежные продукты; содержит стимуляторы; аллергенные добавки возможны</x:v>
      </x:c>
      <x:c r="I145" s="28" t="str">
        <x:v>ганаш, плитка, крем, мусс, напиток, глазурь или соус с tomato and tomato puree</x:v>
      </x:c>
      <x:c r="J145" s="28" t="str">
        <x:v>Средняя</x:v>
      </x:c>
      <x:c r="K145" s="28" t="str">
        <x:v>The Art &amp; Science of Foodpairing.pdf</x:v>
      </x:c>
      <x:c r="L145" s="28" t="str">
        <x:v>The Art &amp; Science of Foodpairing.pdf: 161</x:v>
      </x:c>
    </x:row>
    <x:row r="146" ht="64" customHeight="1">
      <x:c r="A146" s="28" t="str">
        <x:v>NCT-0610</x:v>
      </x:c>
      <x:c r="B146" s="28" t="str">
        <x:v>шоколад</x:v>
      </x:c>
      <x:c r="C146" s="28" t="str">
        <x:v>wagyu beef</x:v>
      </x:c>
      <x:c r="D146" s="28" t="str">
        <x:v>Мясо и птица</x:v>
      </x:c>
      <x:c r="E146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4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«wagyu beef» относится к группе «Мясо и птица» и даёт жареный, мясной и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4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6" s="28" t="str">
        <x:v>горечь и терпкость способны подавлять нежные продукты; содержит стимуляторы; аллергенные добавки возможны</x:v>
      </x:c>
      <x:c r="I146" s="28" t="str">
        <x:v>ганаш, плитка, крем, мусс, напиток, глазурь или соус с wagyu beef</x:v>
      </x:c>
      <x:c r="J146" s="28" t="str">
        <x:v>Средняя</x:v>
      </x:c>
      <x:c r="K146" s="28" t="str">
        <x:v>The Art &amp; Science of Foodpairing.pdf</x:v>
      </x:c>
      <x:c r="L146" s="28" t="str">
        <x:v>The Art &amp; Science of Foodpairing.pdf: 62</x:v>
      </x:c>
    </x:row>
    <x:row r="147" ht="64" customHeight="1">
      <x:c r="A147" s="28" t="str">
        <x:v>NCT-0611</x:v>
      </x:c>
      <x:c r="B147" s="28" t="str">
        <x:v>шоколад</x:v>
      </x:c>
      <x:c r="C147" s="28" t="str">
        <x:v>wheatgrass and another one with cauliflower. his menueven</x:v>
      </x:c>
      <x:c r="D147" s="28" t="str">
        <x:v>Овощи, бобовые и грибы</x:v>
      </x:c>
      <x:c r="E147" s="28" t="str">
        <x:v>общие ароматические соединения</x:v>
      </x:c>
      <x:c r="F14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«wheatgrass and another one with cauliflower. his menueven»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4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7" s="28" t="str">
        <x:v>горечь и терпкость способны подавлять нежные продукты; содержит стимуляторы; аллергенные добавки возможны</x:v>
      </x:c>
      <x:c r="I147" s="28" t="str">
        <x:v>ганаш, плитка, крем, мусс, напиток, глазурь или соус с wheatgrass and another one with cauliflower. his menueven</x:v>
      </x:c>
      <x:c r="J147" s="28" t="str">
        <x:v>Средняя</x:v>
      </x:c>
      <x:c r="K147" s="28" t="str">
        <x:v>The Art &amp; Science of Foodpairing.pdf</x:v>
      </x:c>
      <x:c r="L147" s="28" t="str">
        <x:v>The Art &amp; Science of Foodpairing.pdf: 61</x:v>
      </x:c>
    </x:row>
    <x:row r="148" ht="64" customHeight="1">
      <x:c r="A148" s="28" t="str">
        <x:v>NCT-0623</x:v>
      </x:c>
      <x:c r="B148" s="28" t="str">
        <x:v>шоколад</x:v>
      </x:c>
      <x:c r="C148" s="28" t="str">
        <x:v>бекон</x:v>
      </x:c>
      <x:c r="D148" s="28" t="str">
        <x:v>Мясо и птица</x:v>
      </x:c>
      <x:c r="E148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F148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«бекон» относится к группе «Мясо и птица» и даёт дымный, жареный, умами. Молекулярный мост создают пиразины Обжарка и реакции Майяра формируют пиразины, фураны и альдегиды, поэтому жареные ноты воспринимаются как единая система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пиразины.</x:v>
      </x:c>
      <x:c r="G148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8" s="28" t="str">
        <x:v>горечь и терпкость способны подавлять нежные продукты; содержит стимуляторы; аллергенные добавки возможны</x:v>
      </x:c>
      <x:c r="I148" s="28" t="str">
        <x:v>ганаш, плитка, крем, мусс, напиток, глазурь или соус с бекон</x:v>
      </x:c>
      <x:c r="J148" s="28" t="str">
        <x:v>Средняя</x:v>
      </x:c>
      <x:c r="K148" s="28" t="str">
        <x:v>Тезариус вкусов (Ники Сегнит)(1).pdf</x:v>
      </x:c>
      <x:c r="L148" s="28" t="str">
        <x:v>Тезариус вкусов (Ники Сегнит)(1).pdf: 27, 449</x:v>
      </x:c>
    </x:row>
    <x:row r="149" ht="64" customHeight="1">
      <x:c r="A149" s="28" t="str">
        <x:v>NCT-0636</x:v>
      </x:c>
      <x:c r="B149" s="28" t="str">
        <x:v>шоколад</x:v>
      </x:c>
      <x:c r="C149" s="28" t="str">
        <x:v>запечённая свёкла</x:v>
      </x:c>
      <x:c r="D149" s="28" t="str">
        <x:v>Овощи, бобовые и грибы</x:v>
      </x:c>
      <x:c r="E149" s="28" t="str">
        <x:v>сенсорная комплементарность</x:v>
      </x:c>
      <x:c r="F149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«запечённая свёкла» относится к группе «Овощи, бобовые и грибы» и даёт землистый, сладкий.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49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49" s="28" t="str">
        <x:v>горечь и терпкость способны подавлять нежные продукты; содержит стимуляторы; аллергенные добавки возможны</x:v>
      </x:c>
      <x:c r="I149" s="28" t="str">
        <x:v>ганаш, плитка, крем, мусс, напиток, глазурь или соус с запечённая свёкла</x:v>
      </x:c>
      <x:c r="J149" s="28" t="str">
        <x:v>Средняя</x:v>
      </x:c>
      <x:c r="K149" s="28" t="str">
        <x:v>The Art &amp; Science of Foodpairing.pdf</x:v>
      </x:c>
      <x:c r="L149" s="28" t="str">
        <x:v>The Art &amp; Science of Foodpairing.pdf: 62</x:v>
      </x:c>
    </x:row>
    <x:row r="150" ht="64" customHeight="1">
      <x:c r="A150" s="28" t="str">
        <x:v>NCT-0640</x:v>
      </x:c>
      <x:c r="B150" s="28" t="str">
        <x:v>шоколад</x:v>
      </x:c>
      <x:c r="C150" s="28" t="str">
        <x:v>кабачок</x:v>
      </x:c>
      <x:c r="D150" s="28" t="str">
        <x:v>Овощи, бобовые и грибы</x:v>
      </x:c>
      <x:c r="E150" s="28" t="str">
        <x:v>общие ароматические соединения</x:v>
      </x:c>
      <x:c r="F150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«кабачок»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50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0" s="28" t="str">
        <x:v>горечь и терпкость способны подавлять нежные продукты; содержит стимуляторы; аллергенные добавки возможны</x:v>
      </x:c>
      <x:c r="I150" s="28" t="str">
        <x:v>ганаш, плитка, крем, мусс, напиток, глазурь или соус с кабачок</x:v>
      </x:c>
      <x:c r="J150" s="28" t="str">
        <x:v>Средняя</x:v>
      </x:c>
      <x:c r="K150" s="28" t="str">
        <x:v>The Art &amp; Science of Foodpairing.pdf</x:v>
      </x:c>
      <x:c r="L150" s="28" t="str">
        <x:v>The Art &amp; Science of Foodpairing.pdf: 62</x:v>
      </x:c>
    </x:row>
    <x:row r="151" ht="64" customHeight="1">
      <x:c r="A151" s="28" t="str">
        <x:v>NCT-0675</x:v>
      </x:c>
      <x:c r="B151" s="28" t="str">
        <x:v>шоколад</x:v>
      </x:c>
      <x:c r="C151" s="28" t="str">
        <x:v>свекла</x:v>
      </x:c>
      <x:c r="D151" s="28" t="str">
        <x:v>Овощи, бобовые и грибы</x:v>
      </x:c>
      <x:c r="E151" s="28" t="str">
        <x:v>сенсорная комплементарность</x:v>
      </x:c>
      <x:c r="F151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«свекла» относится к группе «Овощи, бобовые и грибы» и даёт землистый, сладкий.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механизм не следует сводить к одной общей молекуле.</x:v>
      </x:c>
      <x:c r="G151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1" s="28" t="str">
        <x:v>горечь и терпкость способны подавлять нежные продукты; содержит стимуляторы; аллергенные добавки возможны</x:v>
      </x:c>
      <x:c r="I151" s="28" t="str">
        <x:v>ганаш, плитка, крем, мусс, напиток, глазурь или соус с свекла</x:v>
      </x:c>
      <x:c r="J151" s="28" t="str">
        <x:v>Средняя</x:v>
      </x:c>
      <x:c r="K151" s="28" t="str">
        <x:v>Тезариус вкусов (Ники Сегнит)(1).pdf</x:v>
      </x:c>
      <x:c r="L151" s="28" t="str">
        <x:v>Тезариус вкусов (Ники Сегнит)(1).pdf: 35, 227</x:v>
      </x:c>
    </x:row>
    <x:row r="152" ht="64" customHeight="1">
      <x:c r="A152" s="28" t="str">
        <x:v>NCT-0679</x:v>
      </x:c>
      <x:c r="B152" s="28" t="str">
        <x:v>шоколад</x:v>
      </x:c>
      <x:c r="C152" s="28" t="str">
        <x:v>соевый соус</x:v>
      </x:c>
      <x:c r="D152" s="28" t="str">
        <x:v>Ферментированные продукты и соусы</x:v>
      </x:c>
      <x:c r="E152" s="28" t="str">
        <x:v>общие ароматические соединения, пересечение ароматических семейств, солёно-умами контраст</x:v>
      </x:c>
      <x:c r="F152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фураны, эфиры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пиразины, фураны, эфиры.</x:v>
      </x:c>
      <x:c r="G152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2" s="28" t="str">
        <x:v>горечь и терпкость способны подавлять нежные продукты; содержит стимуляторы; аллергенные добавки возможны</x:v>
      </x:c>
      <x:c r="I152" s="28" t="str">
        <x:v>ганаш, плитка, крем, мусс, напиток, глазурь или соус с соевый соус</x:v>
      </x:c>
      <x:c r="J152" s="28" t="str">
        <x:v>Высокая</x:v>
      </x:c>
      <x:c r="K152" s="28" t="str">
        <x:v>The Art &amp; Science of Foodpairing.pdf</x:v>
      </x:c>
      <x:c r="L152" s="28" t="str">
        <x:v>The Art &amp; Science of Foodpairing.pdf: 301</x:v>
      </x:c>
    </x:row>
    <x:row r="153" ht="64" customHeight="1">
      <x:c r="A153" s="28" t="str">
        <x:v>NCT-0681</x:v>
      </x:c>
      <x:c r="B153" s="28" t="str">
        <x:v>шоколад</x:v>
      </x:c>
      <x:c r="C153" s="28" t="str">
        <x:v>томат черри</x:v>
      </x:c>
      <x:c r="D153" s="28" t="str">
        <x:v>Овощи, бобовые и грибы</x:v>
      </x:c>
      <x:c r="E153" s="28" t="str">
        <x:v>пересечение ароматических семейств</x:v>
      </x:c>
      <x:c r="F153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«томат черри» относится к группе «Овощи, бобовые и грибы» и даёт зелёный, умами, фруктовый. Профили пересекаются в семействах: фруктовый Какао-масло медленно высвобождает липофильные ароматы, а сахар и соль изменяют воспринимаемую горечь. Итог: фруктовый; механизм не следует сводить к одной общей молекуле.</x:v>
      </x:c>
      <x:c r="G153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3" s="28" t="str">
        <x:v>горечь и терпкость способны подавлять нежные продукты; содержит стимуляторы; аллергенные добавки возможны</x:v>
      </x:c>
      <x:c r="I153" s="28" t="str">
        <x:v>ганаш, плитка, крем, мусс, напиток, глазурь или соус с томат черри</x:v>
      </x:c>
      <x:c r="J153" s="28" t="str">
        <x:v>Средняя</x:v>
      </x:c>
      <x:c r="K153" s="28" t="str">
        <x:v>The Art &amp; Science of Foodpairing.pdf</x:v>
      </x:c>
      <x:c r="L153" s="28" t="str">
        <x:v>The Art &amp; Science of Foodpairing.pdf: 62</x:v>
      </x:c>
    </x:row>
    <x:row r="154" ht="64" customHeight="1">
      <x:c r="A154" s="28" t="str">
        <x:v>NCT-0682</x:v>
      </x:c>
      <x:c r="B154" s="28" t="str">
        <x:v>шоколад</x:v>
      </x:c>
      <x:c r="C154" s="28" t="str">
        <x:v>томаты</x:v>
      </x:c>
      <x:c r="D154" s="28" t="str">
        <x:v>Овощи, бобовые и грибы</x:v>
      </x:c>
      <x:c r="E154" s="28" t="str">
        <x:v>пересечение ароматических семейств</x:v>
      </x:c>
      <x:c r="F154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«томаты» относится к группе «Овощи, бобовые и грибы» и даёт зелёный, умами, фруктовый. Профили пересекаются в семействах: фруктовый Какао-масло медленно высвобождает липофильные ароматы, а сахар и соль изменяют воспринимаемую горечь. Итог: фруктовый; механизм не следует сводить к одной общей молекуле.</x:v>
      </x:c>
      <x:c r="G154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4" s="28" t="str">
        <x:v>горечь и терпкость способны подавлять нежные продукты; содержит стимуляторы; аллергенные добавки возможны</x:v>
      </x:c>
      <x:c r="I154" s="28" t="str">
        <x:v>ганаш, плитка, крем, мусс, напиток, глазурь или соус с томаты</x:v>
      </x:c>
      <x:c r="J154" s="28" t="str">
        <x:v>Средняя</x:v>
      </x:c>
      <x:c r="K154" s="28" t="str">
        <x:v>Тезариус вкусов (Ники Сегнит)(1).pdf</x:v>
      </x:c>
      <x:c r="L154" s="28" t="str">
        <x:v>Тезариус вкусов (Ники Сегнит)(1).pdf: 35, 691</x:v>
      </x:c>
    </x:row>
    <x:row r="155" ht="64" customHeight="1">
      <x:c r="A155" s="28" t="str">
        <x:v>NCT-0684</x:v>
      </x:c>
      <x:c r="B155" s="28" t="str">
        <x:v>шоколад</x:v>
      </x:c>
      <x:c r="C155" s="28" t="str">
        <x:v>тыква</x:v>
      </x:c>
      <x:c r="D155" s="28" t="str">
        <x:v>Овощи, бобовые и грибы</x:v>
      </x:c>
      <x:c r="E155" s="28" t="str">
        <x:v>общие ароматические соединения</x:v>
      </x:c>
      <x:c r="F155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«тыква»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55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5" s="28" t="str">
        <x:v>горечь и терпкость способны подавлять нежные продукты; содержит стимуляторы; аллергенные добавки возможны</x:v>
      </x:c>
      <x:c r="I155" s="28" t="str">
        <x:v>ганаш, плитка, крем, мусс, напиток, глазурь или соус с тыква</x:v>
      </x:c>
      <x:c r="J155" s="28" t="str">
        <x:v>Гипотеза / практическая</x:v>
      </x:c>
      <x:c r="K155" s="28" t="str">
        <x:v>Таблица сочетания(1).pdf</x:v>
      </x:c>
      <x:c r="L155" s="28" t="str">
        <x:v>Таблица сочетания(1).pdf: 18</x:v>
      </x:c>
    </x:row>
    <x:row r="156" ht="64" customHeight="1">
      <x:c r="A156" s="28" t="str">
        <x:v>NCT-0686</x:v>
      </x:c>
      <x:c r="B156" s="28" t="str">
        <x:v>шоколад</x:v>
      </x:c>
      <x:c r="C156" s="28" t="str">
        <x:v>цветная капуста</x:v>
      </x:c>
      <x:c r="D156" s="28" t="str">
        <x:v>Овощи, бобовые и грибы</x:v>
      </x:c>
      <x:c r="E156" s="28" t="str">
        <x:v>общие ароматические соединения</x:v>
      </x:c>
      <x:c r="F156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«цветная капуста» относится к группе «Овощи, бобовые и грибы» и даёт зелёный, землистый или умами. Молекулярный мост создают альдегиды Какао-масло медленно высвобождает липофильные ароматы, а сахар и соль изменяют воспринимаемую горечь. Итог: прямое совпадение одной ключевой молекулы не подтверждено; альдегиды.</x:v>
      </x:c>
      <x:c r="G156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6" s="28" t="str">
        <x:v>горечь и терпкость способны подавлять нежные продукты; содержит стимуляторы; аллергенные добавки возможны</x:v>
      </x:c>
      <x:c r="I156" s="28" t="str">
        <x:v>ганаш, плитка, крем, мусс, напиток, глазурь или соус с цветная капуста</x:v>
      </x:c>
      <x:c r="J156" s="28" t="str">
        <x:v>Высокая</x:v>
      </x:c>
      <x:c r="K156" s="28" t="str">
        <x:v>The Art &amp; Science of Foodpairing.pdf | Тезариус вкусов (Ники Сегнит)(1).pdf</x:v>
      </x:c>
      <x:c r="L156" s="28" t="str">
        <x:v>The Art &amp; Science of Foodpairing.pdf: 63; Тезариус вкусов (Ники Сегнит)(1).pdf: 37, 327</x:v>
      </x:c>
    </x:row>
    <x:row r="157" ht="64" customHeight="1">
      <x:c r="A157" s="28" t="str">
        <x:v>NCT-0698</x:v>
      </x:c>
      <x:c r="B157" s="28" t="str">
        <x:v>шоколад</x:v>
      </x:c>
      <x:c r="C157" s="28" t="str">
        <x:v>японский соевый соус</x:v>
      </x:c>
      <x:c r="D157" s="28" t="str">
        <x:v>Ферментированные продукты и соусы</x:v>
      </x:c>
      <x:c r="E157" s="28" t="str">
        <x:v>общие ароматические соединения, пересечение ароматических семейств, солёно-умами контраст</x:v>
      </x:c>
      <x:c r="F157" s="28" t="str">
        <x:v>Шоколад имеет профиль «жареный, какаовый, фруктовый, цветочный, древесный и пряный; профиль зависит от происхождения и обжарки». Партнёр «японский соевый соус» относится к группе «Ферментированные продукты и соусы» и даёт жареный, умами, ферментированный. Молекулярный мост создают пиразины, фураны, эфиры Соль и умами усиливают ароматическую насыщенность и создают контраст со сладкими или ореховыми нотами Какао-масло медленно высвобождает липофильные ароматы, а сахар и соль изменяют воспринимаемую горечь. Итог: жареный; пиразины, фураны, эфиры.</x:v>
      </x:c>
      <x:c r="G157" s="28" t="str">
        <x:v>ферментация создаёт фруктово-винные прекурсоры, обжарка — пиразины и фураны; перегрев нарушает темперирование и аромат. Темперировать или плавить мягко; водную фазу вводить как стабильную эмульсию, чтобы избежать расслоения.</x:v>
      </x:c>
      <x:c r="H157" s="28" t="str">
        <x:v>горечь и терпкость способны подавлять нежные продукты; содержит стимуляторы; аллергенные добавки возможны</x:v>
      </x:c>
      <x:c r="I157" s="28" t="str">
        <x:v>ганаш, плитка, крем, мусс, напиток, глазурь или соус с японский соевый соус</x:v>
      </x:c>
      <x:c r="J157" s="28" t="str">
        <x:v>Средняя</x:v>
      </x:c>
      <x:c r="K157" s="28" t="str">
        <x:v>The Art &amp; Science of Foodpairing.pdf</x:v>
      </x:c>
      <x:c r="L157" s="28" t="str">
        <x:v>The Art &amp; Science of Foodpairing.pdf: 62</x:v>
      </x:c>
    </x:row>
  </x:sheetData>
  <x:conditionalFormatting sqref="J2:J157">
    <x:cfRule type="expression" dxfId="24" priority="1">
      <x:formula>J2="Высокая"</x:formula>
    </x:cfRule>
    <x:cfRule type="expression" dxfId="25" priority="2">
      <x:formula>J2="Средняя"</x:formula>
    </x:cfRule>
    <x:cfRule type="expression" dxfId="26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4b99deb31e4bc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7" hidden="0" customWidth="1"/>
    <x:col min="3" max="3" width="42" hidden="0" customWidth="1"/>
    <x:col min="4" max="4" width="48" hidden="0" customWidth="1"/>
    <x:col min="5" max="5" width="38" hidden="0" customWidth="1"/>
    <x:col min="6" max="6" width="45" hidden="0" customWidth="1"/>
    <x:col min="7" max="7" width="53" hidden="0" customWidth="1"/>
    <x:col min="8" max="8" width="56" hidden="0" customWidth="1"/>
    <x:col min="9" max="9" width="55" hidden="0" customWidth="1"/>
    <x:col min="10" max="10" width="58" hidden="0" customWidth="1"/>
    <x:col min="11" max="11" width="15" hidden="0" customWidth="1"/>
  </x:cols>
  <x:sheetData>
    <x:row r="1">
      <x:c r="A1" s="20" t="str">
        <x:v>Ингредиент</x:v>
      </x:c>
      <x:c r="B1" s="20" t="str">
        <x:v>Группа</x:v>
      </x:c>
      <x:c r="C1" s="20" t="str">
        <x:v>Ароматический профиль</x:v>
      </x:c>
      <x:c r="D1" s="20" t="str">
        <x:v>Характерные соединения</x:v>
      </x:c>
      <x:c r="E1" s="20" t="str">
        <x:v>Вкус и баланс</x:v>
      </x:c>
      <x:c r="F1" s="20" t="str">
        <x:v>Тройничный эффект</x:v>
      </x:c>
      <x:c r="G1" s="20" t="str">
        <x:v>Матрица</x:v>
      </x:c>
      <x:c r="H1" s="20" t="str">
        <x:v>Изменение при обработке</x:v>
      </x:c>
      <x:c r="I1" s="20" t="str">
        <x:v>Рекомендуемые технологии</x:v>
      </x:c>
      <x:c r="J1" s="20" t="str">
        <x:v>Критические точки</x:v>
      </x:c>
      <x:c r="K1" s="20" t="str">
        <x:v>Количество пар</x:v>
      </x:c>
    </x:row>
    <x:row r="2" ht="82" customHeight="1">
      <x:c r="A2" s="28" t="str">
        <x:v>миндаль</x:v>
      </x:c>
      <x:c r="B2" s="28" t="str">
        <x:v>Орехи и семена</x:v>
      </x:c>
      <x:c r="C2" s="28" t="str">
        <x:v>ореховый, сладкий, марципановый, слегка зелёный; после обжарки — карамельный и жареный</x:v>
      </x:c>
      <x:c r="D2" s="28" t="str">
        <x:v>бензальдегид, пиразины, фураны, гексаналь</x:v>
      </x:c>
      <x:c r="E2" s="28" t="str">
        <x:v>мягкая сладость, жирность и слабая терпкость кожицы</x:v>
      </x:c>
      <x:c r="F2" s="28" t="str">
        <x:v>минимальный</x:v>
      </x:c>
      <x:c r="G2" s="28" t="str">
        <x:v>жирная белково-клетчаточная матрица; гидрофобные ароматические вещества хорошо удерживаются липидами</x:v>
      </x:c>
      <x:c r="H2" s="28" t="str">
        <x:v>обжарка усиливает пиразины и фураны; измельчение ускоряет окисление; бланширование удаляет горьковатую кожицу</x:v>
      </x:c>
      <x:c r="I2" s="28" t="str">
        <x:v>умеренная обжарка; пралине или паста; жировая и спиртовая инфузия; хранение без кислорода</x:v>
      </x:c>
      <x:c r="J2" s="28" t="str">
        <x:v>аллерген; быстро прогоркает после помола; горький миндаль и ядра косточковых не взаимозаменяемы</x:v>
      </x:c>
      <x:c r="K2" s="28" t="n">
        <x:v>79</x:v>
      </x:c>
    </x:row>
    <x:row r="3" ht="82" customHeight="1">
      <x:c r="A3" s="28" t="str">
        <x:v>фундук</x:v>
      </x:c>
      <x:c r="B3" s="28" t="str">
        <x:v>Орехи и семена</x:v>
      </x:c>
      <x:c r="C3" s="28" t="str">
        <x:v>ореховый, жареный, сладкий, землистый и какаоподобный</x:v>
      </x:c>
      <x:c r="D3" s="28" t="str">
        <x:v>фильбертон, пиразины, фураны, альдегиды</x:v>
      </x:c>
      <x:c r="E3" s="28" t="str">
        <x:v>сладковатый, жирный, с лёгкой горечью кожицы</x:v>
      </x:c>
      <x:c r="F3" s="28" t="str">
        <x:v>минимальный</x:v>
      </x:c>
      <x:c r="G3" s="28" t="str">
        <x:v>высокожировая матрица с белком; эффективно переносит аромат в пралине и пастах</x:v>
      </x:c>
      <x:c r="H3" s="28" t="str">
        <x:v>обжарка резко усиливает фильбертон, пиразины и жареные ноты; снятие кожицы снижает горечь</x:v>
      </x:c>
      <x:c r="I3" s="28" t="str">
        <x:v>умеренная обжарка; пралине или паста; жировая и спиртовая инфузия; хранение без кислорода</x:v>
      </x:c>
      <x:c r="J3" s="28" t="str">
        <x:v>аллерген и чувствительность к прогорканию; пережаривание даёт дымную горечь</x:v>
      </x:c>
      <x:c r="K3" s="28" t="n">
        <x:v>105</x:v>
      </x:c>
    </x:row>
    <x:row r="4" ht="82" customHeight="1">
      <x:c r="A4" s="28" t="str">
        <x:v>грецкий орех</x:v>
      </x:c>
      <x:c r="B4" s="28" t="str">
        <x:v>Орехи и семена</x:v>
      </x:c>
      <x:c r="C4" s="28" t="str">
        <x:v>ореховый, древесный, землистый, слегка горький и маслянистый</x:v>
      </x:c>
      <x:c r="D4" s="28" t="str">
        <x:v>гексаналь, пентаналь, пиразины, лактоны</x:v>
      </x:c>
      <x:c r="E4" s="28" t="str">
        <x:v>жирность, умеренная горечь и терпкость кожицы</x:v>
      </x:c>
      <x:c r="F4" s="28" t="str">
        <x:v>минимальный</x:v>
      </x:c>
      <x:c r="G4" s="28" t="str">
        <x:v>богатая полиненасыщенными жирами матрица, особенно склонная к окислению</x:v>
      </x:c>
      <x:c r="H4" s="28" t="str">
        <x:v>лёгкая обжарка округляет вкус; измельчение и тепло резко ускоряют прогоркание</x:v>
      </x:c>
      <x:c r="I4" s="28" t="str">
        <x:v>умеренная обжарка; пралине или паста; жировая и спиртовая инфузия; хранение без кислорода</x:v>
      </x:c>
      <x:c r="J4" s="28" t="str">
        <x:v>аллерген; быстро окисляется; горькая кожица способна доминировать</x:v>
      </x:c>
      <x:c r="K4" s="28" t="n">
        <x:v>55</x:v>
      </x:c>
    </x:row>
    <x:row r="5" ht="82" customHeight="1">
      <x:c r="A5" s="28" t="str">
        <x:v>арахис</x:v>
      </x:c>
      <x:c r="B5" s="28" t="str">
        <x:v>Орехи и семена</x:v>
      </x:c>
      <x:c r="C5" s="28" t="str">
        <x:v>бобовый и зелёный в сыром виде; жареный, ореховый и какаоподобный после обжарки</x:v>
      </x:c>
      <x:c r="D5" s="28" t="str">
        <x:v>пиразины, фураны, 2-ацетил-1-пирролин, альдегиды</x:v>
      </x:c>
      <x:c r="E5" s="28" t="str">
        <x:v>жирность, белковость, слабая сладость и жареная горечь</x:v>
      </x:c>
      <x:c r="F5" s="28" t="str">
        <x:v>минимальный</x:v>
      </x:c>
      <x:c r="G5" s="28" t="str">
        <x:v>жирно-белковая пастообразная матрица; хорошо удерживает жареную ароматику</x:v>
      </x:c>
      <x:c r="H5" s="28" t="str">
        <x:v>обжарка формирует ключевую ореховую ароматику; сырое зерно сохраняет травяно-бобовые ноты</x:v>
      </x:c>
      <x:c r="I5" s="28" t="str">
        <x:v>умеренная обжарка; пралине или паста; жировая и спиртовая инфузия; хранение без кислорода</x:v>
      </x:c>
      <x:c r="J5" s="28" t="str">
        <x:v>сильный аллерген; риск прогоркания и загрязнения плесенью при плохом хранении</x:v>
      </x:c>
      <x:c r="K5" s="28" t="n">
        <x:v>41</x:v>
      </x:c>
    </x:row>
    <x:row r="6" ht="82" customHeight="1">
      <x:c r="A6" s="28" t="str">
        <x:v>каштан</x:v>
      </x:c>
      <x:c r="B6" s="28" t="str">
        <x:v>Орехи и семена</x:v>
      </x:c>
      <x:c r="C6" s="28" t="str">
        <x:v>крахмалистый, сладкий, древесный, слегка какаовый и печёный</x:v>
      </x:c>
      <x:c r="D6" s="28" t="str">
        <x:v>фураны, мальтол, пиразины, альдегиды</x:v>
      </x:c>
      <x:c r="E6" s="28" t="str">
        <x:v>мягкая сладость и крахмалистость при низкой жирности</x:v>
      </x:c>
      <x:c r="F6" s="28" t="str">
        <x:v>минимальный</x:v>
      </x:c>
      <x:c r="G6" s="28" t="str">
        <x:v>крахмальная, сравнительно нежирная; после приготовления становится пюреобразной</x:v>
      </x:c>
      <x:c r="H6" s="28" t="str">
        <x:v>хранение и нагрев превращают крахмал в более сладкий профиль; запекание создаёт фураны и карамельные ноты</x:v>
      </x:c>
      <x:c r="I6" s="28" t="str">
        <x:v>умеренная обжарка; пралине или паста; жировая и спиртовая инфузия; хранение без кислорода</x:v>
      </x:c>
      <x:c r="J6" s="28" t="str">
        <x:v>сырой каштан жёсткий; требуется надрез перед запеканием; водянистое пюре размывает аромат</x:v>
      </x:c>
      <x:c r="K6" s="28" t="n">
        <x:v>29</x:v>
      </x:c>
    </x:row>
    <x:row r="7" ht="82" customHeight="1">
      <x:c r="A7" s="28" t="str">
        <x:v>кешью</x:v>
      </x:c>
      <x:c r="B7" s="28" t="str">
        <x:v>Орехи и семена</x:v>
      </x:c>
      <x:c r="C7" s="28" t="str">
        <x:v>сливочный, мягко-ореховый, сладковатый и жареный</x:v>
      </x:c>
      <x:c r="D7" s="28" t="str">
        <x:v>пиразины, фураны, альдегиды, лактоны</x:v>
      </x:c>
      <x:c r="E7" s="28" t="str">
        <x:v>высокая жирность, мягкая сладость и слабая горечь</x:v>
      </x:c>
      <x:c r="F7" s="28" t="str">
        <x:v>минимальный</x:v>
      </x:c>
      <x:c r="G7" s="28" t="str">
        <x:v>кремовая жирно-белковая матрица; легко образует эмульсии и пасты</x:v>
      </x:c>
      <x:c r="H7" s="28" t="str">
        <x:v>обжарка усиливает жареные ноты; замачивание создаёт нейтральную кремовую базу</x:v>
      </x:c>
      <x:c r="I7" s="28" t="str">
        <x:v>умеренная обжарка; пралине или паста; жировая и спиртовая инфузия; хранение без кислорода</x:v>
      </x:c>
      <x:c r="J7" s="28" t="str">
        <x:v>аллерген; оболочка сырого ореха содержит раздражающие вещества, поэтому используется обработанный пищевой продукт</x:v>
      </x:c>
      <x:c r="K7" s="28" t="n">
        <x:v>20</x:v>
      </x:c>
    </x:row>
    <x:row r="8" ht="82" customHeight="1">
      <x:c r="A8" s="28" t="str">
        <x:v>пекан</x:v>
      </x:c>
      <x:c r="B8" s="28" t="str">
        <x:v>Орехи и семена</x:v>
      </x:c>
      <x:c r="C8" s="28" t="str">
        <x:v>маслянистый, сладкий, карамельный и древесно-ореховый</x:v>
      </x:c>
      <x:c r="D8" s="28" t="str">
        <x:v>пиразины, фураны, лактоны, гексаналь</x:v>
      </x:c>
      <x:c r="E8" s="28" t="str">
        <x:v>жирный, сладковатый и слабо терпкий</x:v>
      </x:c>
      <x:c r="F8" s="28" t="str">
        <x:v>минимальный</x:v>
      </x:c>
      <x:c r="G8" s="28" t="str">
        <x:v>высокожировая и хрупкая; хорошо связывает карамель и шоколад</x:v>
      </x:c>
      <x:c r="H8" s="28" t="str">
        <x:v>обжарка усиливает пралиновый профиль; сахарная карамелизация создаёт устойчивую десертную связь</x:v>
      </x:c>
      <x:c r="I8" s="28" t="str">
        <x:v>умеренная обжарка; пралине или паста; жировая и спиртовая инфузия; хранение без кислорода</x:v>
      </x:c>
      <x:c r="J8" s="28" t="str">
        <x:v>аллерген и высокая склонность к окислению</x:v>
      </x:c>
      <x:c r="K8" s="28" t="n">
        <x:v>22</x:v>
      </x:c>
    </x:row>
    <x:row r="9" ht="82" customHeight="1">
      <x:c r="A9" s="28" t="str">
        <x:v>фисташка</x:v>
      </x:c>
      <x:c r="B9" s="28" t="str">
        <x:v>Орехи и семена</x:v>
      </x:c>
      <x:c r="C9" s="28" t="str">
        <x:v>зелёный, ореховый, смолистый, сладкий и слегка цветочный</x:v>
      </x:c>
      <x:c r="D9" s="28" t="str">
        <x:v>пиразины, терпены, гексаналь, фураны</x:v>
      </x:c>
      <x:c r="E9" s="28" t="str">
        <x:v>жирность, мягкая сладость и лёгкая зелёная горечь</x:v>
      </x:c>
      <x:c r="F9" s="28" t="str">
        <x:v>минимальный</x:v>
      </x:c>
      <x:c r="G9" s="28" t="str">
        <x:v>жирная белково-клетчаточная матрица; зелёные пигменты чувствительны к перегреву</x:v>
      </x:c>
      <x:c r="H9" s="28" t="str">
        <x:v>лёгкая обжарка усиливает ореховость; сильный нагрев приглушает зелёный профиль</x:v>
      </x:c>
      <x:c r="I9" s="28" t="str">
        <x:v>умеренная обжарка; пралине или паста; жировая и спиртовая инфузия; хранение без кислорода</x:v>
      </x:c>
      <x:c r="J9" s="28" t="str">
        <x:v>аллерген; солёные фисташки меняют баланс рецепта; прогоркание</x:v>
      </x:c>
      <x:c r="K9" s="28" t="n">
        <x:v>24</x:v>
      </x:c>
    </x:row>
    <x:row r="10" ht="82" customHeight="1">
      <x:c r="A10" s="28" t="str">
        <x:v>макадамия</x:v>
      </x:c>
      <x:c r="B10" s="28" t="str">
        <x:v>Орехи и семена</x:v>
      </x:c>
      <x:c r="C10" s="28" t="str">
        <x:v>сливочный, маслянистый, сладко-ореховый и мягко-жареный</x:v>
      </x:c>
      <x:c r="D10" s="28" t="str">
        <x:v>лактоны, альдегиды, пиразины, фураны</x:v>
      </x:c>
      <x:c r="E10" s="28" t="str">
        <x:v>очень высокая жирность и мягкая сладость</x:v>
      </x:c>
      <x:c r="F10" s="28" t="str">
        <x:v>минимальный</x:v>
      </x:c>
      <x:c r="G10" s="28" t="str">
        <x:v>очень жирная и кремовая; хорошо переносит липофильные ароматы</x:v>
      </x:c>
      <x:c r="H10" s="28" t="str">
        <x:v>лёгкая обжарка добавляет карамельные ноты; длительный нагрев даёт тяжёлую маслянистость</x:v>
      </x:c>
      <x:c r="I10" s="28" t="str">
        <x:v>умеренная обжарка; пралине или паста; жировая и спиртовая инфузия; хранение без кислорода</x:v>
      </x:c>
      <x:c r="J10" s="28" t="str">
        <x:v>аллерген; высокая энергетическая плотность и прогоркание</x:v>
      </x:c>
      <x:c r="K10" s="28" t="n">
        <x:v>16</x:v>
      </x:c>
    </x:row>
    <x:row r="11" ht="82" customHeight="1">
      <x:c r="A11" s="28" t="str">
        <x:v>кедровый орех</x:v>
      </x:c>
      <x:c r="B11" s="28" t="str">
        <x:v>Орехи и семена</x:v>
      </x:c>
      <x:c r="C11" s="28" t="str">
        <x:v>смолистый, сливочный, зелёный и ореховый</x:v>
      </x:c>
      <x:c r="D11" s="28" t="str">
        <x:v>пинены, альдегиды, пиразины</x:v>
      </x:c>
      <x:c r="E11" s="28" t="str">
        <x:v>жирный, сладковатый и слегка смолистый</x:v>
      </x:c>
      <x:c r="F11" s="28" t="str">
        <x:v>минимальный</x:v>
      </x:c>
      <x:c r="G11" s="28" t="str">
        <x:v>жирная нежная матрица; быстро окисляется после очистки</x:v>
      </x:c>
      <x:c r="H11" s="28" t="str">
        <x:v>лёгкая обжарка усиливает ореховость, но быстро переходит в горечь</x:v>
      </x:c>
      <x:c r="I11" s="28" t="str">
        <x:v>умеренная обжарка; пралине или паста; жировая и спиртовая инфузия; хранение без кислорода</x:v>
      </x:c>
      <x:c r="J11" s="28" t="str">
        <x:v>аллерген; прогоркание; у части партий возможен длительный горький привкус</x:v>
      </x:c>
      <x:c r="K11" s="28" t="n">
        <x:v>13</x:v>
      </x:c>
    </x:row>
    <x:row r="12" ht="82" customHeight="1">
      <x:c r="A12" s="28" t="str">
        <x:v>шоколад</x:v>
      </x:c>
      <x:c r="B12" s="28" t="str">
        <x:v>Какао и шоколад</x:v>
      </x:c>
      <x:c r="C12" s="28" t="str">
        <x:v>жареный, какаовый, фруктовый, цветочный, древесный и пряный; профиль зависит от происхождения и обжарки</x:v>
      </x:c>
      <x:c r="D12" s="28" t="str">
        <x:v>пиразины, фураны, альдегиды, эфиры, теобромин</x:v>
      </x:c>
      <x:c r="E12" s="28" t="str">
        <x:v>горечь, терпкость, жирность и сладость в зависимости от рецептуры</x:v>
      </x:c>
      <x:c r="F12" s="28" t="str">
        <x:v>мягкая терпкость; теобромин и кофеин усиливают горькое послевкусие</x:v>
      </x:c>
      <x:c r="G12" s="28" t="str">
        <x:v>какао-масло с частицами какао и сахаром; плавление во рту медленно высвобождает гидрофобные ароматы</x:v>
      </x:c>
      <x:c r="H12" s="28" t="str">
        <x:v>ферментация создаёт фруктово-винные прекурсоры, обжарка — пиразины и фураны; перегрев нарушает темперирование и аромат</x:v>
      </x:c>
      <x:c r="I12" s="28" t="str">
        <x:v>контролируемое темперирование; ганаш; эмульсия; инфузия какао-крупки; мягкий нагрев</x:v>
      </x:c>
      <x:c r="J12" s="28" t="str">
        <x:v>горечь и терпкость способны подавлять нежные продукты; содержит стимуляторы; аллергенные добавки возможны</x:v>
      </x:c>
      <x:c r="K12" s="28" t="n">
        <x:v>137</x:v>
      </x:c>
    </x:row>
    <x:row r="13" ht="82" customHeight="1">
      <x:c r="A13" s="28" t="str">
        <x:v>белый шоколад</x:v>
      </x:c>
      <x:c r="B13" s="28" t="str">
        <x:v>Какао и шоколад</x:v>
      </x:c>
      <x:c r="C13" s="28" t="str">
        <x:v>сливочный, ванильный, карамельный и маслянистый без выраженного какаового жареного профиля</x:v>
      </x:c>
      <x:c r="D13" s="28" t="str">
        <x:v>ванилин, лактоны, диацетил, молочные альдегиды</x:v>
      </x:c>
      <x:c r="E13" s="28" t="str">
        <x:v>высокая сладость, жирность и низкая горечь</x:v>
      </x:c>
      <x:c r="F13" s="28" t="str">
        <x:v>минимальный</x:v>
      </x:c>
      <x:c r="G13" s="28" t="str">
        <x:v>какао-масло, сахар и молочные компоненты; сильный липофильный носитель</x:v>
      </x:c>
      <x:c r="H13" s="28" t="str">
        <x:v>мягкое плавление сохраняет молочные ноты; длительный нагрев ведёт к карамелизации и профилю блонд-шоколада</x:v>
      </x:c>
      <x:c r="I13" s="28" t="str">
        <x:v>контролируемое темперирование; ганаш; эмульсия; инфузия какао-крупки; мягкий нагрев</x:v>
      </x:c>
      <x:c r="J13" s="28" t="str">
        <x:v>легко становится приторным и восковым; требует точной температуры темперирования</x:v>
      </x:c>
      <x:c r="K13" s="28" t="n">
        <x:v>28</x:v>
      </x:c>
    </x:row>
    <x:row r="14" ht="82" customHeight="1">
      <x:c r="A14" s="28" t="str">
        <x:v>молочный шоколад</x:v>
      </x:c>
      <x:c r="B14" s="28" t="str">
        <x:v>Какао и шоколад</x:v>
      </x:c>
      <x:c r="C14" s="28" t="str">
        <x:v>какаовый, молочный, карамельный и ванильный</x:v>
      </x:c>
      <x:c r="D14" s="28" t="str">
        <x:v>пиразины, фураны, ванилин, лактоны, диацетил</x:v>
      </x:c>
      <x:c r="E14" s="28" t="str">
        <x:v>сладость, жирность, умеренная какаовая горечь</x:v>
      </x:c>
      <x:c r="F14" s="28" t="str">
        <x:v>минимальный</x:v>
      </x:c>
      <x:c r="G14" s="28" t="str">
        <x:v>какао-масло, молочный жир, сахар и какао-сухие вещества</x:v>
      </x:c>
      <x:c r="H14" s="28" t="str">
        <x:v>нагрев усиливает карамельные ноты, но может нарушить эмульсию и темперирование</x:v>
      </x:c>
      <x:c r="I14" s="28" t="str">
        <x:v>контролируемое темперирование; ганаш; эмульсия; инфузия какао-крупки; мягкий нагрев</x:v>
      </x:c>
      <x:c r="J14" s="28" t="str">
        <x:v>сладость и жир быстро подавляют кислотные и цветочные продукты</x:v>
      </x:c>
      <x:c r="K14" s="28" t="n">
        <x:v>8</x:v>
      </x:c>
    </x:row>
    <x:row r="15" ht="82" customHeight="1">
      <x:c r="A15" s="28" t="str">
        <x:v>кофе</x:v>
      </x:c>
      <x:c r="B15" s="28" t="str">
        <x:v>Кофе</x:v>
      </x:c>
      <x:c r="C15" s="28" t="str">
        <x:v>жареный, ореховый, карамельный, цветочный, фруктовый, фенольный и древесный</x:v>
      </x:c>
      <x:c r="D15" s="28" t="str">
        <x:v>пиразины, фураны, гваякол, 2-фурфурилтиол, диацетил</x:v>
      </x:c>
      <x:c r="E15" s="28" t="str">
        <x:v>горечь, кислотность и умеренная сладость; тело зависит от метода заваривания</x:v>
      </x:c>
      <x:c r="F15" s="28" t="str">
        <x:v>сухость и горечь; кофеин не имеет сильного запаха, но влияет на вкус и физиологию</x:v>
      </x:c>
      <x:c r="G15" s="28" t="str">
        <x:v>водный напиток с растворёнными кислотами, меланоидинами и маслами; в зерне — пористая обжаренная матрица</x:v>
      </x:c>
      <x:c r="H15" s="28" t="str">
        <x:v>обжарка формирует сотни летучих соединений; слишком длительное заваривание извлекает горечь и вяжущие вещества</x:v>
      </x:c>
      <x:c r="I15" s="28" t="str">
        <x:v>свежий помол; фильтр, эспрессо или холодная экстракция по задаче; быстрое охлаждение для напитков</x:v>
      </x:c>
      <x:c r="J15" s="28" t="str">
        <x:v>быстро теряет аромат после помола; переэкстракция и пережарка дают пепельную горечь; кофеин</x:v>
      </x:c>
      <x:c r="K15" s="28" t="n">
        <x:v>102</x:v>
      </x:c>
    </x:row>
    <x:row r="16" ht="82" customHeight="1">
      <x:c r="A16" s="28" t="str">
        <x:v>чёрный чай</x:v>
      </x:c>
      <x:c r="B16" s="28" t="str">
        <x:v>Чай</x:v>
      </x:c>
      <x:c r="C16" s="28" t="str">
        <x:v>мальтовый, цветочный, фруктовый, древесный и слегка дымный</x:v>
      </x:c>
      <x:c r="D16" s="28" t="str">
        <x:v>линалол, гераниол, 3-метилбутаналь, теафлавины, фенольные соединения</x:v>
      </x:c>
      <x:c r="E16" s="28" t="str">
        <x:v>терпкость, горечь, умеренная сладость и кислотность</x:v>
      </x:c>
      <x:c r="F16" s="28" t="str">
        <x:v>сухость и вяжущее ощущение из-за полифенолов</x:v>
      </x:c>
      <x:c r="G16" s="28" t="str">
        <x:v>водный настой с полифенолами и кофеином; молочные белки могут связывать танины</x:v>
      </x:c>
      <x:c r="H16" s="28" t="str">
        <x:v>окисление листа формирует чёрночайный профиль; длительное и горячее заваривание усиливает терпкость</x:v>
      </x:c>
      <x:c r="I16" s="28" t="str">
        <x:v>контролируемая температура воды; короткие проливы; холодный настой; молочная или спиртовая экстракция</x:v>
      </x:c>
      <x:c r="J16" s="28" t="str">
        <x:v>переэкстракция; сочетание с очень танинными продуктами может стать сухим; кофеин</x:v>
      </x:c>
      <x:c r="K16" s="28" t="n">
        <x:v>20</x:v>
      </x:c>
    </x:row>
    <x:row r="17" ht="82" customHeight="1">
      <x:c r="A17" s="28" t="str">
        <x:v>зелёный чай</x:v>
      </x:c>
      <x:c r="B17" s="28" t="str">
        <x:v>Чай</x:v>
      </x:c>
      <x:c r="C17" s="28" t="str">
        <x:v>зелёный, морской, травянистый, цветочный и слегка жареный; у матча — умами</x:v>
      </x:c>
      <x:c r="D17" s="28" t="str">
        <x:v>гексаналь, цис-3-гексенол, линалоол, индол, катехины</x:v>
      </x:c>
      <x:c r="E17" s="28" t="str">
        <x:v>умами, горечь, терпкость и свежая зелёность</x:v>
      </x:c>
      <x:c r="F17" s="28" t="str">
        <x:v>сухость и лёгкая горечь</x:v>
      </x:c>
      <x:c r="G17" s="28" t="str">
        <x:v>водный настой или суспензия цельного порошка матча; полифенолы и аминокислоты</x:v>
      </x:c>
      <x:c r="H17" s="28" t="str">
        <x:v>слишком горячая вода усиливает горечь и разрушает свежие ноты; обжаренные сорта дают ореховый профиль</x:v>
      </x:c>
      <x:c r="I17" s="28" t="str">
        <x:v>контролируемая температура воды; короткие проливы; холодный настой; молочная или спиртовая экстракция</x:v>
      </x:c>
      <x:c r="J17" s="28" t="str">
        <x:v>переэкстракция; матча легко становится меловой и горькой; кофеин</x:v>
      </x:c>
      <x:c r="K17" s="28" t="n">
        <x:v>18</x:v>
      </x:c>
    </x:row>
    <x:row r="18" ht="82" customHeight="1">
      <x:c r="A18" s="28" t="str">
        <x:v>ройбуш</x:v>
      </x:c>
      <x:c r="B18" s="28" t="str">
        <x:v>Чай</x:v>
      </x:c>
      <x:c r="C18" s="28" t="str">
        <x:v>медовый, древесный, ванильный и слегка ореховый</x:v>
      </x:c>
      <x:c r="D18" s="28" t="str">
        <x:v>ванилин, гваякол, фураны, фенольные соединения</x:v>
      </x:c>
      <x:c r="E18" s="28" t="str">
        <x:v>мягкая сладость, слабая терпкость, без кофеина</x:v>
      </x:c>
      <x:c r="F18" s="28" t="str">
        <x:v>минимальный</x:v>
      </x:c>
      <x:c r="G18" s="28" t="str">
        <x:v>водный настой с низкой танинностью</x:v>
      </x:c>
      <x:c r="H18" s="28" t="str">
        <x:v>длительное заваривание переносит лучше чая, но может усилить древесность</x:v>
      </x:c>
      <x:c r="I18" s="28" t="str">
        <x:v>контролируемая температура воды; короткие проливы; холодный настой; молочная или спиртовая экстракция</x:v>
      </x:c>
      <x:c r="J18" s="28" t="str">
        <x:v>слабая структура требует кислоты или специи; легко потерять тонкий аромат</x:v>
      </x:c>
      <x:c r="K18" s="28" t="n">
        <x:v>2</x:v>
      </x:c>
    </x:row>
  </x:sheetData>
  <x:conditionalFormatting sqref="K2:K18">
    <x:cfRule type="dataBar" priority="1">
      <x:dataBar>
        <x:cfvo type="min"/>
        <x:cfvo type="max"/>
        <x:color rgb="FF6B4A32"/>
      </x:dataBar>
      <x:extLst>
        <x:ext xmlns:x14="http://schemas.microsoft.com/office/spreadsheetml/2009/9/main" uri="{B025F937-C7B1-47D3-B67F-A62EFF666E3E}">
          <x14:id>{177AC3FB-99A2-E7AB-7219-14CB155048E7}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b4b39c17c18417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77AC3FB-99A2-E7AB-7219-14CB155048E7}">
            <x14:dataBar gradient="1">
              <x14:cfvo type="min"/>
              <x14:cfvo type="max"/>
              <x14:fillColor rgb="FF6B4A32"/>
            </x14:dataBar>
          </x14:cfRule>
          <xm:sqref>K2:K18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" hidden="0" customWidth="1"/>
    <x:col min="3" max="3" width="32" hidden="0" customWidth="1"/>
    <x:col min="4" max="4" width="11" hidden="0" customWidth="1"/>
    <x:col min="5" max="5" width="22" hidden="0" customWidth="1"/>
    <x:col min="6" max="6" width="16" hidden="0" customWidth="1"/>
    <x:col min="7" max="7" width="43" hidden="0" customWidth="1"/>
    <x:col min="8" max="8" width="51" hidden="0" customWidth="1"/>
    <x:col min="9" max="9" width="40" hidden="0" customWidth="1"/>
    <x:col min="10" max="10" width="48" hidden="0" customWidth="1"/>
  </x:cols>
  <x:sheetData>
    <x:row r="1">
      <x:c r="A1" s="20" t="str">
        <x:v>Базовый ингредиент</x:v>
      </x:c>
      <x:c r="B1" s="20" t="str">
        <x:v>Место</x:v>
      </x:c>
      <x:c r="C1" s="20" t="str">
        <x:v>Партнёр</x:v>
      </x:c>
      <x:c r="D1" s="20" t="str">
        <x:v>Балл</x:v>
      </x:c>
      <x:c r="E1" s="20" t="str">
        <x:v>Уверенность</x:v>
      </x:c>
      <x:c r="F1" s="20" t="str">
        <x:v>Число источников</x:v>
      </x:c>
      <x:c r="G1" s="20" t="str">
        <x:v>Тип механизма</x:v>
      </x:c>
      <x:c r="H1" s="20" t="str">
        <x:v>Применение</x:v>
      </x:c>
      <x:c r="I1" s="20" t="str">
        <x:v>Источники</x:v>
      </x:c>
      <x:c r="J1" s="20" t="str">
        <x:v>Страницы</x:v>
      </x:c>
    </x:row>
    <x:row r="2" ht="44" customHeight="1">
      <x:c r="A2" s="28" t="str">
        <x:v>миндаль</x:v>
      </x:c>
      <x:c r="B2" s="28" t="n">
        <x:v>1</x:v>
      </x:c>
      <x:c r="C2" s="28" t="str">
        <x:v>груша</x:v>
      </x:c>
      <x:c r="D2" s="28" t="n">
        <x:v>12</x:v>
      </x:c>
      <x:c r="E2" s="28" t="str">
        <x:v>Высокая</x:v>
      </x:c>
      <x:c r="F2" s="28" t="n">
        <x:v>3</x:v>
      </x:c>
      <x:c r="G2" s="28" t="str">
        <x:v>контраст кислоты и жирной/горькой матрицы</x:v>
      </x:c>
      <x:c r="H2" s="28" t="str">
        <x:v>пралине, паста, выпечка, гарнир, соус, молочный или коктейльный компонент с груша</x:v>
      </x:c>
      <x:c r="I2" s="28" t="str">
        <x:v>The Art &amp; Science of Foodpairing.pdf | Таблица сочетания(1).pdf | Тезариус вкусов (Ники Сегнит)(1).pdf</x:v>
      </x:c>
      <x:c r="J2" s="28" t="str">
        <x:v>The Art &amp; Science of Foodpairing.pdf: 350; Таблица сочетания(1).pdf: 16; Тезариус вкусов (Ники Сегнит)(1).pdf: 642, 725</x:v>
      </x:c>
    </x:row>
    <x:row r="3" ht="44" customHeight="1">
      <x:c r="A3" s="28" t="str">
        <x:v>миндаль</x:v>
      </x:c>
      <x:c r="B3" s="28" t="n">
        <x:v>2</x:v>
      </x:c>
      <x:c r="C3" s="28" t="str">
        <x:v>кофе</x:v>
      </x:c>
      <x:c r="D3" s="28" t="n">
        <x:v>12</x:v>
      </x:c>
      <x:c r="E3" s="28" t="str">
        <x:v>Высокая</x:v>
      </x:c>
      <x:c r="F3" s="28" t="n">
        <x:v>3</x:v>
      </x:c>
      <x:c r="G3" s="28" t="str">
        <x:v>общие ароматические соединения, пересечение ароматических семейств, жареная химия и реакции Майяра</x:v>
      </x:c>
      <x:c r="H3" s="28" t="str">
        <x:v>пралине, паста, выпечка, гарнир, соус, молочный или коктейльный компонент с кофе</x:v>
      </x:c>
      <x:c r="I3" s="28" t="str">
        <x:v>The Art &amp; Science of Foodpairing.pdf | Таблица сочетания(1).pdf | Тезариус вкусов (Ники Сегнит)(1).pdf</x:v>
      </x:c>
      <x:c r="J3" s="28" t="str">
        <x:v>The Art &amp; Science of Foodpairing.pdf: 297; Таблица сочетания(1).pdf: 1, 6; Тезариус вкусов (Ники Сегнит)(1).pdf: 47, 645</x:v>
      </x:c>
    </x:row>
    <x:row r="4" ht="44" customHeight="1">
      <x:c r="A4" s="28" t="str">
        <x:v>миндаль</x:v>
      </x:c>
      <x:c r="B4" s="28" t="n">
        <x:v>3</x:v>
      </x:c>
      <x:c r="C4" s="28" t="str">
        <x:v>абрикос</x:v>
      </x:c>
      <x:c r="D4" s="28" t="n">
        <x:v>10</x:v>
      </x:c>
      <x:c r="E4" s="28" t="str">
        <x:v>Высокая</x:v>
      </x:c>
      <x:c r="F4" s="28" t="n">
        <x:v>2</x:v>
      </x:c>
      <x:c r="G4" s="28" t="str">
        <x:v>общие ароматические соединения, контраст кислоты и жирной/горькой матрицы</x:v>
      </x:c>
      <x:c r="H4" s="28" t="str">
        <x:v>пралине, паста, выпечка, гарнир, соус, молочный или коктейльный компонент с абрикос</x:v>
      </x:c>
      <x:c r="I4" s="28" t="str">
        <x:v>Таблица сочетания(1).pdf | Тезариус вкусов (Ники Сегнит)(1).pdf</x:v>
      </x:c>
      <x:c r="J4" s="28" t="str">
        <x:v>Таблица сочетания(1).pdf: 1; Тезариус вкусов (Ники Сегнит)(1).pdf: 641, 743</x:v>
      </x:c>
    </x:row>
    <x:row r="5" ht="44" customHeight="1">
      <x:c r="A5" s="28" t="str">
        <x:v>миндаль</x:v>
      </x:c>
      <x:c r="B5" s="28" t="n">
        <x:v>4</x:v>
      </x:c>
      <x:c r="C5" s="28" t="str">
        <x:v>банан</x:v>
      </x:c>
      <x:c r="D5" s="28" t="n">
        <x:v>10</x:v>
      </x:c>
      <x:c r="E5" s="28" t="str">
        <x:v>Высокая</x:v>
      </x:c>
      <x:c r="F5" s="28" t="n">
        <x:v>2</x:v>
      </x:c>
      <x:c r="G5" s="28" t="str">
        <x:v>контраст кислоты и жирной/горькой матрицы</x:v>
      </x:c>
      <x:c r="H5" s="28" t="str">
        <x:v>пралине, паста, выпечка, гарнир, соус, молочный или коктейльный компонент с банан</x:v>
      </x:c>
      <x:c r="I5" s="28" t="str">
        <x:v>The Art &amp; Science of Foodpairing.pdf | Тезариус вкусов (Ники Сегнит)(1).pdf</x:v>
      </x:c>
      <x:c r="J5" s="28" t="str">
        <x:v>The Art &amp; Science of Foodpairing.pdf: 342, 343; Тезариус вкусов (Ники Сегнит)(1).pdf: 642, 733</x:v>
      </x:c>
    </x:row>
    <x:row r="6" ht="44" customHeight="1">
      <x:c r="A6" s="28" t="str">
        <x:v>миндаль</x:v>
      </x:c>
      <x:c r="B6" s="28" t="n">
        <x:v>5</x:v>
      </x:c>
      <x:c r="C6" s="28" t="str">
        <x:v>вишня</x:v>
      </x:c>
      <x:c r="D6" s="28" t="n">
        <x:v>10</x:v>
      </x:c>
      <x:c r="E6" s="28" t="str">
        <x:v>Высокая</x:v>
      </x:c>
      <x:c r="F6" s="28" t="n">
        <x:v>2</x:v>
      </x:c>
      <x:c r="G6" s="28" t="str">
        <x:v>общие ароматические соединения, контраст кислоты и жирной/горькой матрицы</x:v>
      </x:c>
      <x:c r="H6" s="28" t="str">
        <x:v>пралине, паста, выпечка, гарнир, соус, молочный или коктейльный компонент с вишня</x:v>
      </x:c>
      <x:c r="I6" s="28" t="str">
        <x:v>Таблица сочетания(1).pdf | Тезариус вкусов (Ники Сегнит)(1).pdf</x:v>
      </x:c>
      <x:c r="J6" s="28" t="str">
        <x:v>Таблица сочетания(1).pdf: 1; Тезариус вкусов (Ники Сегнит)(1).pdf: 642, 655</x:v>
      </x:c>
    </x:row>
    <x:row r="7" ht="44" customHeight="1">
      <x:c r="A7" s="28" t="str">
        <x:v>миндаль</x:v>
      </x:c>
      <x:c r="B7" s="28" t="n">
        <x:v>6</x:v>
      </x:c>
      <x:c r="C7" s="28" t="str">
        <x:v>имбирь</x:v>
      </x:c>
      <x:c r="D7" s="28" t="n">
        <x:v>10</x:v>
      </x:c>
      <x:c r="E7" s="28" t="str">
        <x:v>Высокая</x:v>
      </x:c>
      <x:c r="F7" s="28" t="n">
        <x:v>2</x:v>
      </x:c>
      <x:c r="G7" s="28" t="str">
        <x:v>сенсорная комплементарность</x:v>
      </x:c>
      <x:c r="H7" s="28" t="str">
        <x:v>пралине, паста, выпечка, гарнир, соус, молочный или коктейльный компонент с имбирь</x:v>
      </x:c>
      <x:c r="I7" s="28" t="str">
        <x:v>Таблица сочетания(1).pdf | Тезариус вкусов (Ники Сегнит)(1).pdf</x:v>
      </x:c>
      <x:c r="J7" s="28" t="str">
        <x:v>Таблица сочетания(1).pdf: 8; Тезариус вкусов (Ники Сегнит)(1).pdf: 643, 818</x:v>
      </x:c>
    </x:row>
    <x:row r="8" ht="44" customHeight="1">
      <x:c r="A8" s="28" t="str">
        <x:v>миндаль</x:v>
      </x:c>
      <x:c r="B8" s="28" t="n">
        <x:v>7</x:v>
      </x:c>
      <x:c r="C8" s="28" t="str">
        <x:v>инжир</x:v>
      </x:c>
      <x:c r="D8" s="28" t="n">
        <x:v>10</x:v>
      </x:c>
      <x:c r="E8" s="28" t="str">
        <x:v>Высокая</x:v>
      </x:c>
      <x:c r="F8" s="28" t="n">
        <x:v>2</x:v>
      </x:c>
      <x:c r="G8" s="28" t="str">
        <x:v>контраст кислоты и жирной/горькой матрицы</x:v>
      </x:c>
      <x:c r="H8" s="28" t="str">
        <x:v>пралине, паста, выпечка, гарнир, соус, молочный или коктейльный компонент с инжир</x:v>
      </x:c>
      <x:c r="I8" s="28" t="str">
        <x:v>Таблица сочетания(1).pdf | Тезариус вкусов (Ники Сегнит)(1).pdf</x:v>
      </x:c>
      <x:c r="J8" s="28" t="str">
        <x:v>Таблица сочетания(1).pdf: 1; Тезариус вкусов (Ники Сегнит)(1).pdf: 644, 894</x:v>
      </x:c>
    </x:row>
    <x:row r="9" ht="44" customHeight="1">
      <x:c r="A9" s="28" t="str">
        <x:v>миндаль</x:v>
      </x:c>
      <x:c r="B9" s="28" t="n">
        <x:v>8</x:v>
      </x:c>
      <x:c r="C9" s="28" t="str">
        <x:v>кардамон</x:v>
      </x:c>
      <x:c r="D9" s="28" t="n">
        <x:v>10</x:v>
      </x:c>
      <x:c r="E9" s="28" t="str">
        <x:v>Высокая</x:v>
      </x:c>
      <x:c r="F9" s="28" t="n">
        <x:v>2</x:v>
      </x:c>
      <x:c r="G9" s="28" t="str">
        <x:v>сенсорная комплементарность</x:v>
      </x:c>
      <x:c r="H9" s="28" t="str">
        <x:v>пралине, паста, выпечка, гарнир, соус, молочный или коктейльный компонент с кардамон</x:v>
      </x:c>
      <x:c r="I9" s="28" t="str">
        <x:v>Таблица сочетания(1).pdf | Тезариус вкусов (Ники Сегнит)(1).pdf</x:v>
      </x:c>
      <x:c r="J9" s="28" t="str">
        <x:v>Таблица сочетания(1).pdf: 1; Тезариус вкусов (Ники Сегнит)(1).pdf: 644, 829</x:v>
      </x:c>
    </x:row>
    <x:row r="10" ht="44" customHeight="1">
      <x:c r="A10" s="28" t="str">
        <x:v>миндаль</x:v>
      </x:c>
      <x:c r="B10" s="28" t="n">
        <x:v>9</x:v>
      </x:c>
      <x:c r="C10" s="28" t="str">
        <x:v>клубника</x:v>
      </x:c>
      <x:c r="D10" s="28" t="n">
        <x:v>10</x:v>
      </x:c>
      <x:c r="E10" s="28" t="str">
        <x:v>Высокая</x:v>
      </x:c>
      <x:c r="F10" s="28" t="n">
        <x:v>2</x:v>
      </x:c>
      <x:c r="G10" s="28" t="str">
        <x:v>сенсорная комплементарность</x:v>
      </x:c>
      <x:c r="H10" s="28" t="str">
        <x:v>пралине, паста, выпечка, гарнир, соус, молочный или коктейльный компонент с клубника</x:v>
      </x:c>
      <x:c r="I10" s="28" t="str">
        <x:v>Таблица сочетания(1).pdf | Тезариус вкусов (Ники Сегнит)(1).pdf</x:v>
      </x:c>
      <x:c r="J10" s="28" t="str">
        <x:v>Таблица сочетания(1).pdf: 20; Тезариус вкусов (Ники Сегнит)(1).pdf: 644, 696</x:v>
      </x:c>
    </x:row>
    <x:row r="11" ht="44" customHeight="1">
      <x:c r="A11" s="28" t="str">
        <x:v>миндаль</x:v>
      </x:c>
      <x:c r="B11" s="28" t="n">
        <x:v>10</x:v>
      </x:c>
      <x:c r="C11" s="28" t="str">
        <x:v>кокос</x:v>
      </x:c>
      <x:c r="D11" s="28" t="n">
        <x:v>10</x:v>
      </x:c>
      <x:c r="E11" s="28" t="str">
        <x:v>Высокая</x:v>
      </x:c>
      <x:c r="F11" s="28" t="n">
        <x:v>2</x:v>
      </x:c>
      <x:c r="G11" s="28" t="str">
        <x:v>сенсорная комплементарность</x:v>
      </x:c>
      <x:c r="H11" s="28" t="str">
        <x:v>пралине, паста, выпечка, гарнир, соус, молочный или коктейльный компонент с кокос</x:v>
      </x:c>
      <x:c r="I11" s="28" t="str">
        <x:v>The Art &amp; Science of Foodpairing.pdf | Тезариус вкусов (Ники Сегнит)(1).pdf</x:v>
      </x:c>
      <x:c r="J11" s="28" t="str">
        <x:v>The Art &amp; Science of Foodpairing.pdf: 134, 135; Тезариус вкусов (Ники Сегнит)(1).pdf: 644, 759</x:v>
      </x:c>
    </x:row>
    <x:row r="12" ht="44" customHeight="1">
      <x:c r="A12" s="28" t="str">
        <x:v>миндаль</x:v>
      </x:c>
      <x:c r="B12" s="28" t="n">
        <x:v>11</x:v>
      </x:c>
      <x:c r="C12" s="28" t="str">
        <x:v>корица</x:v>
      </x:c>
      <x:c r="D12" s="28" t="n">
        <x:v>10</x:v>
      </x:c>
      <x:c r="E12" s="28" t="str">
        <x:v>Высокая</x:v>
      </x:c>
      <x:c r="F12" s="28" t="n">
        <x:v>2</x:v>
      </x:c>
      <x:c r="G12" s="28" t="str">
        <x:v>сенсорная комплементарность</x:v>
      </x:c>
      <x:c r="H12" s="28" t="str">
        <x:v>пралине, паста, выпечка, гарнир, соус, молочный или коктейльный компонент с корица</x:v>
      </x:c>
      <x:c r="I12" s="28" t="str">
        <x:v>Таблица сочетания(1).pdf | Тезариус вкусов (Ники Сегнит)(1).pdf</x:v>
      </x:c>
      <x:c r="J12" s="28" t="str">
        <x:v>Таблица сочетания(1).pdf: 1, 5; Тезариус вкусов (Ники Сегнит)(1).pdf: 577</x:v>
      </x:c>
    </x:row>
    <x:row r="13" ht="44" customHeight="1">
      <x:c r="A13" s="28" t="str">
        <x:v>миндаль</x:v>
      </x:c>
      <x:c r="B13" s="28" t="n">
        <x:v>12</x:v>
      </x:c>
      <x:c r="C13" s="28" t="str">
        <x:v>лимон</x:v>
      </x:c>
      <x:c r="D13" s="28" t="n">
        <x:v>10</x:v>
      </x:c>
      <x:c r="E13" s="28" t="str">
        <x:v>Высокая</x:v>
      </x:c>
      <x:c r="F13" s="28" t="n">
        <x:v>2</x:v>
      </x:c>
      <x:c r="G13" s="28" t="str">
        <x:v>контраст кислоты и жирной/горькой матрицы</x:v>
      </x:c>
      <x:c r="H13" s="28" t="str">
        <x:v>пралине, паста, выпечка, гарнир, соус, молочный или коктейльный компонент с лимон</x:v>
      </x:c>
      <x:c r="I13" s="28" t="str">
        <x:v>Таблица сочетания(1).pdf | Тезариус вкусов (Ники Сегнит)(1).pdf</x:v>
      </x:c>
      <x:c r="J13" s="28" t="str">
        <x:v>Таблица сочетания(1).pdf: 11; Тезариус вкусов (Ники Сегнит)(1).pdf: 645, 805</x:v>
      </x:c>
    </x:row>
    <x:row r="14" ht="44" customHeight="1">
      <x:c r="A14" s="28" t="str">
        <x:v>миндаль</x:v>
      </x:c>
      <x:c r="B14" s="28" t="n">
        <x:v>13</x:v>
      </x:c>
      <x:c r="C14" s="28" t="str">
        <x:v>персик</x:v>
      </x:c>
      <x:c r="D14" s="28" t="n">
        <x:v>10</x:v>
      </x:c>
      <x:c r="E14" s="28" t="str">
        <x:v>Высокая</x:v>
      </x:c>
      <x:c r="F14" s="28" t="n">
        <x:v>2</x:v>
      </x:c>
      <x:c r="G14" s="28" t="str">
        <x:v>контраст кислоты и жирной/горькой матрицы</x:v>
      </x:c>
      <x:c r="H14" s="28" t="str">
        <x:v>пралине, паста, выпечка, гарнир, соус, молочный или коктейльный компонент с персик</x:v>
      </x:c>
      <x:c r="I14" s="28" t="str">
        <x:v>Таблица сочетания(1).pdf | Тезариус вкусов (Ники Сегнит)(1).pdf</x:v>
      </x:c>
      <x:c r="J14" s="28" t="str">
        <x:v>Таблица сочетания(1).pdf: 1, 15; Тезариус вкусов (Ники Сегнит)(1).pdf: 646, 751</x:v>
      </x:c>
    </x:row>
    <x:row r="15" ht="44" customHeight="1">
      <x:c r="A15" s="28" t="str">
        <x:v>миндаль</x:v>
      </x:c>
      <x:c r="B15" s="28" t="n">
        <x:v>14</x:v>
      </x:c>
      <x:c r="C15" s="28" t="str">
        <x:v>шоколад</x:v>
      </x:c>
      <x:c r="D15" s="28" t="n">
        <x:v>10</x:v>
      </x:c>
      <x:c r="E15" s="28" t="str">
        <x:v>Высокая</x:v>
      </x:c>
      <x:c r="F15" s="28" t="n">
        <x:v>2</x:v>
      </x:c>
      <x:c r="G15" s="28" t="str">
        <x:v>общие ароматические соединения, пересечение ароматических семейств, жареная химия и реакции Майяра</x:v>
      </x:c>
      <x:c r="H15" s="28" t="str">
        <x:v>пралине, паста, выпечка, гарнир, соус, молочный или коктейльный компонент с шоколад</x:v>
      </x:c>
      <x:c r="I15" s="28" t="str">
        <x:v>Таблица сочетания(1).pdf | Тезариус вкусов (Ники Сегнит)(1).pdf</x:v>
      </x:c>
      <x:c r="J15" s="28" t="str">
        <x:v>Таблица сочетания(1).pdf: 5; Тезариус вкусов (Ники Сегнит)(1).pdf: 33, 650</x:v>
      </x:c>
    </x:row>
    <x:row r="16" ht="44" customHeight="1">
      <x:c r="A16" s="28" t="str">
        <x:v>миндаль</x:v>
      </x:c>
      <x:c r="B16" s="28" t="n">
        <x:v>15</x:v>
      </x:c>
      <x:c r="C16" s="28" t="str">
        <x:v>duck</x:v>
      </x:c>
      <x:c r="D16" s="28" t="n">
        <x:v>6</x:v>
      </x:c>
      <x:c r="E16" s="28" t="str">
        <x:v>Высокая</x:v>
      </x:c>
      <x:c r="F16" s="28" t="n">
        <x:v>1</x:v>
      </x:c>
      <x:c r="G16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H16" s="28" t="str">
        <x:v>пралине, паста, выпечка, гарнир, соус, молочный или коктейльный компонент с duck</x:v>
      </x:c>
      <x:c r="I16" s="28" t="str">
        <x:v>The Art &amp; Science of Foodpairing.pdf</x:v>
      </x:c>
      <x:c r="J16" s="28" t="str">
        <x:v>The Art &amp; Science of Foodpairing.pdf: 346</x:v>
      </x:c>
    </x:row>
    <x:row r="17" ht="44" customHeight="1">
      <x:c r="A17" s="28" t="str">
        <x:v>миндаль</x:v>
      </x:c>
      <x:c r="B17" s="28" t="n">
        <x:v>16</x:v>
      </x:c>
      <x:c r="C17" s="28" t="str">
        <x:v>анис</x:v>
      </x:c>
      <x:c r="D17" s="28" t="n">
        <x:v>6</x:v>
      </x:c>
      <x:c r="E17" s="28" t="str">
        <x:v>Средняя</x:v>
      </x:c>
      <x:c r="F17" s="28" t="n">
        <x:v>1</x:v>
      </x:c>
      <x:c r="G17" s="28" t="str">
        <x:v>сенсорная комплементарность</x:v>
      </x:c>
      <x:c r="H17" s="28" t="str">
        <x:v>пралине, паста, выпечка, гарнир, соус, молочный или коктейльный компонент с анис</x:v>
      </x:c>
      <x:c r="I17" s="28" t="str">
        <x:v>Тезариус вкусов (Ники Сегнит)(1).pdf</x:v>
      </x:c>
      <x:c r="J17" s="28" t="str">
        <x:v>Тезариус вкусов (Ники Сегнит)(1).pdf: 485, 642</x:v>
      </x:c>
    </x:row>
    <x:row r="18" ht="44" customHeight="1">
      <x:c r="A18" s="28" t="str">
        <x:v>миндаль</x:v>
      </x:c>
      <x:c r="B18" s="28" t="n">
        <x:v>17</x:v>
      </x:c>
      <x:c r="C18" s="28" t="str">
        <x:v>апельсин</x:v>
      </x:c>
      <x:c r="D18" s="28" t="n">
        <x:v>6</x:v>
      </x:c>
      <x:c r="E18" s="28" t="str">
        <x:v>Средняя</x:v>
      </x:c>
      <x:c r="F18" s="28" t="n">
        <x:v>1</x:v>
      </x:c>
      <x:c r="G18" s="28" t="str">
        <x:v>контраст кислоты и жирной/горькой матрицы</x:v>
      </x:c>
      <x:c r="H18" s="28" t="str">
        <x:v>пралине, паста, выпечка, гарнир, соус, молочный или коктейльный компонент с апельсин</x:v>
      </x:c>
      <x:c r="I18" s="28" t="str">
        <x:v>Тезариус вкусов (Ники Сегнит)(1).pdf</x:v>
      </x:c>
      <x:c r="J18" s="28" t="str">
        <x:v>Тезариус вкусов (Ники Сегнит)(1).pdf: 642, 777</x:v>
      </x:c>
    </x:row>
    <x:row r="19" ht="44" customHeight="1">
      <x:c r="A19" s="28" t="str">
        <x:v>миндаль</x:v>
      </x:c>
      <x:c r="B19" s="28" t="n">
        <x:v>18</x:v>
      </x:c>
      <x:c r="C19" s="28" t="str">
        <x:v>баранина</x:v>
      </x:c>
      <x:c r="D19" s="28" t="n">
        <x:v>6</x:v>
      </x:c>
      <x:c r="E19" s="28" t="str">
        <x:v>Средняя</x:v>
      </x:c>
      <x:c r="F19" s="28" t="n">
        <x:v>1</x:v>
      </x:c>
      <x:c r="G19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H19" s="28" t="str">
        <x:v>пралине, паста, выпечка, гарнир, соус, молочный или коктейльный компонент с баранина</x:v>
      </x:c>
      <x:c r="I19" s="28" t="str">
        <x:v>Тезариус вкусов (Ники Сегнит)(1).pdf</x:v>
      </x:c>
      <x:c r="J19" s="28" t="str">
        <x:v>Тезариус вкусов (Ники Сегнит)(1).pdf: 130, 642</x:v>
      </x:c>
    </x:row>
    <x:row r="20" ht="44" customHeight="1">
      <x:c r="A20" s="28" t="str">
        <x:v>миндаль</x:v>
      </x:c>
      <x:c r="B20" s="28" t="n">
        <x:v>19</x:v>
      </x:c>
      <x:c r="C20" s="28" t="str">
        <x:v>белый шоколад</x:v>
      </x:c>
      <x:c r="D20" s="28" t="n">
        <x:v>6</x:v>
      </x:c>
      <x:c r="E20" s="28" t="str">
        <x:v>Средняя</x:v>
      </x:c>
      <x:c r="F20" s="28" t="n">
        <x:v>1</x:v>
      </x:c>
      <x:c r="G20" s="28" t="str">
        <x:v>жареная химия и реакции Майяра</x:v>
      </x:c>
      <x:c r="H20" s="28" t="str">
        <x:v>пралине, паста, выпечка, гарнир, соус, молочный или коктейльный компонент с белый шоколад</x:v>
      </x:c>
      <x:c r="I20" s="28" t="str">
        <x:v>Тезариус вкусов (Ники Сегнит)(1).pdf</x:v>
      </x:c>
      <x:c r="J20" s="28" t="str">
        <x:v>Тезариус вкусов (Ники Сегнит)(1).pdf: 642, 925</x:v>
      </x:c>
    </x:row>
    <x:row r="21" ht="44" customHeight="1">
      <x:c r="A21" s="28" t="str">
        <x:v>миндаль</x:v>
      </x:c>
      <x:c r="B21" s="28" t="n">
        <x:v>20</x:v>
      </x:c>
      <x:c r="C21" s="28" t="str">
        <x:v>виноград</x:v>
      </x:c>
      <x:c r="D21" s="28" t="n">
        <x:v>6</x:v>
      </x:c>
      <x:c r="E21" s="28" t="str">
        <x:v>Средняя</x:v>
      </x:c>
      <x:c r="F21" s="28" t="n">
        <x:v>1</x:v>
      </x:c>
      <x:c r="G21" s="28" t="str">
        <x:v>сенсорная комплементарность</x:v>
      </x:c>
      <x:c r="H21" s="28" t="str">
        <x:v>пралине, паста, выпечка, гарнир, соус, молочный или коктейльный компонент с виноград</x:v>
      </x:c>
      <x:c r="I21" s="28" t="str">
        <x:v>Тезариус вкусов (Ники Сегнит)(1).pdf</x:v>
      </x:c>
      <x:c r="J21" s="28" t="str">
        <x:v>Тезариус вкусов (Ники Сегнит)(1).pdf: 642, 667</x:v>
      </x:c>
    </x:row>
    <x:row r="22" ht="44" customHeight="1">
      <x:c r="A22" s="28" t="str">
        <x:v>фундук</x:v>
      </x:c>
      <x:c r="B22" s="28" t="n">
        <x:v>1</x:v>
      </x:c>
      <x:c r="C22" s="28" t="str">
        <x:v>шоколад</x:v>
      </x:c>
      <x:c r="D22" s="28" t="n">
        <x:v>12</x:v>
      </x:c>
      <x:c r="E22" s="28" t="str">
        <x:v>Высокая</x:v>
      </x:c>
      <x:c r="F22" s="28" t="n">
        <x:v>3</x:v>
      </x:c>
      <x:c r="G22" s="28" t="str">
        <x:v>общие ароматические соединения, пересечение ароматических семейств, жареная химия и реакции Майяра</x:v>
      </x:c>
      <x:c r="H22" s="28" t="str">
        <x:v>пралине, паста, выпечка, гарнир, соус, молочный или коктейльный компонент с шоколад</x:v>
      </x:c>
      <x:c r="I22" s="28" t="str">
        <x:v>The Art &amp; Science of Foodpairing.pdf | Таблица сочетания(1).pdf | Тезариус вкусов (Ники Сегнит)(1).pdf</x:v>
      </x:c>
      <x:c r="J22" s="28" t="str">
        <x:v>The Art &amp; Science of Foodpairing.pdf: 332; Таблица сочетания(1).pdf: 5; Тезариус вкусов (Ники Сегнит)(1).pdf: 36, 639</x:v>
      </x:c>
    </x:row>
    <x:row r="23" ht="44" customHeight="1">
      <x:c r="A23" s="28" t="str">
        <x:v>фундук</x:v>
      </x:c>
      <x:c r="B23" s="28" t="n">
        <x:v>2</x:v>
      </x:c>
      <x:c r="C23" s="28" t="str">
        <x:v>банан</x:v>
      </x:c>
      <x:c r="D23" s="28" t="n">
        <x:v>10</x:v>
      </x:c>
      <x:c r="E23" s="28" t="str">
        <x:v>Высокая</x:v>
      </x:c>
      <x:c r="F23" s="28" t="n">
        <x:v>2</x:v>
      </x:c>
      <x:c r="G23" s="28" t="str">
        <x:v>контраст кислоты и жирной/горькой матрицы</x:v>
      </x:c>
      <x:c r="H23" s="28" t="str">
        <x:v>пралине, паста, выпечка, гарнир, соус, молочный или коктейльный компонент с банан</x:v>
      </x:c>
      <x:c r="I23" s="28" t="str">
        <x:v>Таблица сочетания(1).pdf | Тезариус вкусов (Ники Сегнит)(1).pdf</x:v>
      </x:c>
      <x:c r="J23" s="28" t="str">
        <x:v>Таблица сочетания(1).pdf: 2; Тезариус вкусов (Ники Сегнит)(1).pdf: 632, 734</x:v>
      </x:c>
    </x:row>
    <x:row r="24" ht="44" customHeight="1">
      <x:c r="A24" s="28" t="str">
        <x:v>фундук</x:v>
      </x:c>
      <x:c r="B24" s="28" t="n">
        <x:v>3</x:v>
      </x:c>
      <x:c r="C24" s="28" t="str">
        <x:v>груша</x:v>
      </x:c>
      <x:c r="D24" s="28" t="n">
        <x:v>10</x:v>
      </x:c>
      <x:c r="E24" s="28" t="str">
        <x:v>Высокая</x:v>
      </x:c>
      <x:c r="F24" s="28" t="n">
        <x:v>2</x:v>
      </x:c>
      <x:c r="G24" s="28" t="str">
        <x:v>общие ароматические соединения, контраст кислоты и жирной/горькой матрицы</x:v>
      </x:c>
      <x:c r="H24" s="28" t="str">
        <x:v>пралине, паста, выпечка, гарнир, соус, молочный или коктейльный компонент с груша</x:v>
      </x:c>
      <x:c r="I24" s="28" t="str">
        <x:v>Таблица сочетания(1).pdf | Тезариус вкусов (Ники Сегнит)(1).pdf</x:v>
      </x:c>
      <x:c r="J24" s="28" t="str">
        <x:v>Таблица сочетания(1).pdf: 16; Тезариус вкусов (Ники Сегнит)(1).pdf: 634, 727</x:v>
      </x:c>
    </x:row>
    <x:row r="25" ht="44" customHeight="1">
      <x:c r="A25" s="28" t="str">
        <x:v>фундук</x:v>
      </x:c>
      <x:c r="B25" s="28" t="n">
        <x:v>4</x:v>
      </x:c>
      <x:c r="C25" s="28" t="str">
        <x:v>инжир</x:v>
      </x:c>
      <x:c r="D25" s="28" t="n">
        <x:v>10</x:v>
      </x:c>
      <x:c r="E25" s="28" t="str">
        <x:v>Высокая</x:v>
      </x:c>
      <x:c r="F25" s="28" t="n">
        <x:v>2</x:v>
      </x:c>
      <x:c r="G25" s="28" t="str">
        <x:v>общие ароматические соединения, контраст кислоты и жирной/горькой матрицы</x:v>
      </x:c>
      <x:c r="H25" s="28" t="str">
        <x:v>пралине, паста, выпечка, гарнир, соус, молочный или коктейльный компонент с инжир</x:v>
      </x:c>
      <x:c r="I25" s="28" t="str">
        <x:v>Таблица сочетания(1).pdf | Тезариус вкусов (Ники Сегнит)(1).pdf</x:v>
      </x:c>
      <x:c r="J25" s="28" t="str">
        <x:v>Таблица сочетания(1).pdf: 8; Тезариус вкусов (Ники Сегнит)(1).pdf: 634, 896</x:v>
      </x:c>
    </x:row>
    <x:row r="26" ht="44" customHeight="1">
      <x:c r="A26" s="28" t="str">
        <x:v>фундук</x:v>
      </x:c>
      <x:c r="B26" s="28" t="n">
        <x:v>5</x:v>
      </x:c>
      <x:c r="C26" s="28" t="str">
        <x:v>клубника</x:v>
      </x:c>
      <x:c r="D26" s="28" t="n">
        <x:v>10</x:v>
      </x:c>
      <x:c r="E26" s="28" t="str">
        <x:v>Высокая</x:v>
      </x:c>
      <x:c r="F26" s="28" t="n">
        <x:v>2</x:v>
      </x:c>
      <x:c r="G26" s="28" t="str">
        <x:v>сенсорная комплементарность</x:v>
      </x:c>
      <x:c r="H26" s="28" t="str">
        <x:v>пралине, паста, выпечка, гарнир, соус, молочный или коктейльный компонент с клубника</x:v>
      </x:c>
      <x:c r="I26" s="28" t="str">
        <x:v>Таблица сочетания(1).pdf | Тезариус вкусов (Ники Сегнит)(1).pdf</x:v>
      </x:c>
      <x:c r="J26" s="28" t="str">
        <x:v>Таблица сочетания(1).pdf: 20; Тезариус вкусов (Ники Сегнит)(1).pdf: 635, 698</x:v>
      </x:c>
    </x:row>
    <x:row r="27" ht="44" customHeight="1">
      <x:c r="A27" s="28" t="str">
        <x:v>фундук</x:v>
      </x:c>
      <x:c r="B27" s="28" t="n">
        <x:v>6</x:v>
      </x:c>
      <x:c r="C27" s="28" t="str">
        <x:v>кофе</x:v>
      </x:c>
      <x:c r="D27" s="28" t="n">
        <x:v>10</x:v>
      </x:c>
      <x:c r="E27" s="28" t="str">
        <x:v>Высокая</x:v>
      </x:c>
      <x:c r="F27" s="28" t="n">
        <x:v>2</x:v>
      </x:c>
      <x:c r="G27" s="28" t="str">
        <x:v>общие ароматические соединения, пересечение ароматических семейств, жареная химия и реакции Майяра</x:v>
      </x:c>
      <x:c r="H27" s="28" t="str">
        <x:v>пралине, паста, выпечка, гарнир, соус, молочный или коктейльный компонент с кофе</x:v>
      </x:c>
      <x:c r="I27" s="28" t="str">
        <x:v>Таблица сочетания(1).pdf | Тезариус вкусов (Ники Сегнит)(1).pdf</x:v>
      </x:c>
      <x:c r="J27" s="28" t="str">
        <x:v>Таблица сочетания(1).pdf: 6; Тезариус вкусов (Ники Сегнит)(1).pdf: 47, 635</x:v>
      </x:c>
    </x:row>
    <x:row r="28" ht="44" customHeight="1">
      <x:c r="A28" s="28" t="str">
        <x:v>фундук</x:v>
      </x:c>
      <x:c r="B28" s="28" t="n">
        <x:v>7</x:v>
      </x:c>
      <x:c r="C28" s="28" t="str">
        <x:v>малина</x:v>
      </x:c>
      <x:c r="D28" s="28" t="n">
        <x:v>10</x:v>
      </x:c>
      <x:c r="E28" s="28" t="str">
        <x:v>Высокая</x:v>
      </x:c>
      <x:c r="F28" s="28" t="n">
        <x:v>2</x:v>
      </x:c>
      <x:c r="G28" s="28" t="str">
        <x:v>сенсорная комплементарность</x:v>
      </x:c>
      <x:c r="H28" s="28" t="str">
        <x:v>пралине, паста, выпечка, гарнир, соус, молочный или коктейльный компонент с малина</x:v>
      </x:c>
      <x:c r="I28" s="28" t="str">
        <x:v>The Art &amp; Science of Foodpairing.pdf | Тезариус вкусов (Ники Сегнит)(1).pdf</x:v>
      </x:c>
      <x:c r="J28" s="28" t="str">
        <x:v>The Art &amp; Science of Foodpairing.pdf: 332; Тезариус вкусов (Ники Сегнит)(1).pdf: 635, 889</x:v>
      </x:c>
    </x:row>
    <x:row r="29" ht="44" customHeight="1">
      <x:c r="A29" s="28" t="str">
        <x:v>фундук</x:v>
      </x:c>
      <x:c r="B29" s="28" t="n">
        <x:v>8</x:v>
      </x:c>
      <x:c r="C29" s="28" t="str">
        <x:v>яблоко</x:v>
      </x:c>
      <x:c r="D29" s="28" t="n">
        <x:v>10</x:v>
      </x:c>
      <x:c r="E29" s="28" t="str">
        <x:v>Высокая</x:v>
      </x:c>
      <x:c r="F29" s="28" t="n">
        <x:v>2</x:v>
      </x:c>
      <x:c r="G29" s="28" t="str">
        <x:v>общие ароматические соединения, контраст кислоты и жирной/горькой матрицы</x:v>
      </x:c>
      <x:c r="H29" s="28" t="str">
        <x:v>пралине, паста, выпечка, гарнир, соус, молочный или коктейльный компонент с яблоко</x:v>
      </x:c>
      <x:c r="I29" s="28" t="str">
        <x:v>Таблица сочетания(1).pdf | Тезариус вкусов (Ники Сегнит)(1).pdf</x:v>
      </x:c>
      <x:c r="J29" s="28" t="str">
        <x:v>Таблица сочетания(1).pdf: 1; Тезариус вкусов (Ники Сегнит)(1).pdf: 639, 717</x:v>
      </x:c>
    </x:row>
    <x:row r="30" ht="44" customHeight="1">
      <x:c r="A30" s="28" t="str">
        <x:v>фундук</x:v>
      </x:c>
      <x:c r="B30" s="28" t="n">
        <x:v>9</x:v>
      </x:c>
      <x:c r="C30" s="28" t="str">
        <x:v>клюква</x:v>
      </x:c>
      <x:c r="D30" s="28" t="n">
        <x:v>9</x:v>
      </x:c>
      <x:c r="E30" s="28" t="str">
        <x:v>Высокая</x:v>
      </x:c>
      <x:c r="F30" s="28" t="n">
        <x:v>2</x:v>
      </x:c>
      <x:c r="G30" s="28" t="str">
        <x:v>сенсорная комплементарность</x:v>
      </x:c>
      <x:c r="H30" s="28" t="str">
        <x:v>пралине, паста, выпечка, гарнир, соус, молочный или коктейльный компонент с клюква</x:v>
      </x:c>
      <x:c r="I30" s="28" t="str">
        <x:v>The Art &amp; Science of Foodpairing.pdf | Таблица сочетания(1).pdf</x:v>
      </x:c>
      <x:c r="J30" s="28" t="str">
        <x:v>The Art &amp; Science of Foodpairing.pdf: 332; Таблица сочетания(1).pdf: 6</x:v>
      </x:c>
    </x:row>
    <x:row r="31" ht="44" customHeight="1">
      <x:c r="A31" s="28" t="str">
        <x:v>фундук</x:v>
      </x:c>
      <x:c r="B31" s="28" t="n">
        <x:v>10</x:v>
      </x:c>
      <x:c r="C31" s="28" t="str">
        <x:v>картофель фри</x:v>
      </x:c>
      <x:c r="D31" s="28" t="n">
        <x:v>7</x:v>
      </x:c>
      <x:c r="E31" s="28" t="str">
        <x:v>Средняя</x:v>
      </x:c>
      <x:c r="F31" s="28" t="n">
        <x:v>1</x:v>
      </x:c>
      <x:c r="G31" s="28" t="str">
        <x:v>общие ароматические соединения</x:v>
      </x:c>
      <x:c r="H31" s="28" t="str">
        <x:v>пралине, паста, выпечка, гарнир, соус, молочный или коктейльный компонент с картофель фри</x:v>
      </x:c>
      <x:c r="I31" s="28" t="str">
        <x:v>The Art &amp; Science of Foodpairing.pdf</x:v>
      </x:c>
      <x:c r="J31" s="28" t="str">
        <x:v>The Art &amp; Science of Foodpairing.pdf: 196, 332</x:v>
      </x:c>
    </x:row>
    <x:row r="32" ht="44" customHeight="1">
      <x:c r="A32" s="28" t="str">
        <x:v>фундук</x:v>
      </x:c>
      <x:c r="B32" s="28" t="n">
        <x:v>11</x:v>
      </x:c>
      <x:c r="C32" s="28" t="str">
        <x:v>обжаренный корень цикория</x:v>
      </x:c>
      <x:c r="D32" s="28" t="n">
        <x:v>7</x:v>
      </x:c>
      <x:c r="E32" s="28" t="str">
        <x:v>Высокая</x:v>
      </x:c>
      <x:c r="F32" s="28" t="n">
        <x:v>1</x:v>
      </x:c>
      <x:c r="G32" s="28" t="str">
        <x:v>сенсорная комплементарность</x:v>
      </x:c>
      <x:c r="H32" s="28" t="str">
        <x:v>пралине, паста, выпечка, гарнир, соус, молочный или коктейльный компонент с обжаренный корень цикория</x:v>
      </x:c>
      <x:c r="I32" s="28" t="str">
        <x:v>The Art &amp; Science of Foodpairing.pdf</x:v>
      </x:c>
      <x:c r="J32" s="28" t="str">
        <x:v>The Art &amp; Science of Foodpairing.pdf: 332</x:v>
      </x:c>
    </x:row>
    <x:row r="33" ht="44" customHeight="1">
      <x:c r="A33" s="28" t="str">
        <x:v>фундук</x:v>
      </x:c>
      <x:c r="B33" s="28" t="n">
        <x:v>12</x:v>
      </x:c>
      <x:c r="C33" s="28" t="str">
        <x:v>чеснок</x:v>
      </x:c>
      <x:c r="D33" s="28" t="n">
        <x:v>7</x:v>
      </x:c>
      <x:c r="E33" s="28" t="str">
        <x:v>Средняя</x:v>
      </x:c>
      <x:c r="F33" s="28" t="n">
        <x:v>1</x:v>
      </x:c>
      <x:c r="G33" s="28" t="str">
        <x:v>общие ароматические соединения</x:v>
      </x:c>
      <x:c r="H33" s="28" t="str">
        <x:v>пралине, паста, выпечка, гарнир, соус, молочный или коктейльный компонент с чеснок</x:v>
      </x:c>
      <x:c r="I33" s="28" t="str">
        <x:v>Тезариус вкусов (Ники Сегнит)(1).pdf</x:v>
      </x:c>
      <x:c r="J33" s="28" t="str">
        <x:v>Тезариус вкусов (Ники Сегнит)(1).pdf: 299, 377, 638</x:v>
      </x:c>
    </x:row>
    <x:row r="34" ht="44" customHeight="1">
      <x:c r="A34" s="28" t="str">
        <x:v>фундук</x:v>
      </x:c>
      <x:c r="B34" s="28" t="n">
        <x:v>13</x:v>
      </x:c>
      <x:c r="C34" s="28" t="str">
        <x:v>artichoke, ray wing</x:v>
      </x:c>
      <x:c r="D34" s="28" t="n">
        <x:v>6</x:v>
      </x:c>
      <x:c r="E34" s="28" t="str">
        <x:v>Высокая</x:v>
      </x:c>
      <x:c r="F34" s="28" t="n">
        <x:v>1</x:v>
      </x:c>
      <x:c r="G34" s="28" t="str">
        <x:v>общие ароматические соединения</x:v>
      </x:c>
      <x:c r="H34" s="28" t="str">
        <x:v>пралине, паста, выпечка, гарнир, соус, молочный или коктейльный компонент с artichoke, ray wing</x:v>
      </x:c>
      <x:c r="I34" s="28" t="str">
        <x:v>The Art &amp; Science of Foodpairing.pdf</x:v>
      </x:c>
      <x:c r="J34" s="28" t="str">
        <x:v>The Art &amp; Science of Foodpairing.pdf: 329</x:v>
      </x:c>
    </x:row>
    <x:row r="35" ht="44" customHeight="1">
      <x:c r="A35" s="28" t="str">
        <x:v>фундук</x:v>
      </x:c>
      <x:c r="B35" s="28" t="n">
        <x:v>14</x:v>
      </x:c>
      <x:c r="C35" s="28" t="str">
        <x:v>brie and camembert</x:v>
      </x:c>
      <x:c r="D35" s="28" t="n">
        <x:v>6</x:v>
      </x:c>
      <x:c r="E35" s="28" t="str">
        <x:v>Средняя</x:v>
      </x:c>
      <x:c r="F35" s="28" t="n">
        <x:v>1</x:v>
      </x:c>
      <x:c r="G35" s="28" t="str">
        <x:v>жировая экстракция и связывание полифенолов белком</x:v>
      </x:c>
      <x:c r="H35" s="28" t="str">
        <x:v>пралине, паста, выпечка, гарнир, соус, молочный или коктейльный компонент с brie and camembert</x:v>
      </x:c>
      <x:c r="I35" s="28" t="str">
        <x:v>The Art &amp; Science of Foodpairing.pdf</x:v>
      </x:c>
      <x:c r="J35" s="28" t="str">
        <x:v>The Art &amp; Science of Foodpairing.pdf: 336</x:v>
      </x:c>
    </x:row>
    <x:row r="36" ht="44" customHeight="1">
      <x:c r="A36" s="28" t="str">
        <x:v>фундук</x:v>
      </x:c>
      <x:c r="B36" s="28" t="n">
        <x:v>15</x:v>
      </x:c>
      <x:c r="C36" s="28" t="str">
        <x:v>chilli peppers</x:v>
      </x:c>
      <x:c r="D36" s="28" t="n">
        <x:v>6</x:v>
      </x:c>
      <x:c r="E36" s="28" t="str">
        <x:v>Средняя</x:v>
      </x:c>
      <x:c r="F36" s="28" t="n">
        <x:v>1</x:v>
      </x:c>
      <x:c r="G36" s="28" t="str">
        <x:v>сенсорная комплементарность</x:v>
      </x:c>
      <x:c r="H36" s="28" t="str">
        <x:v>пралине, паста, выпечка, гарнир, соус, молочный или коктейльный компонент с chilli peppers</x:v>
      </x:c>
      <x:c r="I36" s="28" t="str">
        <x:v>The Art &amp; Science of Foodpairing.pdf</x:v>
      </x:c>
      <x:c r="J36" s="28" t="str">
        <x:v>The Art &amp; Science of Foodpairing.pdf: 94</x:v>
      </x:c>
    </x:row>
    <x:row r="37" ht="44" customHeight="1">
      <x:c r="A37" s="28" t="str">
        <x:v>фундук</x:v>
      </x:c>
      <x:c r="B37" s="28" t="n">
        <x:v>16</x:v>
      </x:c>
      <x:c r="C37" s="28" t="str">
        <x:v>watermelon</x:v>
      </x:c>
      <x:c r="D37" s="28" t="n">
        <x:v>6</x:v>
      </x:c>
      <x:c r="E37" s="28" t="str">
        <x:v>Средняя</x:v>
      </x:c>
      <x:c r="F37" s="28" t="n">
        <x:v>1</x:v>
      </x:c>
      <x:c r="G37" s="28" t="str">
        <x:v>общие ароматические соединения, контраст кислоты и жирной/горькой матрицы</x:v>
      </x:c>
      <x:c r="H37" s="28" t="str">
        <x:v>пралине, паста, выпечка, гарнир, соус, молочный или коктейльный компонент с watermelon</x:v>
      </x:c>
      <x:c r="I37" s="28" t="str">
        <x:v>The Art &amp; Science of Foodpairing.pdf</x:v>
      </x:c>
      <x:c r="J37" s="28" t="str">
        <x:v>The Art &amp; Science of Foodpairing.pdf: 78</x:v>
      </x:c>
    </x:row>
    <x:row r="38" ht="44" customHeight="1">
      <x:c r="A38" s="28" t="str">
        <x:v>фундук</x:v>
      </x:c>
      <x:c r="B38" s="28" t="n">
        <x:v>17</x:v>
      </x:c>
      <x:c r="C38" s="28" t="str">
        <x:v>авокадо</x:v>
      </x:c>
      <x:c r="D38" s="28" t="n">
        <x:v>6</x:v>
      </x:c>
      <x:c r="E38" s="28" t="str">
        <x:v>Средняя</x:v>
      </x:c>
      <x:c r="F38" s="28" t="n">
        <x:v>1</x:v>
      </x:c>
      <x:c r="G38" s="28" t="str">
        <x:v>сенсорная комплементарность</x:v>
      </x:c>
      <x:c r="H38" s="28" t="str">
        <x:v>пралине, паста, выпечка, гарнир, соус, молочный или коктейльный компонент с авокадо</x:v>
      </x:c>
      <x:c r="I38" s="28" t="str">
        <x:v>Тезариус вкусов (Ники Сегнит)(1).pdf</x:v>
      </x:c>
      <x:c r="J38" s="28" t="str">
        <x:v>Тезариус вкусов (Ники Сегнит)(1).pdf: 531, 632</x:v>
      </x:c>
    </x:row>
    <x:row r="39" ht="44" customHeight="1">
      <x:c r="A39" s="28" t="str">
        <x:v>фундук</x:v>
      </x:c>
      <x:c r="B39" s="28" t="n">
        <x:v>18</x:v>
      </x:c>
      <x:c r="C39" s="28" t="str">
        <x:v>белая рыба</x:v>
      </x:c>
      <x:c r="D39" s="28" t="n">
        <x:v>6</x:v>
      </x:c>
      <x:c r="E39" s="28" t="str">
        <x:v>Средняя</x:v>
      </x:c>
      <x:c r="F39" s="28" t="n">
        <x:v>1</x:v>
      </x:c>
      <x:c r="G39" s="28" t="str">
        <x:v>общие ароматические соединения, солёно-умами контраст</x:v>
      </x:c>
      <x:c r="H39" s="28" t="str">
        <x:v>пралине, паста, выпечка, гарнир, соус, молочный или коктейльный компонент с белая рыба</x:v>
      </x:c>
      <x:c r="I39" s="28" t="str">
        <x:v>Тезариус вкусов (Ники Сегнит)(1).pdf</x:v>
      </x:c>
      <x:c r="J39" s="28" t="str">
        <x:v>Тезариус вкусов (Ники Сегнит)(1).pdf: 393, 633</x:v>
      </x:c>
    </x:row>
    <x:row r="40" ht="44" customHeight="1">
      <x:c r="A40" s="28" t="str">
        <x:v>фундук</x:v>
      </x:c>
      <x:c r="B40" s="28" t="n">
        <x:v>19</x:v>
      </x:c>
      <x:c r="C40" s="28" t="str">
        <x:v>ваниль</x:v>
      </x:c>
      <x:c r="D40" s="28" t="n">
        <x:v>6</x:v>
      </x:c>
      <x:c r="E40" s="28" t="str">
        <x:v>Средняя</x:v>
      </x:c>
      <x:c r="F40" s="28" t="n">
        <x:v>1</x:v>
      </x:c>
      <x:c r="G40" s="28" t="str">
        <x:v>сенсорная комплементарность</x:v>
      </x:c>
      <x:c r="H40" s="28" t="str">
        <x:v>пралине, паста, выпечка, гарнир, соус, молочный или коктейльный компонент с ваниль</x:v>
      </x:c>
      <x:c r="I40" s="28" t="str">
        <x:v>Тезариус вкусов (Ники Сегнит)(1).pdf</x:v>
      </x:c>
      <x:c r="J40" s="28" t="str">
        <x:v>Тезариус вкусов (Ники Сегнит)(1).pdf: 633, 920</x:v>
      </x:c>
    </x:row>
    <x:row r="41" ht="44" customHeight="1">
      <x:c r="A41" s="28" t="str">
        <x:v>фундук</x:v>
      </x:c>
      <x:c r="B41" s="28" t="n">
        <x:v>20</x:v>
      </x:c>
      <x:c r="C41" s="28" t="str">
        <x:v>вишня</x:v>
      </x:c>
      <x:c r="D41" s="28" t="n">
        <x:v>6</x:v>
      </x:c>
      <x:c r="E41" s="28" t="str">
        <x:v>Средняя</x:v>
      </x:c>
      <x:c r="F41" s="28" t="n">
        <x:v>1</x:v>
      </x:c>
      <x:c r="G41" s="28" t="str">
        <x:v>контраст кислоты и жирной/горькой матрицы</x:v>
      </x:c>
      <x:c r="H41" s="28" t="str">
        <x:v>пралине, паста, выпечка, гарнир, соус, молочный или коктейльный компонент с вишня</x:v>
      </x:c>
      <x:c r="I41" s="28" t="str">
        <x:v>Тезариус вкусов (Ники Сегнит)(1).pdf</x:v>
      </x:c>
      <x:c r="J41" s="28" t="str">
        <x:v>Тезариус вкусов (Ники Сегнит)(1).pdf: 634, 656</x:v>
      </x:c>
    </x:row>
    <x:row r="42" ht="44" customHeight="1">
      <x:c r="A42" s="28" t="str">
        <x:v>грецкий орех</x:v>
      </x:c>
      <x:c r="B42" s="28" t="n">
        <x:v>1</x:v>
      </x:c>
      <x:c r="C42" s="28" t="str">
        <x:v>анис</x:v>
      </x:c>
      <x:c r="D42" s="28" t="n">
        <x:v>10</x:v>
      </x:c>
      <x:c r="E42" s="28" t="str">
        <x:v>Высокая</x:v>
      </x:c>
      <x:c r="F42" s="28" t="n">
        <x:v>2</x:v>
      </x:c>
      <x:c r="G42" s="28" t="str">
        <x:v>сенсорная комплементарность</x:v>
      </x:c>
      <x:c r="H42" s="28" t="str">
        <x:v>пралине, паста, выпечка, гарнир, соус, молочный или коктейльный компонент с анис</x:v>
      </x:c>
      <x:c r="I42" s="28" t="str">
        <x:v>Таблица сочетания(1).pdf | Тезариус вкусов (Ники Сегнит)(1).pdf</x:v>
      </x:c>
      <x:c r="J42" s="28" t="str">
        <x:v>Таблица сочетания(1).pdf: 21; Тезариус вкусов (Ники Сегнит)(1).pdf: 483, 622</x:v>
      </x:c>
    </x:row>
    <x:row r="43" ht="44" customHeight="1">
      <x:c r="A43" s="28" t="str">
        <x:v>грецкий орех</x:v>
      </x:c>
      <x:c r="B43" s="28" t="n">
        <x:v>2</x:v>
      </x:c>
      <x:c r="C43" s="28" t="str">
        <x:v>банан</x:v>
      </x:c>
      <x:c r="D43" s="28" t="n">
        <x:v>10</x:v>
      </x:c>
      <x:c r="E43" s="28" t="str">
        <x:v>Высокая</x:v>
      </x:c>
      <x:c r="F43" s="28" t="n">
        <x:v>2</x:v>
      </x:c>
      <x:c r="G43" s="28" t="str">
        <x:v>контраст кислоты и жирной/горькой матрицы</x:v>
      </x:c>
      <x:c r="H43" s="28" t="str">
        <x:v>пралине, паста, выпечка, гарнир, соус, молочный или коктейльный компонент с банан</x:v>
      </x:c>
      <x:c r="I43" s="28" t="str">
        <x:v>Таблица сочетания(1).pdf | Тезариус вкусов (Ники Сегнит)(1).pdf</x:v>
      </x:c>
      <x:c r="J43" s="28" t="str">
        <x:v>Таблица сочетания(1).pdf: 2, 21; Тезариус вкусов (Ники Сегнит)(1).pdf: 623, 732</x:v>
      </x:c>
    </x:row>
    <x:row r="44" ht="44" customHeight="1">
      <x:c r="A44" s="28" t="str">
        <x:v>грецкий орех</x:v>
      </x:c>
      <x:c r="B44" s="28" t="n">
        <x:v>3</x:v>
      </x:c>
      <x:c r="C44" s="28" t="str">
        <x:v>ваниль</x:v>
      </x:c>
      <x:c r="D44" s="28" t="n">
        <x:v>10</x:v>
      </x:c>
      <x:c r="E44" s="28" t="str">
        <x:v>Высокая</x:v>
      </x:c>
      <x:c r="F44" s="28" t="n">
        <x:v>2</x:v>
      </x:c>
      <x:c r="G44" s="28" t="str">
        <x:v>сенсорная комплементарность</x:v>
      </x:c>
      <x:c r="H44" s="28" t="str">
        <x:v>пралине, паста, выпечка, гарнир, соус, молочный или коктейльный компонент с ваниль</x:v>
      </x:c>
      <x:c r="I44" s="28" t="str">
        <x:v>Таблица сочетания(1).pdf | Тезариус вкусов (Ники Сегнит)(1).pdf</x:v>
      </x:c>
      <x:c r="J44" s="28" t="str">
        <x:v>Таблица сочетания(1).pdf: 21; Тезариус вкусов (Ники Сегнит)(1).pdf: 624, 916</x:v>
      </x:c>
    </x:row>
    <x:row r="45" ht="44" customHeight="1">
      <x:c r="A45" s="28" t="str">
        <x:v>грецкий орех</x:v>
      </x:c>
      <x:c r="B45" s="28" t="n">
        <x:v>4</x:v>
      </x:c>
      <x:c r="C45" s="28" t="str">
        <x:v>вишня</x:v>
      </x:c>
      <x:c r="D45" s="28" t="n">
        <x:v>10</x:v>
      </x:c>
      <x:c r="E45" s="28" t="str">
        <x:v>Высокая</x:v>
      </x:c>
      <x:c r="F45" s="28" t="n">
        <x:v>2</x:v>
      </x:c>
      <x:c r="G45" s="28" t="str">
        <x:v>контраст кислоты и жирной/горькой матрицы</x:v>
      </x:c>
      <x:c r="H45" s="28" t="str">
        <x:v>пралине, паста, выпечка, гарнир, соус, молочный или коктейльный компонент с вишня</x:v>
      </x:c>
      <x:c r="I45" s="28" t="str">
        <x:v>Таблица сочетания(1).pdf | Тезариус вкусов (Ники Сегнит)(1).pdf</x:v>
      </x:c>
      <x:c r="J45" s="28" t="str">
        <x:v>Таблица сочетания(1).pdf: 22; Тезариус вкусов (Ники Сегнит)(1).pdf: 625, 654</x:v>
      </x:c>
    </x:row>
    <x:row r="46" ht="44" customHeight="1">
      <x:c r="A46" s="28" t="str">
        <x:v>грецкий орех</x:v>
      </x:c>
      <x:c r="B46" s="28" t="n">
        <x:v>5</x:v>
      </x:c>
      <x:c r="C46" s="28" t="str">
        <x:v>груша</x:v>
      </x:c>
      <x:c r="D46" s="28" t="n">
        <x:v>10</x:v>
      </x:c>
      <x:c r="E46" s="28" t="str">
        <x:v>Высокая</x:v>
      </x:c>
      <x:c r="F46" s="28" t="n">
        <x:v>2</x:v>
      </x:c>
      <x:c r="G46" s="28" t="str">
        <x:v>контраст кислоты и жирной/горькой матрицы</x:v>
      </x:c>
      <x:c r="H46" s="28" t="str">
        <x:v>пралине, паста, выпечка, гарнир, соус, молочный или коктейльный компонент с груша</x:v>
      </x:c>
      <x:c r="I46" s="28" t="str">
        <x:v>Таблица сочетания(1).pdf | Тезариус вкусов (Ники Сегнит)(1).pdf</x:v>
      </x:c>
      <x:c r="J46" s="28" t="str">
        <x:v>Таблица сочетания(1).pdf: 16; Тезариус вкусов (Ники Сегнит)(1).pdf: 625, 722</x:v>
      </x:c>
    </x:row>
    <x:row r="47" ht="44" customHeight="1">
      <x:c r="A47" s="28" t="str">
        <x:v>грецкий орех</x:v>
      </x:c>
      <x:c r="B47" s="28" t="n">
        <x:v>6</x:v>
      </x:c>
      <x:c r="C47" s="28" t="str">
        <x:v>инжир</x:v>
      </x:c>
      <x:c r="D47" s="28" t="n">
        <x:v>10</x:v>
      </x:c>
      <x:c r="E47" s="28" t="str">
        <x:v>Высокая</x:v>
      </x:c>
      <x:c r="F47" s="28" t="n">
        <x:v>2</x:v>
      </x:c>
      <x:c r="G47" s="28" t="str">
        <x:v>контраст кислоты и жирной/горькой матрицы</x:v>
      </x:c>
      <x:c r="H47" s="28" t="str">
        <x:v>пралине, паста, выпечка, гарнир, соус, молочный или коктейльный компонент с инжир</x:v>
      </x:c>
      <x:c r="I47" s="28" t="str">
        <x:v>Таблица сочетания(1).pdf | Тезариус вкусов (Ники Сегнит)(1).pdf</x:v>
      </x:c>
      <x:c r="J47" s="28" t="str">
        <x:v>Таблица сочетания(1).pdf: 8; Тезариус вкусов (Ники Сегнит)(1).pdf: 626, 893</x:v>
      </x:c>
    </x:row>
    <x:row r="48" ht="44" customHeight="1">
      <x:c r="A48" s="28" t="str">
        <x:v>грецкий орех</x:v>
      </x:c>
      <x:c r="B48" s="28" t="n">
        <x:v>7</x:v>
      </x:c>
      <x:c r="C48" s="28" t="str">
        <x:v>кофе</x:v>
      </x:c>
      <x:c r="D48" s="28" t="n">
        <x:v>10</x:v>
      </x:c>
      <x:c r="E48" s="28" t="str">
        <x:v>Высокая</x:v>
      </x:c>
      <x:c r="F48" s="28" t="n">
        <x:v>2</x:v>
      </x:c>
      <x:c r="G48" s="28" t="str">
        <x:v>общие ароматические соединения, пересечение ароматических семейств, жареная химия и реакции Майяра</x:v>
      </x:c>
      <x:c r="H48" s="28" t="str">
        <x:v>пралине, паста, выпечка, гарнир, соус, молочный или коктейльный компонент с кофе</x:v>
      </x:c>
      <x:c r="I48" s="28" t="str">
        <x:v>Таблица сочетания(1).pdf | Тезариус вкусов (Ники Сегнит)(1).pdf</x:v>
      </x:c>
      <x:c r="J48" s="28" t="str">
        <x:v>Таблица сочетания(1).pdf: 6, 21; Тезариус вкусов (Ники Сегнит)(1).pdf: 44, 626</x:v>
      </x:c>
    </x:row>
    <x:row r="49" ht="44" customHeight="1">
      <x:c r="A49" s="28" t="str">
        <x:v>грецкий орех</x:v>
      </x:c>
      <x:c r="B49" s="28" t="n">
        <x:v>8</x:v>
      </x:c>
      <x:c r="C49" s="28" t="str">
        <x:v>мускатный орех</x:v>
      </x:c>
      <x:c r="D49" s="28" t="n">
        <x:v>10</x:v>
      </x:c>
      <x:c r="E49" s="28" t="str">
        <x:v>Высокая</x:v>
      </x:c>
      <x:c r="F49" s="28" t="n">
        <x:v>2</x:v>
      </x:c>
      <x:c r="G49" s="28" t="str">
        <x:v>пересечение ароматических семейств, жареная химия и реакции Майяра</x:v>
      </x:c>
      <x:c r="H49" s="28" t="str">
        <x:v>пралине, паста, выпечка, гарнир, соус, молочный или коктейльный компонент с мускатный орех</x:v>
      </x:c>
      <x:c r="I49" s="28" t="str">
        <x:v>Таблица сочетания(1).pdf | Тезариус вкусов (Ники Сегнит)(1).pdf</x:v>
      </x:c>
      <x:c r="J49" s="28" t="str">
        <x:v>Таблица сочетания(1).pdf: 21; Тезариус вкусов (Ники Сегнит)(1).pdf: 588, 627</x:v>
      </x:c>
    </x:row>
    <x:row r="50" ht="44" customHeight="1">
      <x:c r="A50" s="28" t="str">
        <x:v>грецкий орех</x:v>
      </x:c>
      <x:c r="B50" s="28" t="n">
        <x:v>9</x:v>
      </x:c>
      <x:c r="C50" s="28" t="str">
        <x:v>шоколад</x:v>
      </x:c>
      <x:c r="D50" s="28" t="n">
        <x:v>10</x:v>
      </x:c>
      <x:c r="E50" s="28" t="str">
        <x:v>Высокая</x:v>
      </x:c>
      <x:c r="F50" s="28" t="n">
        <x:v>2</x:v>
      </x:c>
      <x:c r="G50" s="28" t="str">
        <x:v>общие ароматические соединения, пересечение ароматических семейств, жареная химия и реакции Майяра</x:v>
      </x:c>
      <x:c r="H50" s="28" t="str">
        <x:v>пралине, паста, выпечка, гарнир, соус, молочный или коктейльный компонент с шоколад</x:v>
      </x:c>
      <x:c r="I50" s="28" t="str">
        <x:v>Таблица сочетания(1).pdf | Тезариус вкусов (Ники Сегнит)(1).pdf</x:v>
      </x:c>
      <x:c r="J50" s="28" t="str">
        <x:v>Таблица сочетания(1).pdf: 21; Тезариус вкусов (Ники Сегнит)(1).pdf: 28, 631</x:v>
      </x:c>
    </x:row>
    <x:row r="51" ht="44" customHeight="1">
      <x:c r="A51" s="28" t="str">
        <x:v>грецкий орех</x:v>
      </x:c>
      <x:c r="B51" s="28" t="n">
        <x:v>10</x:v>
      </x:c>
      <x:c r="C51" s="28" t="str">
        <x:v>яблоко</x:v>
      </x:c>
      <x:c r="D51" s="28" t="n">
        <x:v>10</x:v>
      </x:c>
      <x:c r="E51" s="28" t="str">
        <x:v>Высокая</x:v>
      </x:c>
      <x:c r="F51" s="28" t="n">
        <x:v>2</x:v>
      </x:c>
      <x:c r="G51" s="28" t="str">
        <x:v>контраст кислоты и жирной/горькой матрицы</x:v>
      </x:c>
      <x:c r="H51" s="28" t="str">
        <x:v>пралине, паста, выпечка, гарнир, соус, молочный или коктейльный компонент с яблоко</x:v>
      </x:c>
      <x:c r="I51" s="28" t="str">
        <x:v>Таблица сочетания(1).pdf | Тезариус вкусов (Ники Сегнит)(1).pdf</x:v>
      </x:c>
      <x:c r="J51" s="28" t="str">
        <x:v>Таблица сочетания(1).pdf: 1, 21; Тезариус вкусов (Ники Сегнит)(1).pdf: 631, 711</x:v>
      </x:c>
    </x:row>
    <x:row r="52" ht="44" customHeight="1">
      <x:c r="A52" s="28" t="str">
        <x:v>грецкий орех</x:v>
      </x:c>
      <x:c r="B52" s="28" t="n">
        <x:v>11</x:v>
      </x:c>
      <x:c r="C52" s="28" t="str">
        <x:v>свекла</x:v>
      </x:c>
      <x:c r="D52" s="28" t="n">
        <x:v>7</x:v>
      </x:c>
      <x:c r="E52" s="28" t="str">
        <x:v>Средняя</x:v>
      </x:c>
      <x:c r="F52" s="28" t="n">
        <x:v>1</x:v>
      </x:c>
      <x:c r="G52" s="28" t="str">
        <x:v>пересечение ароматических семейств</x:v>
      </x:c>
      <x:c r="H52" s="28" t="str">
        <x:v>пралине, паста, выпечка, гарнир, соус, молочный или коктейльный компонент с свекла</x:v>
      </x:c>
      <x:c r="I52" s="28" t="str">
        <x:v>Тезариус вкусов (Ники Сегнит)(1).pdf</x:v>
      </x:c>
      <x:c r="J52" s="28" t="str">
        <x:v>Тезариус вкусов (Ники Сегнит)(1).pdf: 223, 225, 628</x:v>
      </x:c>
    </x:row>
    <x:row r="53" ht="44" customHeight="1">
      <x:c r="A53" s="28" t="str">
        <x:v>грецкий орех</x:v>
      </x:c>
      <x:c r="B53" s="28" t="n">
        <x:v>12</x:v>
      </x:c>
      <x:c r="C53" s="28" t="str">
        <x:v>peppercorns</x:v>
      </x:c>
      <x:c r="D53" s="28" t="n">
        <x:v>6</x:v>
      </x:c>
      <x:c r="E53" s="28" t="str">
        <x:v>Средняя</x:v>
      </x:c>
      <x:c r="F53" s="28" t="n">
        <x:v>1</x:v>
      </x:c>
      <x:c r="G53" s="28" t="str">
        <x:v>пересечение ароматических семейств</x:v>
      </x:c>
      <x:c r="H53" s="28" t="str">
        <x:v>пралине, паста, выпечка, гарнир, соус, молочный или коктейльный компонент с peppercorns</x:v>
      </x:c>
      <x:c r="I53" s="28" t="str">
        <x:v>The Art &amp; Science of Foodpairing.pdf</x:v>
      </x:c>
      <x:c r="J53" s="28" t="str">
        <x:v>The Art &amp; Science of Foodpairing.pdf: 273, 274</x:v>
      </x:c>
    </x:row>
    <x:row r="54" ht="44" customHeight="1">
      <x:c r="A54" s="28" t="str">
        <x:v>грецкий орех</x:v>
      </x:c>
      <x:c r="B54" s="28" t="n">
        <x:v>13</x:v>
      </x:c>
      <x:c r="C54" s="28" t="str">
        <x:v>апельсин</x:v>
      </x:c>
      <x:c r="D54" s="28" t="n">
        <x:v>6</x:v>
      </x:c>
      <x:c r="E54" s="28" t="str">
        <x:v>Средняя</x:v>
      </x:c>
      <x:c r="F54" s="28" t="n">
        <x:v>1</x:v>
      </x:c>
      <x:c r="G54" s="28" t="str">
        <x:v>контраст кислоты и жирной/горькой матрицы</x:v>
      </x:c>
      <x:c r="H54" s="28" t="str">
        <x:v>пралине, паста, выпечка, гарнир, соус, молочный или коктейльный компонент с апельсин</x:v>
      </x:c>
      <x:c r="I54" s="28" t="str">
        <x:v>Тезариус вкусов (Ники Сегнит)(1).pdf</x:v>
      </x:c>
      <x:c r="J54" s="28" t="str">
        <x:v>Тезариус вкусов (Ники Сегнит)(1).pdf: 623, 775</x:v>
      </x:c>
    </x:row>
    <x:row r="55" ht="44" customHeight="1">
      <x:c r="A55" s="28" t="str">
        <x:v>грецкий орех</x:v>
      </x:c>
      <x:c r="B55" s="28" t="n">
        <x:v>14</x:v>
      </x:c>
      <x:c r="C55" s="28" t="str">
        <x:v>базилик</x:v>
      </x:c>
      <x:c r="D55" s="28" t="n">
        <x:v>6</x:v>
      </x:c>
      <x:c r="E55" s="28" t="str">
        <x:v>Средняя</x:v>
      </x:c>
      <x:c r="F55" s="28" t="n">
        <x:v>1</x:v>
      </x:c>
      <x:c r="G55" s="28" t="str">
        <x:v>сенсорная комплементарность</x:v>
      </x:c>
      <x:c r="H55" s="28" t="str">
        <x:v>пралине, паста, выпечка, гарнир, соус, молочный или коктейльный компонент с базилик</x:v>
      </x:c>
      <x:c r="I55" s="28" t="str">
        <x:v>Тезариус вкусов (Ники Сегнит)(1).pdf</x:v>
      </x:c>
      <x:c r="J55" s="28" t="str">
        <x:v>Тезариус вкусов (Ники Сегнит)(1).pdf: 566, 623</x:v>
      </x:c>
    </x:row>
    <x:row r="56" ht="44" customHeight="1">
      <x:c r="A56" s="28" t="str">
        <x:v>грецкий орех</x:v>
      </x:c>
      <x:c r="B56" s="28" t="n">
        <x:v>15</x:v>
      </x:c>
      <x:c r="C56" s="28" t="str">
        <x:v>баклажан</x:v>
      </x:c>
      <x:c r="D56" s="28" t="n">
        <x:v>6</x:v>
      </x:c>
      <x:c r="E56" s="28" t="str">
        <x:v>Средняя</x:v>
      </x:c>
      <x:c r="F56" s="28" t="n">
        <x:v>1</x:v>
      </x:c>
      <x:c r="G56" s="28" t="str">
        <x:v>пересечение ароматических семейств</x:v>
      </x:c>
      <x:c r="H56" s="28" t="str">
        <x:v>пралине, паста, выпечка, гарнир, соус, молочный или коктейльный компонент с баклажан</x:v>
      </x:c>
      <x:c r="I56" s="28" t="str">
        <x:v>Тезариус вкусов (Ники Сегнит)(1).pdf</x:v>
      </x:c>
      <x:c r="J56" s="28" t="str">
        <x:v>Тезариус вкусов (Ники Сегнит)(1).pdf: 210, 623</x:v>
      </x:c>
    </x:row>
    <x:row r="57" ht="44" customHeight="1">
      <x:c r="A57" s="28" t="str">
        <x:v>грецкий орех</x:v>
      </x:c>
      <x:c r="B57" s="28" t="n">
        <x:v>16</x:v>
      </x:c>
      <x:c r="C57" s="28" t="str">
        <x:v>брокколи</x:v>
      </x:c>
      <x:c r="D57" s="28" t="n">
        <x:v>6</x:v>
      </x:c>
      <x:c r="E57" s="28" t="str">
        <x:v>Средняя</x:v>
      </x:c>
      <x:c r="F57" s="28" t="n">
        <x:v>1</x:v>
      </x:c>
      <x:c r="G57" s="28" t="str">
        <x:v>сенсорная комплементарность</x:v>
      </x:c>
      <x:c r="H57" s="28" t="str">
        <x:v>пралине, паста, выпечка, гарнир, соус, молочный или коктейльный компонент с брокколи</x:v>
      </x:c>
      <x:c r="I57" s="28" t="str">
        <x:v>Тезариус вкусов (Ники Сегнит)(1).pdf</x:v>
      </x:c>
      <x:c r="J57" s="28" t="str">
        <x:v>Тезариус вкусов (Ники Сегнит)(1).pdf: 331, 624</x:v>
      </x:c>
    </x:row>
    <x:row r="58" ht="44" customHeight="1">
      <x:c r="A58" s="28" t="str">
        <x:v>грецкий орех</x:v>
      </x:c>
      <x:c r="B58" s="28" t="n">
        <x:v>17</x:v>
      </x:c>
      <x:c r="C58" s="28" t="str">
        <x:v>виноград</x:v>
      </x:c>
      <x:c r="D58" s="28" t="n">
        <x:v>6</x:v>
      </x:c>
      <x:c r="E58" s="28" t="str">
        <x:v>Средняя</x:v>
      </x:c>
      <x:c r="F58" s="28" t="n">
        <x:v>1</x:v>
      </x:c>
      <x:c r="G58" s="28" t="str">
        <x:v>пересечение ароматических семейств</x:v>
      </x:c>
      <x:c r="H58" s="28" t="str">
        <x:v>пралине, паста, выпечка, гарнир, соус, молочный или коктейльный компонент с виноград</x:v>
      </x:c>
      <x:c r="I58" s="28" t="str">
        <x:v>Тезариус вкусов (Ники Сегнит)(1).pdf</x:v>
      </x:c>
      <x:c r="J58" s="28" t="str">
        <x:v>Тезариус вкусов (Ники Сегнит)(1).pdf: 625, 666</x:v>
      </x:c>
    </x:row>
    <x:row r="59" ht="44" customHeight="1">
      <x:c r="A59" s="28" t="str">
        <x:v>грецкий орех</x:v>
      </x:c>
      <x:c r="B59" s="28" t="n">
        <x:v>18</x:v>
      </x:c>
      <x:c r="C59" s="28" t="str">
        <x:v>водяной кресс</x:v>
      </x:c>
      <x:c r="D59" s="28" t="n">
        <x:v>6</x:v>
      </x:c>
      <x:c r="E59" s="28" t="str">
        <x:v>Средняя</x:v>
      </x:c>
      <x:c r="F59" s="28" t="n">
        <x:v>1</x:v>
      </x:c>
      <x:c r="G59" s="28" t="str">
        <x:v>сенсорная комплементарность</x:v>
      </x:c>
      <x:c r="H59" s="28" t="str">
        <x:v>пралине, паста, выпечка, гарнир, соус, молочный или коктейльный компонент с водяной кресс</x:v>
      </x:c>
      <x:c r="I59" s="28" t="str">
        <x:v>Тезариус вкусов (Ники Сегнит)(1).pdf</x:v>
      </x:c>
      <x:c r="J59" s="28" t="str">
        <x:v>Тезариус вкусов (Ники Сегнит)(1).pdf: 259, 625</x:v>
      </x:c>
    </x:row>
    <x:row r="60" ht="44" customHeight="1">
      <x:c r="A60" s="28" t="str">
        <x:v>грецкий орех</x:v>
      </x:c>
      <x:c r="B60" s="28" t="n">
        <x:v>19</x:v>
      </x:c>
      <x:c r="C60" s="28" t="str">
        <x:v>говядина</x:v>
      </x:c>
      <x:c r="D60" s="28" t="n">
        <x:v>6</x:v>
      </x:c>
      <x:c r="E60" s="28" t="str">
        <x:v>Средняя</x:v>
      </x:c>
      <x:c r="F60" s="28" t="n">
        <x:v>1</x:v>
      </x:c>
      <x:c r="G60" s="28" t="str">
        <x:v>общие ароматические соединения, жареная химия и реакции Майяра, солёно-умами контраст</x:v>
      </x:c>
      <x:c r="H60" s="28" t="str">
        <x:v>пралине, паста, выпечка, гарнир, соус, молочный или коктейльный компонент с говядина</x:v>
      </x:c>
      <x:c r="I60" s="28" t="str">
        <x:v>Тезариус вкусов (Ники Сегнит)(1).pdf</x:v>
      </x:c>
      <x:c r="J60" s="28" t="str">
        <x:v>Тезариус вкусов (Ники Сегнит)(1).pdf: 108, 625</x:v>
      </x:c>
    </x:row>
    <x:row r="61" ht="44" customHeight="1">
      <x:c r="A61" s="28" t="str">
        <x:v>грецкий орех</x:v>
      </x:c>
      <x:c r="B61" s="28" t="n">
        <x:v>20</x:v>
      </x:c>
      <x:c r="C61" s="28" t="str">
        <x:v>голубой сыр</x:v>
      </x:c>
      <x:c r="D61" s="28" t="n">
        <x:v>6</x:v>
      </x:c>
      <x:c r="E61" s="28" t="str">
        <x:v>Средняя</x:v>
      </x:c>
      <x:c r="F61" s="28" t="n">
        <x:v>1</x:v>
      </x:c>
      <x:c r="G61" s="28" t="str">
        <x:v>жировая экстракция и связывание полифенолов белком</x:v>
      </x:c>
      <x:c r="H61" s="28" t="str">
        <x:v>пралине, паста, выпечка, гарнир, соус, молочный или коктейльный компонент с голубой сыр</x:v>
      </x:c>
      <x:c r="I61" s="28" t="str">
        <x:v>Тезариус вкусов (Ники Сегнит)(1).pdf</x:v>
      </x:c>
      <x:c r="J61" s="28" t="str">
        <x:v>Тезариус вкусов (Ники Сегнит)(1).pdf: 156, 625</x:v>
      </x:c>
    </x:row>
    <x:row r="62" ht="44" customHeight="1">
      <x:c r="A62" s="28" t="str">
        <x:v>арахис</x:v>
      </x:c>
      <x:c r="B62" s="28" t="n">
        <x:v>1</x:v>
      </x:c>
      <x:c r="C62" s="28" t="str">
        <x:v>шоколад</x:v>
      </x:c>
      <x:c r="D62" s="28" t="n">
        <x:v>12</x:v>
      </x:c>
      <x:c r="E62" s="28" t="str">
        <x:v>Высокая</x:v>
      </x:c>
      <x:c r="F62" s="28" t="n">
        <x:v>3</x:v>
      </x:c>
      <x:c r="G62" s="28" t="str">
        <x:v>общие ароматические соединения, пересечение ароматических семейств, жареная химия и реакции Майяра</x:v>
      </x:c>
      <x:c r="H62" s="28" t="str">
        <x:v>пралине, паста, выпечка, гарнир, соус, молочный или коктейльный компонент с шоколад</x:v>
      </x:c>
      <x:c r="I62" s="28" t="str">
        <x:v>The Art &amp; Science of Foodpairing.pdf | Таблица сочетания(1).pdf | Тезариус вкусов (Ники Сегнит)(1).pdf</x:v>
      </x:c>
      <x:c r="J62" s="28" t="str">
        <x:v>The Art &amp; Science of Foodpairing.pdf: 62; Таблица сочетания(1).pdf: 15; Тезариус вкусов (Ники Сегнит)(1).pdf: 26, 59</x:v>
      </x:c>
    </x:row>
    <x:row r="63" ht="44" customHeight="1">
      <x:c r="A63" s="28" t="str">
        <x:v>арахис</x:v>
      </x:c>
      <x:c r="B63" s="28" t="n">
        <x:v>2</x:v>
      </x:c>
      <x:c r="C63" s="28" t="str">
        <x:v>банан</x:v>
      </x:c>
      <x:c r="D63" s="28" t="n">
        <x:v>10</x:v>
      </x:c>
      <x:c r="E63" s="28" t="str">
        <x:v>Высокая</x:v>
      </x:c>
      <x:c r="F63" s="28" t="n">
        <x:v>2</x:v>
      </x:c>
      <x:c r="G63" s="28" t="str">
        <x:v>контраст кислоты и жирной/горькой матрицы</x:v>
      </x:c>
      <x:c r="H63" s="28" t="str">
        <x:v>пралине, паста, выпечка, гарнир, соус, молочный или коктейльный компонент с банан</x:v>
      </x:c>
      <x:c r="I63" s="28" t="str">
        <x:v>Таблица сочетания(1).pdf | Тезариус вкусов (Ники Сегнит)(1).pdf</x:v>
      </x:c>
      <x:c r="J63" s="28" t="str">
        <x:v>Таблица сочетания(1).pdf: 15; Тезариус вкусов (Ники Сегнит)(1).pdf: 50, 729</x:v>
      </x:c>
    </x:row>
    <x:row r="64" ht="44" customHeight="1">
      <x:c r="A64" s="28" t="str">
        <x:v>арахис</x:v>
      </x:c>
      <x:c r="B64" s="28" t="n">
        <x:v>3</x:v>
      </x:c>
      <x:c r="C64" s="28" t="str">
        <x:v>корица</x:v>
      </x:c>
      <x:c r="D64" s="28" t="n">
        <x:v>10</x:v>
      </x:c>
      <x:c r="E64" s="28" t="str">
        <x:v>Высокая</x:v>
      </x:c>
      <x:c r="F64" s="28" t="n">
        <x:v>2</x:v>
      </x:c>
      <x:c r="G64" s="28" t="str">
        <x:v>сенсорная комплементарность</x:v>
      </x:c>
      <x:c r="H64" s="28" t="str">
        <x:v>пралине, паста, выпечка, гарнир, соус, молочный или коктейльный компонент с корица</x:v>
      </x:c>
      <x:c r="I64" s="28" t="str">
        <x:v>Таблица сочетания(1).pdf | Тезариус вкусов (Ники Сегнит)(1).pdf</x:v>
      </x:c>
      <x:c r="J64" s="28" t="str">
        <x:v>Таблица сочетания(1).pdf: 15; Тезариус вкусов (Ники Сегнит)(1).pdf: 54, 574</x:v>
      </x:c>
    </x:row>
    <x:row r="65" ht="44" customHeight="1">
      <x:c r="A65" s="28" t="str">
        <x:v>арахис</x:v>
      </x:c>
      <x:c r="B65" s="28" t="n">
        <x:v>4</x:v>
      </x:c>
      <x:c r="C65" s="28" t="str">
        <x:v>мята</x:v>
      </x:c>
      <x:c r="D65" s="28" t="n">
        <x:v>10</x:v>
      </x:c>
      <x:c r="E65" s="28" t="str">
        <x:v>Высокая</x:v>
      </x:c>
      <x:c r="F65" s="28" t="n">
        <x:v>2</x:v>
      </x:c>
      <x:c r="G65" s="28" t="str">
        <x:v>сенсорная комплементарность</x:v>
      </x:c>
      <x:c r="H65" s="28" t="str">
        <x:v>пралине, паста, выпечка, гарнир, соус, молочный или коктейльный компонент с мята</x:v>
      </x:c>
      <x:c r="I65" s="28" t="str">
        <x:v>Таблица сочетания(1).pdf | Тезариус вкусов (Ники Сегнит)(1).pdf</x:v>
      </x:c>
      <x:c r="J65" s="28" t="str">
        <x:v>Таблица сочетания(1).pdf: 16; Тезариус вкусов (Ники Сегнит)(1).pdf: 56, 865</x:v>
      </x:c>
    </x:row>
    <x:row r="66" ht="44" customHeight="1">
      <x:c r="A66" s="28" t="str">
        <x:v>арахис</x:v>
      </x:c>
      <x:c r="B66" s="28" t="n">
        <x:v>5</x:v>
      </x:c>
      <x:c r="C66" s="28" t="str">
        <x:v>garlic</x:v>
      </x:c>
      <x:c r="D66" s="28" t="n">
        <x:v>7</x:v>
      </x:c>
      <x:c r="E66" s="28" t="str">
        <x:v>Средняя</x:v>
      </x:c>
      <x:c r="F66" s="28" t="n">
        <x:v>1</x:v>
      </x:c>
      <x:c r="G66" s="28" t="str">
        <x:v>общие ароматические соединения</x:v>
      </x:c>
      <x:c r="H66" s="28" t="str">
        <x:v>пралине, паста, выпечка, гарнир, соус, молочный или коктейльный компонент с garlic</x:v>
      </x:c>
      <x:c r="I66" s="28" t="str">
        <x:v>The Art &amp; Science of Foodpairing.pdf</x:v>
      </x:c>
      <x:c r="J66" s="28" t="str">
        <x:v>The Art &amp; Science of Foodpairing.pdf: 113, 114</x:v>
      </x:c>
    </x:row>
    <x:row r="67" ht="44" customHeight="1">
      <x:c r="A67" s="28" t="str">
        <x:v>арахис</x:v>
      </x:c>
      <x:c r="B67" s="28" t="n">
        <x:v>6</x:v>
      </x:c>
      <x:c r="C67" s="28" t="str">
        <x:v>lberico ham</x:v>
      </x:c>
      <x:c r="D67" s="28" t="n">
        <x:v>7</x:v>
      </x:c>
      <x:c r="E67" s="28" t="str">
        <x:v>Высокая</x:v>
      </x:c>
      <x:c r="F67" s="28" t="n">
        <x:v>1</x:v>
      </x:c>
      <x:c r="G67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H67" s="28" t="str">
        <x:v>пралине, паста, выпечка, гарнир, соус, молочный или коктейльный компонент с lberico ham</x:v>
      </x:c>
      <x:c r="I67" s="28" t="str">
        <x:v>The Art &amp; Science of Foodpairing.pdf</x:v>
      </x:c>
      <x:c r="J67" s="28" t="str">
        <x:v>The Art &amp; Science of Foodpairing.pdf: 278</x:v>
      </x:c>
    </x:row>
    <x:row r="68" ht="44" customHeight="1">
      <x:c r="A68" s="28" t="str">
        <x:v>арахис</x:v>
      </x:c>
      <x:c r="B68" s="28" t="n">
        <x:v>7</x:v>
      </x:c>
      <x:c r="C68" s="28" t="str">
        <x:v>кокос</x:v>
      </x:c>
      <x:c r="D68" s="28" t="n">
        <x:v>7</x:v>
      </x:c>
      <x:c r="E68" s="28" t="str">
        <x:v>Средняя</x:v>
      </x:c>
      <x:c r="F68" s="28" t="n">
        <x:v>1</x:v>
      </x:c>
      <x:c r="G68" s="28" t="str">
        <x:v>сенсорная комплементарность</x:v>
      </x:c>
      <x:c r="H68" s="28" t="str">
        <x:v>пралине, паста, выпечка, гарнир, соус, молочный или коктейльный компонент с кокос</x:v>
      </x:c>
      <x:c r="I68" s="28" t="str">
        <x:v>Тезариус вкусов (Ники Сегнит)(1).pdf</x:v>
      </x:c>
      <x:c r="J68" s="28" t="str">
        <x:v>Тезариус вкусов (Ники Сегнит)(1).pdf: 51, 53, 753</x:v>
      </x:c>
    </x:row>
    <x:row r="69" ht="44" customHeight="1">
      <x:c r="A69" s="28" t="str">
        <x:v>арахис</x:v>
      </x:c>
      <x:c r="B69" s="28" t="n">
        <x:v>8</x:v>
      </x:c>
      <x:c r="C69" s="28" t="str">
        <x:v>черная смородина</x:v>
      </x:c>
      <x:c r="D69" s="28" t="n">
        <x:v>7</x:v>
      </x:c>
      <x:c r="E69" s="28" t="str">
        <x:v>Средняя</x:v>
      </x:c>
      <x:c r="F69" s="28" t="n">
        <x:v>1</x:v>
      </x:c>
      <x:c r="G69" s="28" t="str">
        <x:v>сенсорная комплементарность</x:v>
      </x:c>
      <x:c r="H69" s="28" t="str">
        <x:v>пралине, паста, выпечка, гарнир, соус, молочный или коктейльный компонент с черная смородина</x:v>
      </x:c>
      <x:c r="I69" s="28" t="str">
        <x:v>Тезариус вкусов (Ники Сегнит)(1).pdf</x:v>
      </x:c>
      <x:c r="J69" s="28" t="str">
        <x:v>Тезариус вкусов (Ники Сегнит)(1).pdf: 59, 665, 875</x:v>
      </x:c>
    </x:row>
    <x:row r="70" ht="44" customHeight="1">
      <x:c r="A70" s="28" t="str">
        <x:v>арахис</x:v>
      </x:c>
      <x:c r="B70" s="28" t="n">
        <x:v>9</x:v>
      </x:c>
      <x:c r="C70" s="28" t="str">
        <x:v>баранина</x:v>
      </x:c>
      <x:c r="D70" s="28" t="n">
        <x:v>6</x:v>
      </x:c>
      <x:c r="E70" s="28" t="str">
        <x:v>Средняя</x:v>
      </x:c>
      <x:c r="F70" s="28" t="n">
        <x:v>1</x:v>
      </x:c>
      <x:c r="G7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H70" s="28" t="str">
        <x:v>пралине, паста, выпечка, гарнир, соус, молочный или коктейльный компонент с баранина</x:v>
      </x:c>
      <x:c r="I70" s="28" t="str">
        <x:v>Тезариус вкусов (Ники Сегнит)(1).pdf</x:v>
      </x:c>
      <x:c r="J70" s="28" t="str">
        <x:v>Тезариус вкусов (Ники Сегнит)(1).pdf: 50, 125</x:v>
      </x:c>
    </x:row>
    <x:row r="71" ht="44" customHeight="1">
      <x:c r="A71" s="28" t="str">
        <x:v>арахис</x:v>
      </x:c>
      <x:c r="B71" s="28" t="n">
        <x:v>10</x:v>
      </x:c>
      <x:c r="C71" s="28" t="str">
        <x:v>брокколи</x:v>
      </x:c>
      <x:c r="D71" s="28" t="n">
        <x:v>6</x:v>
      </x:c>
      <x:c r="E71" s="28" t="str">
        <x:v>Средняя</x:v>
      </x:c>
      <x:c r="F71" s="28" t="n">
        <x:v>1</x:v>
      </x:c>
      <x:c r="G71" s="28" t="str">
        <x:v>сенсорная комплементарность</x:v>
      </x:c>
      <x:c r="H71" s="28" t="str">
        <x:v>пралине, паста, выпечка, гарнир, соус, молочный или коктейльный компонент с брокколи</x:v>
      </x:c>
      <x:c r="I71" s="28" t="str">
        <x:v>Тезариус вкусов (Ники Сегнит)(1).pdf</x:v>
      </x:c>
      <x:c r="J71" s="28" t="str">
        <x:v>Тезариус вкусов (Ники Сегнит)(1).pdf: 51, 329</x:v>
      </x:c>
    </x:row>
    <x:row r="72" ht="44" customHeight="1">
      <x:c r="A72" s="28" t="str">
        <x:v>арахис</x:v>
      </x:c>
      <x:c r="B72" s="28" t="n">
        <x:v>11</x:v>
      </x:c>
      <x:c r="C72" s="28" t="str">
        <x:v>ваниль</x:v>
      </x:c>
      <x:c r="D72" s="28" t="n">
        <x:v>6</x:v>
      </x:c>
      <x:c r="E72" s="28" t="str">
        <x:v>Средняя</x:v>
      </x:c>
      <x:c r="F72" s="28" t="n">
        <x:v>1</x:v>
      </x:c>
      <x:c r="G72" s="28" t="str">
        <x:v>сенсорная комплементарность</x:v>
      </x:c>
      <x:c r="H72" s="28" t="str">
        <x:v>пралине, паста, выпечка, гарнир, соус, молочный или коктейльный компонент с ваниль</x:v>
      </x:c>
      <x:c r="I72" s="28" t="str">
        <x:v>Тезариус вкусов (Ники Сегнит)(1).pdf</x:v>
      </x:c>
      <x:c r="J72" s="28" t="str">
        <x:v>Тезариус вкусов (Ники Сегнит)(1).pdf: 51, 914</x:v>
      </x:c>
    </x:row>
    <x:row r="73" ht="44" customHeight="1">
      <x:c r="A73" s="28" t="str">
        <x:v>арахис</x:v>
      </x:c>
      <x:c r="B73" s="28" t="n">
        <x:v>12</x:v>
      </x:c>
      <x:c r="C73" s="28" t="str">
        <x:v>виноград</x:v>
      </x:c>
      <x:c r="D73" s="28" t="n">
        <x:v>6</x:v>
      </x:c>
      <x:c r="E73" s="28" t="str">
        <x:v>Средняя</x:v>
      </x:c>
      <x:c r="F73" s="28" t="n">
        <x:v>1</x:v>
      </x:c>
      <x:c r="G73" s="28" t="str">
        <x:v>общие ароматические соединения</x:v>
      </x:c>
      <x:c r="H73" s="28" t="str">
        <x:v>пралине, паста, выпечка, гарнир, соус, молочный или коктейльный компонент с виноград</x:v>
      </x:c>
      <x:c r="I73" s="28" t="str">
        <x:v>Тезариус вкусов (Ники Сегнит)(1).pdf</x:v>
      </x:c>
      <x:c r="J73" s="28" t="str">
        <x:v>Тезариус вкусов (Ники Сегнит)(1).pdf: 52, 665</x:v>
      </x:c>
    </x:row>
    <x:row r="74" ht="44" customHeight="1">
      <x:c r="A74" s="28" t="str">
        <x:v>арахис</x:v>
      </x:c>
      <x:c r="B74" s="28" t="n">
        <x:v>13</x:v>
      </x:c>
      <x:c r="C74" s="28" t="str">
        <x:v>картофель</x:v>
      </x:c>
      <x:c r="D74" s="28" t="n">
        <x:v>6</x:v>
      </x:c>
      <x:c r="E74" s="28" t="str">
        <x:v>Средняя</x:v>
      </x:c>
      <x:c r="F74" s="28" t="n">
        <x:v>1</x:v>
      </x:c>
      <x:c r="G74" s="28" t="str">
        <x:v>общие ароматические соединения</x:v>
      </x:c>
      <x:c r="H74" s="28" t="str">
        <x:v>пралине, паста, выпечка, гарнир, соус, молочный или коктейльный компонент с картофель</x:v>
      </x:c>
      <x:c r="I74" s="28" t="str">
        <x:v>Тезариус вкусов (Ники Сегнит)(1).pdf</x:v>
      </x:c>
      <x:c r="J74" s="28" t="str">
        <x:v>Тезариус вкусов (Ники Сегнит)(1).pdf: 53, 230</x:v>
      </x:c>
    </x:row>
    <x:row r="75" ht="44" customHeight="1">
      <x:c r="A75" s="28" t="str">
        <x:v>арахис</x:v>
      </x:c>
      <x:c r="B75" s="28" t="n">
        <x:v>14</x:v>
      </x:c>
      <x:c r="C75" s="28" t="str">
        <x:v>лайм</x:v>
      </x:c>
      <x:c r="D75" s="28" t="n">
        <x:v>6</x:v>
      </x:c>
      <x:c r="E75" s="28" t="str">
        <x:v>Средняя</x:v>
      </x:c>
      <x:c r="F75" s="28" t="n">
        <x:v>1</x:v>
      </x:c>
      <x:c r="G75" s="28" t="str">
        <x:v>контраст кислоты и жирной/горькой матрицы</x:v>
      </x:c>
      <x:c r="H75" s="28" t="str">
        <x:v>пралине, паста, выпечка, гарнир, соус, молочный или коктейльный компонент с лайм</x:v>
      </x:c>
      <x:c r="I75" s="28" t="str">
        <x:v>Тезариус вкусов (Ники Сегнит)(1).pdf</x:v>
      </x:c>
      <x:c r="J75" s="28" t="str">
        <x:v>Тезариус вкусов (Ники Сегнит)(1).pdf: 54, 792</x:v>
      </x:c>
    </x:row>
    <x:row r="76" ht="44" customHeight="1">
      <x:c r="A76" s="28" t="str">
        <x:v>арахис</x:v>
      </x:c>
      <x:c r="B76" s="28" t="n">
        <x:v>15</x:v>
      </x:c>
      <x:c r="C76" s="28" t="str">
        <x:v>листья кориандра</x:v>
      </x:c>
      <x:c r="D76" s="28" t="n">
        <x:v>6</x:v>
      </x:c>
      <x:c r="E76" s="28" t="str">
        <x:v>Средняя</x:v>
      </x:c>
      <x:c r="F76" s="28" t="n">
        <x:v>1</x:v>
      </x:c>
      <x:c r="G76" s="28" t="str">
        <x:v>сенсорная комплементарность</x:v>
      </x:c>
      <x:c r="H76" s="28" t="str">
        <x:v>пралине, паста, выпечка, гарнир, соус, молочный или коктейльный компонент с листья кориандра</x:v>
      </x:c>
      <x:c r="I76" s="28" t="str">
        <x:v>Тезариус вкусов (Ники Сегнит)(1).pdf</x:v>
      </x:c>
      <x:c r="J76" s="28" t="str">
        <x:v>Тезариус вкусов (Ники Сегнит)(1).pdf: 55, 516</x:v>
      </x:c>
    </x:row>
    <x:row r="77" ht="44" customHeight="1">
      <x:c r="A77" s="28" t="str">
        <x:v>арахис</x:v>
      </x:c>
      <x:c r="B77" s="28" t="n">
        <x:v>16</x:v>
      </x:c>
      <x:c r="C77" s="28" t="str">
        <x:v>моллюски</x:v>
      </x:c>
      <x:c r="D77" s="28" t="n">
        <x:v>6</x:v>
      </x:c>
      <x:c r="E77" s="28" t="str">
        <x:v>Средняя</x:v>
      </x:c>
      <x:c r="F77" s="28" t="n">
        <x:v>1</x:v>
      </x:c>
      <x:c r="G77" s="28" t="str">
        <x:v>сенсорная комплементарность</x:v>
      </x:c>
      <x:c r="H77" s="28" t="str">
        <x:v>пралине, паста, выпечка, гарнир, соус, молочный или коктейльный компонент с моллюски</x:v>
      </x:c>
      <x:c r="I77" s="28" t="str">
        <x:v>Тезариус вкусов (Ники Сегнит)(1).pdf</x:v>
      </x:c>
      <x:c r="J77" s="28" t="str">
        <x:v>Тезариус вкусов (Ники Сегнит)(1).pdf: 55, 365</x:v>
      </x:c>
    </x:row>
    <x:row r="78" ht="44" customHeight="1">
      <x:c r="A78" s="28" t="str">
        <x:v>арахис</x:v>
      </x:c>
      <x:c r="B78" s="28" t="n">
        <x:v>17</x:v>
      </x:c>
      <x:c r="C78" s="28" t="str">
        <x:v>морковь</x:v>
      </x:c>
      <x:c r="D78" s="28" t="n">
        <x:v>6</x:v>
      </x:c>
      <x:c r="E78" s="28" t="str">
        <x:v>Средняя</x:v>
      </x:c>
      <x:c r="F78" s="28" t="n">
        <x:v>1</x:v>
      </x:c>
      <x:c r="G78" s="28" t="str">
        <x:v>общие ароматические соединения</x:v>
      </x:c>
      <x:c r="H78" s="28" t="str">
        <x:v>пралине, паста, выпечка, гарнир, соус, молочный или коктейльный компонент с морковь</x:v>
      </x:c>
      <x:c r="I78" s="28" t="str">
        <x:v>Тезариус вкусов (Ники Сегнит)(1).pdf</x:v>
      </x:c>
      <x:c r="J78" s="28" t="str">
        <x:v>Тезариус вкусов (Ники Сегнит)(1).pdf: 55, 602</x:v>
      </x:c>
    </x:row>
    <x:row r="79" ht="44" customHeight="1">
      <x:c r="A79" s="28" t="str">
        <x:v>арахис</x:v>
      </x:c>
      <x:c r="B79" s="28" t="n">
        <x:v>18</x:v>
      </x:c>
      <x:c r="C79" s="28" t="str">
        <x:v>огурцы</x:v>
      </x:c>
      <x:c r="D79" s="28" t="n">
        <x:v>6</x:v>
      </x:c>
      <x:c r="E79" s="28" t="str">
        <x:v>Средняя</x:v>
      </x:c>
      <x:c r="F79" s="28" t="n">
        <x:v>1</x:v>
      </x:c>
      <x:c r="G79" s="28" t="str">
        <x:v>общие ароматические соединения</x:v>
      </x:c>
      <x:c r="H79" s="28" t="str">
        <x:v>пралине, паста, выпечка, гарнир, соус, молочный или коктейльный компонент с огурцы</x:v>
      </x:c>
      <x:c r="I79" s="28" t="str">
        <x:v>Тезариус вкусов (Ники Сегнит)(1).pdf</x:v>
      </x:c>
      <x:c r="J79" s="28" t="str">
        <x:v>Тезариус вкусов (Ники Сегнит)(1).pdf: 56, 491</x:v>
      </x:c>
    </x:row>
    <x:row r="80" ht="44" customHeight="1">
      <x:c r="A80" s="28" t="str">
        <x:v>арахис</x:v>
      </x:c>
      <x:c r="B80" s="28" t="n">
        <x:v>19</x:v>
      </x:c>
      <x:c r="C80" s="28" t="str">
        <x:v>свинина</x:v>
      </x:c>
      <x:c r="D80" s="28" t="n">
        <x:v>6</x:v>
      </x:c>
      <x:c r="E80" s="28" t="str">
        <x:v>Средняя</x:v>
      </x:c>
      <x:c r="F80" s="28" t="n">
        <x:v>1</x:v>
      </x:c>
      <x:c r="G80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H80" s="28" t="str">
        <x:v>пралине, паста, выпечка, гарнир, соус, молочный или коктейльный компонент с свинина</x:v>
      </x:c>
      <x:c r="I80" s="28" t="str">
        <x:v>Тезариус вкусов (Ники Сегнит)(1).pdf</x:v>
      </x:c>
      <x:c r="J80" s="28" t="str">
        <x:v>Тезариус вкусов (Ники Сегнит)(1).pdf: 56, 78</x:v>
      </x:c>
    </x:row>
    <x:row r="81" ht="44" customHeight="1">
      <x:c r="A81" s="28" t="str">
        <x:v>арахис</x:v>
      </x:c>
      <x:c r="B81" s="28" t="n">
        <x:v>20</x:v>
      </x:c>
      <x:c r="C81" s="28" t="str">
        <x:v>сельдерей</x:v>
      </x:c>
      <x:c r="D81" s="28" t="n">
        <x:v>6</x:v>
      </x:c>
      <x:c r="E81" s="28" t="str">
        <x:v>Средняя</x:v>
      </x:c>
      <x:c r="F81" s="28" t="n">
        <x:v>1</x:v>
      </x:c>
      <x:c r="G81" s="28" t="str">
        <x:v>сенсорная комплементарность</x:v>
      </x:c>
      <x:c r="H81" s="28" t="str">
        <x:v>пралине, паста, выпечка, гарнир, соус, молочный или коктейльный компонент с сельдерей</x:v>
      </x:c>
      <x:c r="I81" s="28" t="str">
        <x:v>Тезариус вкусов (Ники Сегнит)(1).pdf</x:v>
      </x:c>
      <x:c r="J81" s="28" t="str">
        <x:v>Тезариус вкусов (Ники Сегнит)(1).pdf: 56, 248</x:v>
      </x:c>
    </x:row>
    <x:row r="82" ht="44" customHeight="1">
      <x:c r="A82" s="28" t="str">
        <x:v>каштан</x:v>
      </x:c>
      <x:c r="B82" s="28" t="n">
        <x:v>1</x:v>
      </x:c>
      <x:c r="C82" s="28" t="str">
        <x:v>груша</x:v>
      </x:c>
      <x:c r="D82" s="28" t="n">
        <x:v>10</x:v>
      </x:c>
      <x:c r="E82" s="28" t="str">
        <x:v>Высокая</x:v>
      </x:c>
      <x:c r="F82" s="28" t="n">
        <x:v>2</x:v>
      </x:c>
      <x:c r="G82" s="28" t="str">
        <x:v>общие ароматические соединения, контраст кислоты и жирной/горькой матрицы</x:v>
      </x:c>
      <x:c r="H82" s="28" t="str">
        <x:v>пралине, паста, выпечка, гарнир, соус, молочный или коктейльный компонент с груша</x:v>
      </x:c>
      <x:c r="I82" s="28" t="str">
        <x:v>Таблица сочетания(1).pdf | Тезариус вкусов (Ники Сегнит)(1).pdf</x:v>
      </x:c>
      <x:c r="J82" s="28" t="str">
        <x:v>Таблица сочетания(1).pdf: 16; Тезариус вкусов (Ники Сегнит)(1).pdf: 617, 724</x:v>
      </x:c>
    </x:row>
    <x:row r="83" ht="44" customHeight="1">
      <x:c r="A83" s="28" t="str">
        <x:v>каштан</x:v>
      </x:c>
      <x:c r="B83" s="28" t="n">
        <x:v>2</x:v>
      </x:c>
      <x:c r="C83" s="28" t="str">
        <x:v>розмарин</x:v>
      </x:c>
      <x:c r="D83" s="28" t="n">
        <x:v>10</x:v>
      </x:c>
      <x:c r="E83" s="28" t="str">
        <x:v>Высокая</x:v>
      </x:c>
      <x:c r="F83" s="28" t="n">
        <x:v>2</x:v>
      </x:c>
      <x:c r="G83" s="28" t="str">
        <x:v>сенсорная комплементарность</x:v>
      </x:c>
      <x:c r="H83" s="28" t="str">
        <x:v>пралине, паста, выпечка, гарнир, соус, молочный или коктейльный компонент с розмарин</x:v>
      </x:c>
      <x:c r="I83" s="28" t="str">
        <x:v>Таблица сочетания(1).pdf | Тезариус вкусов (Ники Сегнит)(1).pdf</x:v>
      </x:c>
      <x:c r="J83" s="28" t="str">
        <x:v>Таблица сочетания(1).pdf: 4; Тезариус вкусов (Ники Сегнит)(1).pdf: 618, 837</x:v>
      </x:c>
    </x:row>
    <x:row r="84" ht="44" customHeight="1">
      <x:c r="A84" s="28" t="str">
        <x:v>каштан</x:v>
      </x:c>
      <x:c r="B84" s="28" t="n">
        <x:v>3</x:v>
      </x:c>
      <x:c r="C84" s="28" t="str">
        <x:v>шоколад</x:v>
      </x:c>
      <x:c r="D84" s="28" t="n">
        <x:v>10</x:v>
      </x:c>
      <x:c r="E84" s="28" t="str">
        <x:v>Высокая</x:v>
      </x:c>
      <x:c r="F84" s="28" t="n">
        <x:v>2</x:v>
      </x:c>
      <x:c r="G84" s="28" t="str">
        <x:v>общие ароматические соединения, пересечение ароматических семейств, жареная химия и реакции Майяра</x:v>
      </x:c>
      <x:c r="H84" s="28" t="str">
        <x:v>пралине, паста, выпечка, гарнир, соус, молочный или коктейльный компонент с шоколад</x:v>
      </x:c>
      <x:c r="I84" s="28" t="str">
        <x:v>Таблица сочетания(1).pdf | Тезариус вкусов (Ники Сегнит)(1).pdf</x:v>
      </x:c>
      <x:c r="J84" s="28" t="str">
        <x:v>Таблица сочетания(1).pdf: 4; Тезариус вкусов (Ники Сегнит)(1).pdf: 30, 621</x:v>
      </x:c>
    </x:row>
    <x:row r="85" ht="44" customHeight="1">
      <x:c r="A85" s="28" t="str">
        <x:v>каштан</x:v>
      </x:c>
      <x:c r="B85" s="28" t="n">
        <x:v>4</x:v>
      </x:c>
      <x:c r="C85" s="28" t="str">
        <x:v>баранина</x:v>
      </x:c>
      <x:c r="D85" s="28" t="n">
        <x:v>6</x:v>
      </x:c>
      <x:c r="E85" s="28" t="str">
        <x:v>Средняя</x:v>
      </x:c>
      <x:c r="F85" s="28" t="n">
        <x:v>1</x:v>
      </x:c>
      <x:c r="G85" s="28" t="str">
        <x:v>общие ароматические соединения, жареная химия и реакции Майяра, солёно-умами контраст</x:v>
      </x:c>
      <x:c r="H85" s="28" t="str">
        <x:v>пралине, паста, выпечка, гарнир, соус, молочный или коктейльный компонент с баранина</x:v>
      </x:c>
      <x:c r="I85" s="28" t="str">
        <x:v>Тезариус вкусов (Ники Сегнит)(1).pdf</x:v>
      </x:c>
      <x:c r="J85" s="28" t="str">
        <x:v>Тезариус вкусов (Ники Сегнит)(1).pdf: 130, 616</x:v>
      </x:c>
    </x:row>
    <x:row r="86" ht="44" customHeight="1">
      <x:c r="A86" s="28" t="str">
        <x:v>каштан</x:v>
      </x:c>
      <x:c r="B86" s="28" t="n">
        <x:v>5</x:v>
      </x:c>
      <x:c r="C86" s="28" t="str">
        <x:v>ваниль</x:v>
      </x:c>
      <x:c r="D86" s="28" t="n">
        <x:v>6</x:v>
      </x:c>
      <x:c r="E86" s="28" t="str">
        <x:v>Средняя</x:v>
      </x:c>
      <x:c r="F86" s="28" t="n">
        <x:v>1</x:v>
      </x:c>
      <x:c r="G86" s="28" t="str">
        <x:v>сенсорная комплементарность</x:v>
      </x:c>
      <x:c r="H86" s="28" t="str">
        <x:v>пралине, паста, выпечка, гарнир, соус, молочный или коктейльный компонент с ваниль</x:v>
      </x:c>
      <x:c r="I86" s="28" t="str">
        <x:v>Тезариус вкусов (Ники Сегнит)(1).pdf</x:v>
      </x:c>
      <x:c r="J86" s="28" t="str">
        <x:v>Тезариус вкусов (Ники Сегнит)(1).pdf: 616, 917</x:v>
      </x:c>
    </x:row>
    <x:row r="87" ht="44" customHeight="1">
      <x:c r="A87" s="28" t="str">
        <x:v>каштан</x:v>
      </x:c>
      <x:c r="B87" s="28" t="n">
        <x:v>6</x:v>
      </x:c>
      <x:c r="C87" s="28" t="str">
        <x:v>грибы</x:v>
      </x:c>
      <x:c r="D87" s="28" t="n">
        <x:v>6</x:v>
      </x:c>
      <x:c r="E87" s="28" t="str">
        <x:v>Средняя</x:v>
      </x:c>
      <x:c r="F87" s="28" t="n">
        <x:v>1</x:v>
      </x:c>
      <x:c r="G87" s="28" t="str">
        <x:v>общие ароматические соединения</x:v>
      </x:c>
      <x:c r="H87" s="28" t="str">
        <x:v>пралине, паста, выпечка, гарнир, соус, молочный или коктейльный компонент с грибы</x:v>
      </x:c>
      <x:c r="I87" s="28" t="str">
        <x:v>Тезариус вкусов (Ники Сегнит)(1).pdf</x:v>
      </x:c>
      <x:c r="J87" s="28" t="str">
        <x:v>Тезариус вкусов (Ники Сегнит)(1).pdf: 197, 617</x:v>
      </x:c>
    </x:row>
    <x:row r="88" ht="44" customHeight="1">
      <x:c r="A88" s="28" t="str">
        <x:v>каштан</x:v>
      </x:c>
      <x:c r="B88" s="28" t="n">
        <x:v>7</x:v>
      </x:c>
      <x:c r="C88" s="28" t="str">
        <x:v>капуста</x:v>
      </x:c>
      <x:c r="D88" s="28" t="n">
        <x:v>6</x:v>
      </x:c>
      <x:c r="E88" s="28" t="str">
        <x:v>Средняя</x:v>
      </x:c>
      <x:c r="F88" s="28" t="n">
        <x:v>1</x:v>
      </x:c>
      <x:c r="G88" s="28" t="str">
        <x:v>общие ароматические соединения</x:v>
      </x:c>
      <x:c r="H88" s="28" t="str">
        <x:v>пралине, паста, выпечка, гарнир, соус, молочный или коктейльный компонент с капуста</x:v>
      </x:c>
      <x:c r="I88" s="28" t="str">
        <x:v>Тезариус вкусов (Ники Сегнит)(1).pdf</x:v>
      </x:c>
      <x:c r="J88" s="28" t="str">
        <x:v>Тезариус вкусов (Ники Сегнит)(1).pdf: 311, 617</x:v>
      </x:c>
    </x:row>
    <x:row r="89" ht="44" customHeight="1">
      <x:c r="A89" s="28" t="str">
        <x:v>каштан</x:v>
      </x:c>
      <x:c r="B89" s="28" t="n">
        <x:v>8</x:v>
      </x:c>
      <x:c r="C89" s="28" t="str">
        <x:v>прошутто</x:v>
      </x:c>
      <x:c r="D89" s="28" t="n">
        <x:v>6</x:v>
      </x:c>
      <x:c r="E89" s="28" t="str">
        <x:v>Средняя</x:v>
      </x:c>
      <x:c r="F89" s="28" t="n">
        <x:v>1</x:v>
      </x:c>
      <x:c r="G89" s="28" t="str">
        <x:v>сенсорная комплементарность</x:v>
      </x:c>
      <x:c r="H89" s="28" t="str">
        <x:v>пралине, паста, выпечка, гарнир, соус, молочный или коктейльный компонент с прошутто</x:v>
      </x:c>
      <x:c r="I89" s="28" t="str">
        <x:v>Тезариус вкусов (Ники Сегнит)(1).pdf</x:v>
      </x:c>
      <x:c r="J89" s="28" t="str">
        <x:v>Тезариус вкусов (Ники Сегнит)(1).pdf: 457, 618</x:v>
      </x:c>
    </x:row>
    <x:row r="90" ht="44" customHeight="1">
      <x:c r="A90" s="28" t="str">
        <x:v>каштан</x:v>
      </x:c>
      <x:c r="B90" s="28" t="n">
        <x:v>9</x:v>
      </x:c>
      <x:c r="C90" s="28" t="str">
        <x:v>свинина</x:v>
      </x:c>
      <x:c r="D90" s="28" t="n">
        <x:v>6</x:v>
      </x:c>
      <x:c r="E90" s="28" t="str">
        <x:v>Средняя</x:v>
      </x:c>
      <x:c r="F90" s="28" t="n">
        <x:v>1</x:v>
      </x:c>
      <x:c r="G90" s="28" t="str">
        <x:v>общие ароматические соединения, жареная химия и реакции Майяра, солёно-умами контраст</x:v>
      </x:c>
      <x:c r="H90" s="28" t="str">
        <x:v>пралине, паста, выпечка, гарнир, соус, молочный или коктейльный компонент с свинина</x:v>
      </x:c>
      <x:c r="I90" s="28" t="str">
        <x:v>Тезариус вкусов (Ники Сегнит)(1).pdf</x:v>
      </x:c>
      <x:c r="J90" s="28" t="str">
        <x:v>Тезариус вкусов (Ники Сегнит)(1).pdf: 85, 619</x:v>
      </x:c>
    </x:row>
    <x:row r="91" ht="44" customHeight="1">
      <x:c r="A91" s="28" t="str">
        <x:v>каштан</x:v>
      </x:c>
      <x:c r="B91" s="28" t="n">
        <x:v>10</x:v>
      </x:c>
      <x:c r="C91" s="28" t="str">
        <x:v>сельдерей</x:v>
      </x:c>
      <x:c r="D91" s="28" t="n">
        <x:v>6</x:v>
      </x:c>
      <x:c r="E91" s="28" t="str">
        <x:v>Средняя</x:v>
      </x:c>
      <x:c r="F91" s="28" t="n">
        <x:v>1</x:v>
      </x:c>
      <x:c r="G91" s="28" t="str">
        <x:v>сенсорная комплементарность</x:v>
      </x:c>
      <x:c r="H91" s="28" t="str">
        <x:v>пралине, паста, выпечка, гарнир, соус, молочный или коктейльный компонент с сельдерей</x:v>
      </x:c>
      <x:c r="I91" s="28" t="str">
        <x:v>Тезариус вкусов (Ники Сегнит)(1).pdf</x:v>
      </x:c>
      <x:c r="J91" s="28" t="str">
        <x:v>Тезариус вкусов (Ники Сегнит)(1).pdf: 251, 620</x:v>
      </x:c>
    </x:row>
    <x:row r="92" ht="44" customHeight="1">
      <x:c r="A92" s="28" t="str">
        <x:v>каштан</x:v>
      </x:c>
      <x:c r="B92" s="28" t="n">
        <x:v>11</x:v>
      </x:c>
      <x:c r="C92" s="28" t="str">
        <x:v>тыква баттернат</x:v>
      </x:c>
      <x:c r="D92" s="28" t="n">
        <x:v>6</x:v>
      </x:c>
      <x:c r="E92" s="28" t="str">
        <x:v>Средняя</x:v>
      </x:c>
      <x:c r="F92" s="28" t="n">
        <x:v>1</x:v>
      </x:c>
      <x:c r="G92" s="28" t="str">
        <x:v>общие ароматические соединения</x:v>
      </x:c>
      <x:c r="H92" s="28" t="str">
        <x:v>пралине, паста, выпечка, гарнир, соус, молочный или коктейльный компонент с тыква баттернат</x:v>
      </x:c>
      <x:c r="I92" s="28" t="str">
        <x:v>Тезариус вкусов (Ники Сегнит)(1).pdf</x:v>
      </x:c>
      <x:c r="J92" s="28" t="str">
        <x:v>Тезариус вкусов (Ники Сегнит)(1).pdf: 610, 620</x:v>
      </x:c>
    </x:row>
    <x:row r="93" ht="44" customHeight="1">
      <x:c r="A93" s="28" t="str">
        <x:v>каштан</x:v>
      </x:c>
      <x:c r="B93" s="28" t="n">
        <x:v>12</x:v>
      </x:c>
      <x:c r="C93" s="28" t="str">
        <x:v>цыпленок</x:v>
      </x:c>
      <x:c r="D93" s="28" t="n">
        <x:v>6</x:v>
      </x:c>
      <x:c r="E93" s="28" t="str">
        <x:v>Средняя</x:v>
      </x:c>
      <x:c r="F93" s="28" t="n">
        <x:v>1</x:v>
      </x:c>
      <x:c r="G93" s="28" t="str">
        <x:v>сенсорная комплементарность</x:v>
      </x:c>
      <x:c r="H93" s="28" t="str">
        <x:v>пралине, паста, выпечка, гарнир, соус, молочный или коктейльный компонент с цыпленок</x:v>
      </x:c>
      <x:c r="I93" s="28" t="str">
        <x:v>Тезариус вкусов (Ники Сегнит)(1).pdf</x:v>
      </x:c>
      <x:c r="J93" s="28" t="str">
        <x:v>Тезариус вкусов (Ники Сегнит)(1).pdf: 68, 620</x:v>
      </x:c>
    </x:row>
    <x:row r="94" ht="44" customHeight="1">
      <x:c r="A94" s="28" t="str">
        <x:v>каштан</x:v>
      </x:c>
      <x:c r="B94" s="28" t="n">
        <x:v>13</x:v>
      </x:c>
      <x:c r="C94" s="28" t="str">
        <x:v>лимон</x:v>
      </x:c>
      <x:c r="D94" s="28" t="n">
        <x:v>5</x:v>
      </x:c>
      <x:c r="E94" s="28" t="str">
        <x:v>Гипотеза / практическая</x:v>
      </x:c>
      <x:c r="F94" s="28" t="n">
        <x:v>1</x:v>
      </x:c>
      <x:c r="G94" s="28" t="str">
        <x:v>контраст кислоты и жирной/горькой матрицы</x:v>
      </x:c>
      <x:c r="H94" s="28" t="str">
        <x:v>пралине, паста, выпечка, гарнир, соус, молочный или коктейльный компонент с лимон</x:v>
      </x:c>
      <x:c r="I94" s="28" t="str">
        <x:v>Таблица сочетания(1).pdf</x:v>
      </x:c>
      <x:c r="J94" s="28" t="str">
        <x:v>Таблица сочетания(1).pdf: 4, 11</x:v>
      </x:c>
    </x:row>
    <x:row r="95" ht="44" customHeight="1">
      <x:c r="A95" s="28" t="str">
        <x:v>каштан</x:v>
      </x:c>
      <x:c r="B95" s="28" t="n">
        <x:v>14</x:v>
      </x:c>
      <x:c r="C95" s="28" t="str">
        <x:v>трюфель</x:v>
      </x:c>
      <x:c r="D95" s="28" t="n">
        <x:v>5</x:v>
      </x:c>
      <x:c r="E95" s="28" t="str">
        <x:v>Средняя</x:v>
      </x:c>
      <x:c r="F95" s="28" t="n">
        <x:v>1</x:v>
      </x:c>
      <x:c r="G95" s="28" t="str">
        <x:v>сенсорная комплементарность</x:v>
      </x:c>
      <x:c r="H95" s="28" t="str">
        <x:v>пралине, паста, выпечка, гарнир, соус, молочный или коктейльный компонент с трюфель</x:v>
      </x:c>
      <x:c r="I95" s="28" t="str">
        <x:v>The Art &amp; Science of Foodpairing.pdf</x:v>
      </x:c>
      <x:c r="J95" s="28" t="str">
        <x:v>The Art &amp; Science of Foodpairing.pdf: 192</x:v>
      </x:c>
    </x:row>
    <x:row r="96" ht="44" customHeight="1">
      <x:c r="A96" s="28" t="str">
        <x:v>каштан</x:v>
      </x:c>
      <x:c r="B96" s="28" t="n">
        <x:v>15</x:v>
      </x:c>
      <x:c r="C96" s="28" t="str">
        <x:v>чернослив</x:v>
      </x:c>
      <x:c r="D96" s="28" t="n">
        <x:v>5</x:v>
      </x:c>
      <x:c r="E96" s="28" t="str">
        <x:v>Гипотеза / практическая</x:v>
      </x:c>
      <x:c r="F96" s="28" t="n">
        <x:v>1</x:v>
      </x:c>
      <x:c r="G96" s="28" t="str">
        <x:v>общие ароматические соединения, контраст кислоты и жирной/горькой матрицы</x:v>
      </x:c>
      <x:c r="H96" s="28" t="str">
        <x:v>пралине, паста, выпечка, гарнир, соус, молочный или коктейльный компонент с чернослив</x:v>
      </x:c>
      <x:c r="I96" s="28" t="str">
        <x:v>Таблица сочетания(1).pdf</x:v>
      </x:c>
      <x:c r="J96" s="28" t="str">
        <x:v>Таблица сочетания(1).pdf: 4, 18</x:v>
      </x:c>
    </x:row>
    <x:row r="97" ht="44" customHeight="1">
      <x:c r="A97" s="28" t="str">
        <x:v>каштан</x:v>
      </x:c>
      <x:c r="B97" s="28" t="n">
        <x:v>16</x:v>
      </x:c>
      <x:c r="C97" s="28" t="str">
        <x:v>яблоко</x:v>
      </x:c>
      <x:c r="D97" s="28" t="n">
        <x:v>5</x:v>
      </x:c>
      <x:c r="E97" s="28" t="str">
        <x:v>Гипотеза / практическая</x:v>
      </x:c>
      <x:c r="F97" s="28" t="n">
        <x:v>1</x:v>
      </x:c>
      <x:c r="G97" s="28" t="str">
        <x:v>общие ароматические соединения, контраст кислоты и жирной/горькой матрицы</x:v>
      </x:c>
      <x:c r="H97" s="28" t="str">
        <x:v>пралине, паста, выпечка, гарнир, соус, молочный или коктейльный компонент с яблоко</x:v>
      </x:c>
      <x:c r="I97" s="28" t="str">
        <x:v>Таблица сочетания(1).pdf</x:v>
      </x:c>
      <x:c r="J97" s="28" t="str">
        <x:v>Таблица сочетания(1).pdf: 1</x:v>
      </x:c>
    </x:row>
    <x:row r="98" ht="44" customHeight="1">
      <x:c r="A98" s="28" t="str">
        <x:v>каштан</x:v>
      </x:c>
      <x:c r="B98" s="28" t="n">
        <x:v>17</x:v>
      </x:c>
      <x:c r="C98" s="28" t="str">
        <x:v>апельсины</x:v>
      </x:c>
      <x:c r="D98" s="28" t="n">
        <x:v>4</x:v>
      </x:c>
      <x:c r="E98" s="28" t="str">
        <x:v>Гипотеза / практическая</x:v>
      </x:c>
      <x:c r="F98" s="28" t="n">
        <x:v>1</x:v>
      </x:c>
      <x:c r="G98" s="28" t="str">
        <x:v>контраст кислоты и жирной/горькой матрицы</x:v>
      </x:c>
      <x:c r="H98" s="28" t="str">
        <x:v>пралине, паста, выпечка, гарнир, соус, молочный или коктейльный компонент с апельсины</x:v>
      </x:c>
      <x:c r="I98" s="28" t="str">
        <x:v>Таблица сочетания(1).pdf</x:v>
      </x:c>
      <x:c r="J98" s="28" t="str">
        <x:v>Таблица сочетания(1).pdf: 4</x:v>
      </x:c>
    </x:row>
    <x:row r="99" ht="44" customHeight="1">
      <x:c r="A99" s="28" t="str">
        <x:v>каштан</x:v>
      </x:c>
      <x:c r="B99" s="28" t="n">
        <x:v>18</x:v>
      </x:c>
      <x:c r="C99" s="28" t="str">
        <x:v>гвоздика</x:v>
      </x:c>
      <x:c r="D99" s="28" t="n">
        <x:v>4</x:v>
      </x:c>
      <x:c r="E99" s="28" t="str">
        <x:v>Гипотеза / практическая</x:v>
      </x:c>
      <x:c r="F99" s="28" t="n">
        <x:v>1</x:v>
      </x:c>
      <x:c r="G99" s="28" t="str">
        <x:v>сенсорная комплементарность</x:v>
      </x:c>
      <x:c r="H99" s="28" t="str">
        <x:v>пралине, паста, выпечка, гарнир, соус, молочный или коктейльный компонент с гвоздика</x:v>
      </x:c>
      <x:c r="I99" s="28" t="str">
        <x:v>Таблица сочетания(1).pdf</x:v>
      </x:c>
      <x:c r="J99" s="28" t="str">
        <x:v>Таблица сочетания(1).pdf: 4</x:v>
      </x:c>
    </x:row>
    <x:row r="100" ht="44" customHeight="1">
      <x:c r="A100" s="28" t="str">
        <x:v>каштан</x:v>
      </x:c>
      <x:c r="B100" s="28" t="n">
        <x:v>19</x:v>
      </x:c>
      <x:c r="C100" s="28" t="str">
        <x:v>груши</x:v>
      </x:c>
      <x:c r="D100" s="28" t="n">
        <x:v>4</x:v>
      </x:c>
      <x:c r="E100" s="28" t="str">
        <x:v>Гипотеза / практическая</x:v>
      </x:c>
      <x:c r="F100" s="28" t="n">
        <x:v>1</x:v>
      </x:c>
      <x:c r="G100" s="28" t="str">
        <x:v>общие ароматические соединения, контраст кислоты и жирной/горькой матрицы</x:v>
      </x:c>
      <x:c r="H100" s="28" t="str">
        <x:v>пралине, паста, выпечка, гарнир, соус, молочный или коктейльный компонент с груши</x:v>
      </x:c>
      <x:c r="I100" s="28" t="str">
        <x:v>Таблица сочетания(1).pdf</x:v>
      </x:c>
      <x:c r="J100" s="28" t="str">
        <x:v>Таблица сочетания(1).pdf: 4</x:v>
      </x:c>
    </x:row>
    <x:row r="101" ht="44" customHeight="1">
      <x:c r="A101" s="28" t="str">
        <x:v>каштан</x:v>
      </x:c>
      <x:c r="B101" s="28" t="n">
        <x:v>20</x:v>
      </x:c>
      <x:c r="C101" s="28" t="str">
        <x:v>изюм</x:v>
      </x:c>
      <x:c r="D101" s="28" t="n">
        <x:v>4</x:v>
      </x:c>
      <x:c r="E101" s="28" t="str">
        <x:v>Гипотеза / практическая</x:v>
      </x:c>
      <x:c r="F101" s="28" t="n">
        <x:v>1</x:v>
      </x:c>
      <x:c r="G101" s="28" t="str">
        <x:v>сенсорная комплементарность</x:v>
      </x:c>
      <x:c r="H101" s="28" t="str">
        <x:v>пралине, паста, выпечка, гарнир, соус, молочный или коктейльный компонент с изюм</x:v>
      </x:c>
      <x:c r="I101" s="28" t="str">
        <x:v>Таблица сочетания(1).pdf</x:v>
      </x:c>
      <x:c r="J101" s="28" t="str">
        <x:v>Таблица сочетания(1).pdf: 4</x:v>
      </x:c>
    </x:row>
    <x:row r="102" ht="44" customHeight="1">
      <x:c r="A102" s="28" t="str">
        <x:v>кешью</x:v>
      </x:c>
      <x:c r="B102" s="28" t="n">
        <x:v>1</x:v>
      </x:c>
      <x:c r="C102" s="28" t="str">
        <x:v>груша</x:v>
      </x:c>
      <x:c r="D102" s="28" t="n">
        <x:v>9</x:v>
      </x:c>
      <x:c r="E102" s="28" t="str">
        <x:v>Высокая</x:v>
      </x:c>
      <x:c r="F102" s="28" t="n">
        <x:v>2</x:v>
      </x:c>
      <x:c r="G102" s="28" t="str">
        <x:v>общие ароматические соединения, контраст кислоты и жирной/горькой матрицы</x:v>
      </x:c>
      <x:c r="H102" s="28" t="str">
        <x:v>пралине, паста, выпечка, гарнир, соус, молочный или коктейльный компонент с груша</x:v>
      </x:c>
      <x:c r="I102" s="28" t="str">
        <x:v>The Art &amp; Science of Foodpairing.pdf | Таблица сочетания(1).pdf</x:v>
      </x:c>
      <x:c r="J102" s="28" t="str">
        <x:v>The Art &amp; Science of Foodpairing.pdf: 350; Таблица сочетания(1).pdf: 4</x:v>
      </x:c>
    </x:row>
    <x:row r="103" ht="44" customHeight="1">
      <x:c r="A103" s="28" t="str">
        <x:v>кешью</x:v>
      </x:c>
      <x:c r="B103" s="28" t="n">
        <x:v>2</x:v>
      </x:c>
      <x:c r="C103" s="28" t="str">
        <x:v>tomato and tomato puree</x:v>
      </x:c>
      <x:c r="D103" s="28" t="n">
        <x:v>6</x:v>
      </x:c>
      <x:c r="E103" s="28" t="str">
        <x:v>Средняя</x:v>
      </x:c>
      <x:c r="F103" s="28" t="n">
        <x:v>1</x:v>
      </x:c>
      <x:c r="G103" s="28" t="str">
        <x:v>общие ароматические соединения</x:v>
      </x:c>
      <x:c r="H103" s="28" t="str">
        <x:v>пралине, паста, выпечка, гарнир, соус, молочный или коктейльный компонент с tomato and tomato puree</x:v>
      </x:c>
      <x:c r="I103" s="28" t="str">
        <x:v>The Art &amp; Science of Foodpairing.pdf</x:v>
      </x:c>
      <x:c r="J103" s="28" t="str">
        <x:v>The Art &amp; Science of Foodpairing.pdf: 161</x:v>
      </x:c>
    </x:row>
    <x:row r="104" ht="44" customHeight="1">
      <x:c r="A104" s="28" t="str">
        <x:v>кешью</x:v>
      </x:c>
      <x:c r="B104" s="28" t="n">
        <x:v>3</x:v>
      </x:c>
      <x:c r="C104" s="28" t="str">
        <x:v>watermelon</x:v>
      </x:c>
      <x:c r="D104" s="28" t="n">
        <x:v>6</x:v>
      </x:c>
      <x:c r="E104" s="28" t="str">
        <x:v>Высокая</x:v>
      </x:c>
      <x:c r="F104" s="28" t="n">
        <x:v>1</x:v>
      </x:c>
      <x:c r="G104" s="28" t="str">
        <x:v>общие ароматические соединения, контраст кислоты и жирной/горькой матрицы</x:v>
      </x:c>
      <x:c r="H104" s="28" t="str">
        <x:v>пралине, паста, выпечка, гарнир, соус, молочный или коктейльный компонент с watermelon</x:v>
      </x:c>
      <x:c r="I104" s="28" t="str">
        <x:v>The Art &amp; Science of Foodpairing.pdf</x:v>
      </x:c>
      <x:c r="J104" s="28" t="str">
        <x:v>The Art &amp; Science of Foodpairing.pdf: 79</x:v>
      </x:c>
    </x:row>
    <x:row r="105" ht="44" customHeight="1">
      <x:c r="A105" s="28" t="str">
        <x:v>кешью</x:v>
      </x:c>
      <x:c r="B105" s="28" t="n">
        <x:v>4</x:v>
      </x:c>
      <x:c r="C105" s="28" t="str">
        <x:v>balsamic vinegar</x:v>
      </x:c>
      <x:c r="D105" s="28" t="n">
        <x:v>5</x:v>
      </x:c>
      <x:c r="E105" s="28" t="str">
        <x:v>Средняя</x:v>
      </x:c>
      <x:c r="F105" s="28" t="n">
        <x:v>1</x:v>
      </x:c>
      <x:c r="G105" s="28" t="str">
        <x:v>общие ароматические соединения, пересечение ароматических семейств, солёно-умами контраст</x:v>
      </x:c>
      <x:c r="H105" s="28" t="str">
        <x:v>пралине, паста, выпечка, гарнир, соус, молочный или коктейльный компонент с balsamic vinegar</x:v>
      </x:c>
      <x:c r="I105" s="28" t="str">
        <x:v>The Art &amp; Science of Foodpairing.pdf</x:v>
      </x:c>
      <x:c r="J105" s="28" t="str">
        <x:v>The Art &amp; Science of Foodpairing.pdf: 316</x:v>
      </x:c>
    </x:row>
    <x:row r="106" ht="44" customHeight="1">
      <x:c r="A106" s="28" t="str">
        <x:v>кешью</x:v>
      </x:c>
      <x:c r="B106" s="28" t="n">
        <x:v>5</x:v>
      </x:c>
      <x:c r="C106" s="28" t="str">
        <x:v>cucumber</x:v>
      </x:c>
      <x:c r="D106" s="28" t="n">
        <x:v>5</x:v>
      </x:c>
      <x:c r="E106" s="28" t="str">
        <x:v>Средняя</x:v>
      </x:c>
      <x:c r="F106" s="28" t="n">
        <x:v>1</x:v>
      </x:c>
      <x:c r="G106" s="28" t="str">
        <x:v>общие ароматические соединения</x:v>
      </x:c>
      <x:c r="H106" s="28" t="str">
        <x:v>пралине, паста, выпечка, гарнир, соус, молочный или коктейльный компонент с cucumber</x:v>
      </x:c>
      <x:c r="I106" s="28" t="str">
        <x:v>The Art &amp; Science of Foodpairing.pdf</x:v>
      </x:c>
      <x:c r="J106" s="28" t="str">
        <x:v>The Art &amp; Science of Foodpairing.pdf: 268</x:v>
      </x:c>
    </x:row>
    <x:row r="107" ht="44" customHeight="1">
      <x:c r="A107" s="28" t="str">
        <x:v>кешью</x:v>
      </x:c>
      <x:c r="B107" s="28" t="n">
        <x:v>6</x:v>
      </x:c>
      <x:c r="C107" s="28" t="str">
        <x:v>fish</x:v>
      </x:c>
      <x:c r="D107" s="28" t="n">
        <x:v>5</x:v>
      </x:c>
      <x:c r="E107" s="28" t="str">
        <x:v>Средняя</x:v>
      </x:c>
      <x:c r="F107" s="28" t="n">
        <x:v>1</x:v>
      </x:c>
      <x:c r="G107" s="28" t="str">
        <x:v>общие ароматические соединения, солёно-умами контраст</x:v>
      </x:c>
      <x:c r="H107" s="28" t="str">
        <x:v>пралине, паста, выпечка, гарнир, соус, молочный или коктейльный компонент с fish</x:v>
      </x:c>
      <x:c r="I107" s="28" t="str">
        <x:v>The Art &amp; Science of Foodpairing.pdf</x:v>
      </x:c>
      <x:c r="J107" s="28" t="str">
        <x:v>The Art &amp; Science of Foodpairing.pdf: 104</x:v>
      </x:c>
    </x:row>
    <x:row r="108" ht="44" customHeight="1">
      <x:c r="A108" s="28" t="str">
        <x:v>кешью</x:v>
      </x:c>
      <x:c r="B108" s="28" t="n">
        <x:v>7</x:v>
      </x:c>
      <x:c r="C108" s="28" t="str">
        <x:v>goats' cheese and milk</x:v>
      </x:c>
      <x:c r="D108" s="28" t="n">
        <x:v>5</x:v>
      </x:c>
      <x:c r="E108" s="28" t="str">
        <x:v>Средняя</x:v>
      </x:c>
      <x:c r="F108" s="28" t="n">
        <x:v>1</x:v>
      </x:c>
      <x:c r="G108" s="28" t="str">
        <x:v>общие ароматические соединения, пересечение ароматических семейств, жировая экстракция и связывание полифенолов белком</x:v>
      </x:c>
      <x:c r="H108" s="28" t="str">
        <x:v>пралине, паста, выпечка, гарнир, соус, молочный или коктейльный компонент с goats' cheese and milk</x:v>
      </x:c>
      <x:c r="I108" s="28" t="str">
        <x:v>The Art &amp; Science of Foodpairing.pdf</x:v>
      </x:c>
      <x:c r="J108" s="28" t="str">
        <x:v>The Art &amp; Science of Foodpairing.pdf: 200</x:v>
      </x:c>
    </x:row>
    <x:row r="109" ht="44" customHeight="1">
      <x:c r="A109" s="28" t="str">
        <x:v>кешью</x:v>
      </x:c>
      <x:c r="B109" s="28" t="n">
        <x:v>8</x:v>
      </x:c>
      <x:c r="C109" s="28" t="str">
        <x:v>lberico ham</x:v>
      </x:c>
      <x:c r="D109" s="28" t="n">
        <x:v>5</x:v>
      </x:c>
      <x:c r="E109" s="28" t="str">
        <x:v>Средняя</x:v>
      </x:c>
      <x:c r="F109" s="28" t="n">
        <x:v>1</x:v>
      </x:c>
      <x:c r="G109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H109" s="28" t="str">
        <x:v>пралине, паста, выпечка, гарнир, соус, молочный или коктейльный компонент с lberico ham</x:v>
      </x:c>
      <x:c r="I109" s="28" t="str">
        <x:v>The Art &amp; Science of Foodpairing.pdf</x:v>
      </x:c>
      <x:c r="J109" s="28" t="str">
        <x:v>The Art &amp; Science of Foodpairing.pdf: 278</x:v>
      </x:c>
    </x:row>
    <x:row r="110" ht="44" customHeight="1">
      <x:c r="A110" s="28" t="str">
        <x:v>кешью</x:v>
      </x:c>
      <x:c r="B110" s="28" t="n">
        <x:v>9</x:v>
      </x:c>
      <x:c r="C110" s="28" t="str">
        <x:v>кофе</x:v>
      </x:c>
      <x:c r="D110" s="28" t="n">
        <x:v>5</x:v>
      </x:c>
      <x:c r="E110" s="28" t="str">
        <x:v>Средняя</x:v>
      </x:c>
      <x:c r="F110" s="28" t="n">
        <x:v>1</x:v>
      </x:c>
      <x:c r="G110" s="28" t="str">
        <x:v>общие ароматические соединения, пересечение ароматических семейств, жареная химия и реакции Майяра</x:v>
      </x:c>
      <x:c r="H110" s="28" t="str">
        <x:v>пралине, паста, выпечка, гарнир, соус, молочный или коктейльный компонент с кофе</x:v>
      </x:c>
      <x:c r="I110" s="28" t="str">
        <x:v>The Art &amp; Science of Foodpairing.pdf</x:v>
      </x:c>
      <x:c r="J110" s="28" t="str">
        <x:v>The Art &amp; Science of Foodpairing.pdf: 297</x:v>
      </x:c>
    </x:row>
    <x:row r="111" ht="44" customHeight="1">
      <x:c r="A111" s="28" t="str">
        <x:v>кешью</x:v>
      </x:c>
      <x:c r="B111" s="28" t="n">
        <x:v>10</x:v>
      </x:c>
      <x:c r="C111" s="28" t="str">
        <x:v>сельдерей корневой</x:v>
      </x:c>
      <x:c r="D111" s="28" t="n">
        <x:v>5</x:v>
      </x:c>
      <x:c r="E111" s="28" t="str">
        <x:v>Средняя</x:v>
      </x:c>
      <x:c r="F111" s="28" t="n">
        <x:v>1</x:v>
      </x:c>
      <x:c r="G111" s="28" t="str">
        <x:v>сенсорная комплементарность</x:v>
      </x:c>
      <x:c r="H111" s="28" t="str">
        <x:v>пралине, паста, выпечка, гарнир, соус, молочный или коктейльный компонент с сельдерей корневой</x:v>
      </x:c>
      <x:c r="I111" s="28" t="str">
        <x:v>The Art &amp; Science of Foodpairing.pdf</x:v>
      </x:c>
      <x:c r="J111" s="28" t="str">
        <x:v>The Art &amp; Science of Foodpairing.pdf: 52</x:v>
      </x:c>
    </x:row>
    <x:row r="112" ht="44" customHeight="1">
      <x:c r="A112" s="28" t="str">
        <x:v>кешью</x:v>
      </x:c>
      <x:c r="B112" s="28" t="n">
        <x:v>11</x:v>
      </x:c>
      <x:c r="C112" s="28" t="str">
        <x:v>ананас</x:v>
      </x:c>
      <x:c r="D112" s="28" t="n">
        <x:v>4</x:v>
      </x:c>
      <x:c r="E112" s="28" t="str">
        <x:v>Гипотеза / практическая</x:v>
      </x:c>
      <x:c r="F112" s="28" t="n">
        <x:v>1</x:v>
      </x:c>
      <x:c r="G112" s="28" t="str">
        <x:v>сенсорная комплементарность</x:v>
      </x:c>
      <x:c r="H112" s="28" t="str">
        <x:v>пралине, паста, выпечка, гарнир, соус, молочный или коктейльный компонент с ананас</x:v>
      </x:c>
      <x:c r="I112" s="28" t="str">
        <x:v>Таблица сочетания(1).pdf</x:v>
      </x:c>
      <x:c r="J112" s="28" t="str">
        <x:v>Таблица сочетания(1).pdf: 4</x:v>
      </x:c>
    </x:row>
    <x:row r="113" ht="44" customHeight="1">
      <x:c r="A113" s="28" t="str">
        <x:v>кешью</x:v>
      </x:c>
      <x:c r="B113" s="28" t="n">
        <x:v>12</x:v>
      </x:c>
      <x:c r="C113" s="28" t="str">
        <x:v>имбирь</x:v>
      </x:c>
      <x:c r="D113" s="28" t="n">
        <x:v>4</x:v>
      </x:c>
      <x:c r="E113" s="28" t="str">
        <x:v>Гипотеза / практическая</x:v>
      </x:c>
      <x:c r="F113" s="28" t="n">
        <x:v>1</x:v>
      </x:c>
      <x:c r="G113" s="28" t="str">
        <x:v>сенсорная комплементарность</x:v>
      </x:c>
      <x:c r="H113" s="28" t="str">
        <x:v>пралине, паста, выпечка, гарнир, соус, молочный или коктейльный компонент с имбирь</x:v>
      </x:c>
      <x:c r="I113" s="28" t="str">
        <x:v>Таблица сочетания(1).pdf</x:v>
      </x:c>
      <x:c r="J113" s="28" t="str">
        <x:v>Таблица сочетания(1).pdf: 4</x:v>
      </x:c>
    </x:row>
    <x:row r="114" ht="44" customHeight="1">
      <x:c r="A114" s="28" t="str">
        <x:v>кешью</x:v>
      </x:c>
      <x:c r="B114" s="28" t="n">
        <x:v>13</x:v>
      </x:c>
      <x:c r="C114" s="28" t="str">
        <x:v>карамель</x:v>
      </x:c>
      <x:c r="D114" s="28" t="n">
        <x:v>4</x:v>
      </x:c>
      <x:c r="E114" s="28" t="str">
        <x:v>Гипотеза / практическая</x:v>
      </x:c>
      <x:c r="F114" s="28" t="n">
        <x:v>1</x:v>
      </x:c>
      <x:c r="G114" s="28" t="str">
        <x:v>общие ароматические соединения, пересечение ароматических семейств, жареная химия и реакции Майяра</x:v>
      </x:c>
      <x:c r="H114" s="28" t="str">
        <x:v>пралине, паста, выпечка, гарнир, соус, молочный или коктейльный компонент с карамель</x:v>
      </x:c>
      <x:c r="I114" s="28" t="str">
        <x:v>Таблица сочетания(1).pdf</x:v>
      </x:c>
      <x:c r="J114" s="28" t="str">
        <x:v>Таблица сочетания(1).pdf: 4</x:v>
      </x:c>
    </x:row>
    <x:row r="115" ht="44" customHeight="1">
      <x:c r="A115" s="28" t="str">
        <x:v>кешью</x:v>
      </x:c>
      <x:c r="B115" s="28" t="n">
        <x:v>14</x:v>
      </x:c>
      <x:c r="C115" s="28" t="str">
        <x:v>корица</x:v>
      </x:c>
      <x:c r="D115" s="28" t="n">
        <x:v>4</x:v>
      </x:c>
      <x:c r="E115" s="28" t="str">
        <x:v>Гипотеза / практическая</x:v>
      </x:c>
      <x:c r="F115" s="28" t="n">
        <x:v>1</x:v>
      </x:c>
      <x:c r="G115" s="28" t="str">
        <x:v>сенсорная комплементарность</x:v>
      </x:c>
      <x:c r="H115" s="28" t="str">
        <x:v>пралине, паста, выпечка, гарнир, соус, молочный или коктейльный компонент с корица</x:v>
      </x:c>
      <x:c r="I115" s="28" t="str">
        <x:v>Таблица сочетания(1).pdf</x:v>
      </x:c>
      <x:c r="J115" s="28" t="str">
        <x:v>Таблица сочетания(1).pdf: 4</x:v>
      </x:c>
    </x:row>
    <x:row r="116" ht="44" customHeight="1">
      <x:c r="A116" s="28" t="str">
        <x:v>кешью</x:v>
      </x:c>
      <x:c r="B116" s="28" t="n">
        <x:v>15</x:v>
      </x:c>
      <x:c r="C116" s="28" t="str">
        <x:v>мускатный орех</x:v>
      </x:c>
      <x:c r="D116" s="28" t="n">
        <x:v>4</x:v>
      </x:c>
      <x:c r="E116" s="28" t="str">
        <x:v>Гипотеза / практическая</x:v>
      </x:c>
      <x:c r="F116" s="28" t="n">
        <x:v>1</x:v>
      </x:c>
      <x:c r="G116" s="28" t="str">
        <x:v>пересечение ароматических семейств, жареная химия и реакции Майяра</x:v>
      </x:c>
      <x:c r="H116" s="28" t="str">
        <x:v>пралине, паста, выпечка, гарнир, соус, молочный или коктейльный компонент с мускатный орех</x:v>
      </x:c>
      <x:c r="I116" s="28" t="str">
        <x:v>Таблица сочетания(1).pdf</x:v>
      </x:c>
      <x:c r="J116" s="28" t="str">
        <x:v>Таблица сочетания(1).pdf: 4</x:v>
      </x:c>
    </x:row>
    <x:row r="117" ht="44" customHeight="1">
      <x:c r="A117" s="28" t="str">
        <x:v>кешью</x:v>
      </x:c>
      <x:c r="B117" s="28" t="n">
        <x:v>16</x:v>
      </x:c>
      <x:c r="C117" s="28" t="str">
        <x:v>мёд</x:v>
      </x:c>
      <x:c r="D117" s="28" t="n">
        <x:v>4</x:v>
      </x:c>
      <x:c r="E117" s="28" t="str">
        <x:v>Гипотеза / практическая</x:v>
      </x:c>
      <x:c r="F117" s="28" t="n">
        <x:v>1</x:v>
      </x:c>
      <x:c r="G117" s="28" t="str">
        <x:v>жареная химия и реакции Майяра</x:v>
      </x:c>
      <x:c r="H117" s="28" t="str">
        <x:v>пралине, паста, выпечка, гарнир, соус, молочный или коктейльный компонент с мёд</x:v>
      </x:c>
      <x:c r="I117" s="28" t="str">
        <x:v>Таблица сочетания(1).pdf</x:v>
      </x:c>
      <x:c r="J117" s="28" t="str">
        <x:v>Таблица сочетания(1).pdf: 4</x:v>
      </x:c>
    </x:row>
    <x:row r="118" ht="44" customHeight="1">
      <x:c r="A118" s="28" t="str">
        <x:v>кешью</x:v>
      </x:c>
      <x:c r="B118" s="28" t="n">
        <x:v>17</x:v>
      </x:c>
      <x:c r="C118" s="28" t="str">
        <x:v>петрушка</x:v>
      </x:c>
      <x:c r="D118" s="28" t="n">
        <x:v>4</x:v>
      </x:c>
      <x:c r="E118" s="28" t="str">
        <x:v>Гипотеза / практическая</x:v>
      </x:c>
      <x:c r="F118" s="28" t="n">
        <x:v>1</x:v>
      </x:c>
      <x:c r="G118" s="28" t="str">
        <x:v>сенсорная комплементарность</x:v>
      </x:c>
      <x:c r="H118" s="28" t="str">
        <x:v>пралине, паста, выпечка, гарнир, соус, молочный или коктейльный компонент с петрушка</x:v>
      </x:c>
      <x:c r="I118" s="28" t="str">
        <x:v>Таблица сочетания(1).pdf</x:v>
      </x:c>
      <x:c r="J118" s="28" t="str">
        <x:v>Таблица сочетания(1).pdf: 4</x:v>
      </x:c>
    </x:row>
    <x:row r="119" ht="44" customHeight="1">
      <x:c r="A119" s="28" t="str">
        <x:v>кешью</x:v>
      </x:c>
      <x:c r="B119" s="28" t="n">
        <x:v>18</x:v>
      </x:c>
      <x:c r="C119" s="28" t="str">
        <x:v>укроп</x:v>
      </x:c>
      <x:c r="D119" s="28" t="n">
        <x:v>4</x:v>
      </x:c>
      <x:c r="E119" s="28" t="str">
        <x:v>Гипотеза / практическая</x:v>
      </x:c>
      <x:c r="F119" s="28" t="n">
        <x:v>1</x:v>
      </x:c>
      <x:c r="G119" s="28" t="str">
        <x:v>сенсорная комплементарность</x:v>
      </x:c>
      <x:c r="H119" s="28" t="str">
        <x:v>пралине, паста, выпечка, гарнир, соус, молочный или коктейльный компонент с укроп</x:v>
      </x:c>
      <x:c r="I119" s="28" t="str">
        <x:v>Таблица сочетания(1).pdf</x:v>
      </x:c>
      <x:c r="J119" s="28" t="str">
        <x:v>Таблица сочетания(1).pdf: 4</x:v>
      </x:c>
    </x:row>
    <x:row r="120" ht="44" customHeight="1">
      <x:c r="A120" s="28" t="str">
        <x:v>кешью</x:v>
      </x:c>
      <x:c r="B120" s="28" t="n">
        <x:v>19</x:v>
      </x:c>
      <x:c r="C120" s="28" t="str">
        <x:v>яблоко</x:v>
      </x:c>
      <x:c r="D120" s="28" t="n">
        <x:v>4</x:v>
      </x:c>
      <x:c r="E120" s="28" t="str">
        <x:v>Гипотеза / практическая</x:v>
      </x:c>
      <x:c r="F120" s="28" t="n">
        <x:v>1</x:v>
      </x:c>
      <x:c r="G120" s="28" t="str">
        <x:v>общие ароматические соединения, контраст кислоты и жирной/горькой матрицы</x:v>
      </x:c>
      <x:c r="H120" s="28" t="str">
        <x:v>пралине, паста, выпечка, гарнир, соус, молочный или коктейльный компонент с яблоко</x:v>
      </x:c>
      <x:c r="I120" s="28" t="str">
        <x:v>Таблица сочетания(1).pdf</x:v>
      </x:c>
      <x:c r="J120" s="28" t="str">
        <x:v>Таблица сочетания(1).pdf: 4</x:v>
      </x:c>
    </x:row>
    <x:row r="121" ht="44" customHeight="1">
      <x:c r="A121" s="28" t="str">
        <x:v>кешью</x:v>
      </x:c>
      <x:c r="B121" s="28" t="n">
        <x:v>20</x:v>
      </x:c>
      <x:c r="C121" s="28" t="str">
        <x:v>ягоды годжи</x:v>
      </x:c>
      <x:c r="D121" s="28" t="n">
        <x:v>4</x:v>
      </x:c>
      <x:c r="E121" s="28" t="str">
        <x:v>Гипотеза / практическая</x:v>
      </x:c>
      <x:c r="F121" s="28" t="n">
        <x:v>1</x:v>
      </x:c>
      <x:c r="G121" s="28" t="str">
        <x:v>общие ароматические соединения, контраст кислоты и жирной/горькой матрицы</x:v>
      </x:c>
      <x:c r="H121" s="28" t="str">
        <x:v>пралине, паста, выпечка, гарнир, соус, молочный или коктейльный компонент с ягоды годжи</x:v>
      </x:c>
      <x:c r="I121" s="28" t="str">
        <x:v>Таблица сочетания(1).pdf</x:v>
      </x:c>
      <x:c r="J121" s="28" t="str">
        <x:v>Таблица сочетания(1).pdf: 8</x:v>
      </x:c>
    </x:row>
    <x:row r="122" ht="44" customHeight="1">
      <x:c r="A122" s="28" t="str">
        <x:v>пекан</x:v>
      </x:c>
      <x:c r="B122" s="28" t="n">
        <x:v>1</x:v>
      </x:c>
      <x:c r="C122" s="28" t="str">
        <x:v>базилик</x:v>
      </x:c>
      <x:c r="D122" s="28" t="n">
        <x:v>9</x:v>
      </x:c>
      <x:c r="E122" s="28" t="str">
        <x:v>Высокая</x:v>
      </x:c>
      <x:c r="F122" s="28" t="n">
        <x:v>2</x:v>
      </x:c>
      <x:c r="G122" s="28" t="str">
        <x:v>сенсорная комплементарность</x:v>
      </x:c>
      <x:c r="H122" s="28" t="str">
        <x:v>пралине, паста, выпечка, гарнир, соус, молочный или коктейльный компонент с базилик</x:v>
      </x:c>
      <x:c r="I122" s="28" t="str">
        <x:v>The Art &amp; Science of Foodpairing.pdf | Таблица сочетания(1).pdf</x:v>
      </x:c>
      <x:c r="J122" s="28" t="str">
        <x:v>The Art &amp; Science of Foodpairing.pdf: 74; Таблица сочетания(1).pdf: 16</x:v>
      </x:c>
    </x:row>
    <x:row r="123" ht="44" customHeight="1">
      <x:c r="A123" s="28" t="str">
        <x:v>пекан</x:v>
      </x:c>
      <x:c r="B123" s="28" t="n">
        <x:v>2</x:v>
      </x:c>
      <x:c r="C123" s="28" t="str">
        <x:v>blue cheese</x:v>
      </x:c>
      <x:c r="D123" s="28" t="n">
        <x:v>5</x:v>
      </x:c>
      <x:c r="E123" s="28" t="str">
        <x:v>Средняя</x:v>
      </x:c>
      <x:c r="F123" s="28" t="n">
        <x:v>1</x:v>
      </x:c>
      <x:c r="G123" s="28" t="str">
        <x:v>общие ароматические соединения, жировая экстракция и связывание полифенолов белком</x:v>
      </x:c>
      <x:c r="H123" s="28" t="str">
        <x:v>пралине, паста, выпечка, гарнир, соус, молочный или коктейльный компонент с blue cheese</x:v>
      </x:c>
      <x:c r="I123" s="28" t="str">
        <x:v>The Art &amp; Science of Foodpairing.pdf</x:v>
      </x:c>
      <x:c r="J123" s="28" t="str">
        <x:v>The Art &amp; Science of Foodpairing.pdf: 164</x:v>
      </x:c>
    </x:row>
    <x:row r="124" ht="44" customHeight="1">
      <x:c r="A124" s="28" t="str">
        <x:v>пекан</x:v>
      </x:c>
      <x:c r="B124" s="28" t="n">
        <x:v>3</x:v>
      </x:c>
      <x:c r="C124" s="28" t="str">
        <x:v>tomato and tomato puree</x:v>
      </x:c>
      <x:c r="D124" s="28" t="n">
        <x:v>5</x:v>
      </x:c>
      <x:c r="E124" s="28" t="str">
        <x:v>Средняя</x:v>
      </x:c>
      <x:c r="F124" s="28" t="n">
        <x:v>1</x:v>
      </x:c>
      <x:c r="G124" s="28" t="str">
        <x:v>сенсорная комплементарность</x:v>
      </x:c>
      <x:c r="H124" s="28" t="str">
        <x:v>пралине, паста, выпечка, гарнир, соус, молочный или коктейльный компонент с tomato and tomato puree</x:v>
      </x:c>
      <x:c r="I124" s="28" t="str">
        <x:v>The Art &amp; Science of Foodpairing.pdf</x:v>
      </x:c>
      <x:c r="J124" s="28" t="str">
        <x:v>The Art &amp; Science of Foodpairing.pdf: 161</x:v>
      </x:c>
    </x:row>
    <x:row r="125" ht="44" customHeight="1">
      <x:c r="A125" s="28" t="str">
        <x:v>пекан</x:v>
      </x:c>
      <x:c r="B125" s="28" t="n">
        <x:v>4</x:v>
      </x:c>
      <x:c r="C125" s="28" t="str">
        <x:v>банан</x:v>
      </x:c>
      <x:c r="D125" s="28" t="n">
        <x:v>5</x:v>
      </x:c>
      <x:c r="E125" s="28" t="str">
        <x:v>Гипотеза / практическая</x:v>
      </x:c>
      <x:c r="F125" s="28" t="n">
        <x:v>1</x:v>
      </x:c>
      <x:c r="G125" s="28" t="str">
        <x:v>контраст кислоты и жирной/горькой матрицы</x:v>
      </x:c>
      <x:c r="H125" s="28" t="str">
        <x:v>пралине, паста, выпечка, гарнир, соус, молочный или коктейльный компонент с банан</x:v>
      </x:c>
      <x:c r="I125" s="28" t="str">
        <x:v>Таблица сочетания(1).pdf</x:v>
      </x:c>
      <x:c r="J125" s="28" t="str">
        <x:v>Таблица сочетания(1).pdf: 2, 16</x:v>
      </x:c>
    </x:row>
    <x:row r="126" ht="44" customHeight="1">
      <x:c r="A126" s="28" t="str">
        <x:v>пекан</x:v>
      </x:c>
      <x:c r="B126" s="28" t="n">
        <x:v>5</x:v>
      </x:c>
      <x:c r="C126" s="28" t="str">
        <x:v>свёкла</x:v>
      </x:c>
      <x:c r="D126" s="28" t="n">
        <x:v>5</x:v>
      </x:c>
      <x:c r="E126" s="28" t="str">
        <x:v>Средняя</x:v>
      </x:c>
      <x:c r="F126" s="28" t="n">
        <x:v>1</x:v>
      </x:c>
      <x:c r="G126" s="28" t="str">
        <x:v>сенсорная комплементарность</x:v>
      </x:c>
      <x:c r="H126" s="28" t="str">
        <x:v>пралине, паста, выпечка, гарнир, соус, молочный или коктейльный компонент с свёкла</x:v>
      </x:c>
      <x:c r="I126" s="28" t="str">
        <x:v>The Art &amp; Science of Foodpairing.pdf</x:v>
      </x:c>
      <x:c r="J126" s="28" t="str">
        <x:v>The Art &amp; Science of Foodpairing.pdf: 224</x:v>
      </x:c>
    </x:row>
    <x:row r="127" ht="44" customHeight="1">
      <x:c r="A127" s="28" t="str">
        <x:v>пекан</x:v>
      </x:c>
      <x:c r="B127" s="28" t="n">
        <x:v>6</x:v>
      </x:c>
      <x:c r="C127" s="28" t="str">
        <x:v>яблоко</x:v>
      </x:c>
      <x:c r="D127" s="28" t="n">
        <x:v>5</x:v>
      </x:c>
      <x:c r="E127" s="28" t="str">
        <x:v>Гипотеза / практическая</x:v>
      </x:c>
      <x:c r="F127" s="28" t="n">
        <x:v>1</x:v>
      </x:c>
      <x:c r="G127" s="28" t="str">
        <x:v>контраст кислоты и жирной/горькой матрицы</x:v>
      </x:c>
      <x:c r="H127" s="28" t="str">
        <x:v>пралине, паста, выпечка, гарнир, соус, молочный или коктейльный компонент с яблоко</x:v>
      </x:c>
      <x:c r="I127" s="28" t="str">
        <x:v>Таблица сочетания(1).pdf</x:v>
      </x:c>
      <x:c r="J127" s="28" t="str">
        <x:v>Таблица сочетания(1).pdf: 1</x:v>
      </x:c>
    </x:row>
    <x:row r="128" ht="44" customHeight="1">
      <x:c r="A128" s="28" t="str">
        <x:v>пекан</x:v>
      </x:c>
      <x:c r="B128" s="28" t="n">
        <x:v>7</x:v>
      </x:c>
      <x:c r="C128" s="28" t="str">
        <x:v>айва</x:v>
      </x:c>
      <x:c r="D128" s="28" t="n">
        <x:v>4</x:v>
      </x:c>
      <x:c r="E128" s="28" t="str">
        <x:v>Гипотеза / практическая</x:v>
      </x:c>
      <x:c r="F128" s="28" t="n">
        <x:v>1</x:v>
      </x:c>
      <x:c r="G128" s="28" t="str">
        <x:v>сенсорная комплементарность</x:v>
      </x:c>
      <x:c r="H128" s="28" t="str">
        <x:v>пралине, паста, выпечка, гарнир, соус, молочный или коктейльный компонент с айва</x:v>
      </x:c>
      <x:c r="I128" s="28" t="str">
        <x:v>Таблица сочетания(1).pdf</x:v>
      </x:c>
      <x:c r="J128" s="28" t="str">
        <x:v>Таблица сочетания(1).pdf: 18</x:v>
      </x:c>
    </x:row>
    <x:row r="129" ht="44" customHeight="1">
      <x:c r="A129" s="28" t="str">
        <x:v>пекан</x:v>
      </x:c>
      <x:c r="B129" s="28" t="n">
        <x:v>8</x:v>
      </x:c>
      <x:c r="C129" s="28" t="str">
        <x:v>ваниль</x:v>
      </x:c>
      <x:c r="D129" s="28" t="n">
        <x:v>4</x:v>
      </x:c>
      <x:c r="E129" s="28" t="str">
        <x:v>Гипотеза / практическая</x:v>
      </x:c>
      <x:c r="F129" s="28" t="n">
        <x:v>1</x:v>
      </x:c>
      <x:c r="G129" s="28" t="str">
        <x:v>сенсорная комплементарность</x:v>
      </x:c>
      <x:c r="H129" s="28" t="str">
        <x:v>пралине, паста, выпечка, гарнир, соус, молочный или коктейльный компонент с ваниль</x:v>
      </x:c>
      <x:c r="I129" s="28" t="str">
        <x:v>Таблица сочетания(1).pdf</x:v>
      </x:c>
      <x:c r="J129" s="28" t="str">
        <x:v>Таблица сочетания(1).pdf: 16</x:v>
      </x:c>
    </x:row>
    <x:row r="130" ht="44" customHeight="1">
      <x:c r="A130" s="28" t="str">
        <x:v>пекан</x:v>
      </x:c>
      <x:c r="B130" s="28" t="n">
        <x:v>9</x:v>
      </x:c>
      <x:c r="C130" s="28" t="str">
        <x:v>виноград</x:v>
      </x:c>
      <x:c r="D130" s="28" t="n">
        <x:v>4</x:v>
      </x:c>
      <x:c r="E130" s="28" t="str">
        <x:v>Гипотеза / практическая</x:v>
      </x:c>
      <x:c r="F130" s="28" t="n">
        <x:v>1</x:v>
      </x:c>
      <x:c r="G130" s="28" t="str">
        <x:v>сенсорная комплементарность</x:v>
      </x:c>
      <x:c r="H130" s="28" t="str">
        <x:v>пралине, паста, выпечка, гарнир, соус, молочный или коктейльный компонент с виноград</x:v>
      </x:c>
      <x:c r="I130" s="28" t="str">
        <x:v>Таблица сочетания(1).pdf</x:v>
      </x:c>
      <x:c r="J130" s="28" t="str">
        <x:v>Таблица сочетания(1).pdf: 16</x:v>
      </x:c>
    </x:row>
    <x:row r="131" ht="44" customHeight="1">
      <x:c r="A131" s="28" t="str">
        <x:v>пекан</x:v>
      </x:c>
      <x:c r="B131" s="28" t="n">
        <x:v>10</x:v>
      </x:c>
      <x:c r="C131" s="28" t="str">
        <x:v>вишня</x:v>
      </x:c>
      <x:c r="D131" s="28" t="n">
        <x:v>4</x:v>
      </x:c>
      <x:c r="E131" s="28" t="str">
        <x:v>Гипотеза / практическая</x:v>
      </x:c>
      <x:c r="F131" s="28" t="n">
        <x:v>1</x:v>
      </x:c>
      <x:c r="G131" s="28" t="str">
        <x:v>контраст кислоты и жирной/горькой матрицы</x:v>
      </x:c>
      <x:c r="H131" s="28" t="str">
        <x:v>пралине, паста, выпечка, гарнир, соус, молочный или коктейльный компонент с вишня</x:v>
      </x:c>
      <x:c r="I131" s="28" t="str">
        <x:v>Таблица сочетания(1).pdf</x:v>
      </x:c>
      <x:c r="J131" s="28" t="str">
        <x:v>Таблица сочетания(1).pdf: 4</x:v>
      </x:c>
    </x:row>
    <x:row r="132" ht="44" customHeight="1">
      <x:c r="A132" s="28" t="str">
        <x:v>пекан</x:v>
      </x:c>
      <x:c r="B132" s="28" t="n">
        <x:v>11</x:v>
      </x:c>
      <x:c r="C132" s="28" t="str">
        <x:v>грейпфрут</x:v>
      </x:c>
      <x:c r="D132" s="28" t="n">
        <x:v>4</x:v>
      </x:c>
      <x:c r="E132" s="28" t="str">
        <x:v>Гипотеза / практическая</x:v>
      </x:c>
      <x:c r="F132" s="28" t="n">
        <x:v>1</x:v>
      </x:c>
      <x:c r="G132" s="28" t="str">
        <x:v>контраст кислоты и жирной/горькой матрицы</x:v>
      </x:c>
      <x:c r="H132" s="28" t="str">
        <x:v>пралине, паста, выпечка, гарнир, соус, молочный или коктейльный компонент с грейпфрут</x:v>
      </x:c>
      <x:c r="I132" s="28" t="str">
        <x:v>Таблица сочетания(1).pdf</x:v>
      </x:c>
      <x:c r="J132" s="28" t="str">
        <x:v>Таблица сочетания(1).pdf: 9</x:v>
      </x:c>
    </x:row>
    <x:row r="133" ht="44" customHeight="1">
      <x:c r="A133" s="28" t="str">
        <x:v>пекан</x:v>
      </x:c>
      <x:c r="B133" s="28" t="n">
        <x:v>12</x:v>
      </x:c>
      <x:c r="C133" s="28" t="str">
        <x:v>груша</x:v>
      </x:c>
      <x:c r="D133" s="28" t="n">
        <x:v>4</x:v>
      </x:c>
      <x:c r="E133" s="28" t="str">
        <x:v>Гипотеза / практическая</x:v>
      </x:c>
      <x:c r="F133" s="28" t="n">
        <x:v>1</x:v>
      </x:c>
      <x:c r="G133" s="28" t="str">
        <x:v>контраст кислоты и жирной/горькой матрицы</x:v>
      </x:c>
      <x:c r="H133" s="28" t="str">
        <x:v>пралине, паста, выпечка, гарнир, соус, молочный или коктейльный компонент с груша</x:v>
      </x:c>
      <x:c r="I133" s="28" t="str">
        <x:v>Таблица сочетания(1).pdf</x:v>
      </x:c>
      <x:c r="J133" s="28" t="str">
        <x:v>Таблица сочетания(1).pdf: 16</x:v>
      </x:c>
    </x:row>
    <x:row r="134" ht="44" customHeight="1">
      <x:c r="A134" s="28" t="str">
        <x:v>пекан</x:v>
      </x:c>
      <x:c r="B134" s="28" t="n">
        <x:v>13</x:v>
      </x:c>
      <x:c r="C134" s="28" t="str">
        <x:v>инжир</x:v>
      </x:c>
      <x:c r="D134" s="28" t="n">
        <x:v>4</x:v>
      </x:c>
      <x:c r="E134" s="28" t="str">
        <x:v>Гипотеза / практическая</x:v>
      </x:c>
      <x:c r="F134" s="28" t="n">
        <x:v>1</x:v>
      </x:c>
      <x:c r="G134" s="28" t="str">
        <x:v>контраст кислоты и жирной/горькой матрицы</x:v>
      </x:c>
      <x:c r="H134" s="28" t="str">
        <x:v>пралине, паста, выпечка, гарнир, соус, молочный или коктейльный компонент с инжир</x:v>
      </x:c>
      <x:c r="I134" s="28" t="str">
        <x:v>Таблица сочетания(1).pdf</x:v>
      </x:c>
      <x:c r="J134" s="28" t="str">
        <x:v>Таблица сочетания(1).pdf: 16</x:v>
      </x:c>
    </x:row>
    <x:row r="135" ht="44" customHeight="1">
      <x:c r="A135" s="28" t="str">
        <x:v>пекан</x:v>
      </x:c>
      <x:c r="B135" s="28" t="n">
        <x:v>14</x:v>
      </x:c>
      <x:c r="C135" s="28" t="str">
        <x:v>кардамон</x:v>
      </x:c>
      <x:c r="D135" s="28" t="n">
        <x:v>4</x:v>
      </x:c>
      <x:c r="E135" s="28" t="str">
        <x:v>Гипотеза / практическая</x:v>
      </x:c>
      <x:c r="F135" s="28" t="n">
        <x:v>1</x:v>
      </x:c>
      <x:c r="G135" s="28" t="str">
        <x:v>сенсорная комплементарность</x:v>
      </x:c>
      <x:c r="H135" s="28" t="str">
        <x:v>пралине, паста, выпечка, гарнир, соус, молочный или коктейльный компонент с кардамон</x:v>
      </x:c>
      <x:c r="I135" s="28" t="str">
        <x:v>Таблица сочетания(1).pdf</x:v>
      </x:c>
      <x:c r="J135" s="28" t="str">
        <x:v>Таблица сочетания(1).pdf: 16</x:v>
      </x:c>
    </x:row>
    <x:row r="136" ht="44" customHeight="1">
      <x:c r="A136" s="28" t="str">
        <x:v>пекан</x:v>
      </x:c>
      <x:c r="B136" s="28" t="n">
        <x:v>15</x:v>
      </x:c>
      <x:c r="C136" s="28" t="str">
        <x:v>кленовый сироп</x:v>
      </x:c>
      <x:c r="D136" s="28" t="n">
        <x:v>4</x:v>
      </x:c>
      <x:c r="E136" s="28" t="str">
        <x:v>Гипотеза / практическая</x:v>
      </x:c>
      <x:c r="F136" s="28" t="n">
        <x:v>1</x:v>
      </x:c>
      <x:c r="G136" s="28" t="str">
        <x:v>общие ароматические соединения, пересечение ароматических семейств, жареная химия и реакции Майяра</x:v>
      </x:c>
      <x:c r="H136" s="28" t="str">
        <x:v>пралине, паста, выпечка, гарнир, соус, молочный или коктейльный компонент с кленовый сироп</x:v>
      </x:c>
      <x:c r="I136" s="28" t="str">
        <x:v>Таблица сочетания(1).pdf</x:v>
      </x:c>
      <x:c r="J136" s="28" t="str">
        <x:v>Таблица сочетания(1).pdf: 16</x:v>
      </x:c>
    </x:row>
    <x:row r="137" ht="44" customHeight="1">
      <x:c r="A137" s="28" t="str">
        <x:v>пекан</x:v>
      </x:c>
      <x:c r="B137" s="28" t="n">
        <x:v>16</x:v>
      </x:c>
      <x:c r="C137" s="28" t="str">
        <x:v>лимон</x:v>
      </x:c>
      <x:c r="D137" s="28" t="n">
        <x:v>4</x:v>
      </x:c>
      <x:c r="E137" s="28" t="str">
        <x:v>Гипотеза / практическая</x:v>
      </x:c>
      <x:c r="F137" s="28" t="n">
        <x:v>1</x:v>
      </x:c>
      <x:c r="G137" s="28" t="str">
        <x:v>контраст кислоты и жирной/горькой матрицы</x:v>
      </x:c>
      <x:c r="H137" s="28" t="str">
        <x:v>пралине, паста, выпечка, гарнир, соус, молочный или коктейльный компонент с лимон</x:v>
      </x:c>
      <x:c r="I137" s="28" t="str">
        <x:v>Таблица сочетания(1).pdf</x:v>
      </x:c>
      <x:c r="J137" s="28" t="str">
        <x:v>Таблица сочетания(1).pdf: 11</x:v>
      </x:c>
    </x:row>
    <x:row r="138" ht="44" customHeight="1">
      <x:c r="A138" s="28" t="str">
        <x:v>пекан</x:v>
      </x:c>
      <x:c r="B138" s="28" t="n">
        <x:v>17</x:v>
      </x:c>
      <x:c r="C138" s="28" t="str">
        <x:v>нектарин</x:v>
      </x:c>
      <x:c r="D138" s="28" t="n">
        <x:v>4</x:v>
      </x:c>
      <x:c r="E138" s="28" t="str">
        <x:v>Гипотеза / практическая</x:v>
      </x:c>
      <x:c r="F138" s="28" t="n">
        <x:v>1</x:v>
      </x:c>
      <x:c r="G138" s="28" t="str">
        <x:v>сенсорная комплементарность</x:v>
      </x:c>
      <x:c r="H138" s="28" t="str">
        <x:v>пралине, паста, выпечка, гарнир, соус, молочный или коктейльный компонент с нектарин</x:v>
      </x:c>
      <x:c r="I138" s="28" t="str">
        <x:v>Таблица сочетания(1).pdf</x:v>
      </x:c>
      <x:c r="J138" s="28" t="str">
        <x:v>Таблица сочетания(1).pdf: 14</x:v>
      </x:c>
    </x:row>
    <x:row r="139" ht="44" customHeight="1">
      <x:c r="A139" s="28" t="str">
        <x:v>пекан</x:v>
      </x:c>
      <x:c r="B139" s="28" t="n">
        <x:v>18</x:v>
      </x:c>
      <x:c r="C139" s="28" t="str">
        <x:v>персик</x:v>
      </x:c>
      <x:c r="D139" s="28" t="n">
        <x:v>4</x:v>
      </x:c>
      <x:c r="E139" s="28" t="str">
        <x:v>Гипотеза / практическая</x:v>
      </x:c>
      <x:c r="F139" s="28" t="n">
        <x:v>1</x:v>
      </x:c>
      <x:c r="G139" s="28" t="str">
        <x:v>общие ароматические соединения, контраст кислоты и жирной/горькой матрицы</x:v>
      </x:c>
      <x:c r="H139" s="28" t="str">
        <x:v>пралине, паста, выпечка, гарнир, соус, молочный или коктейльный компонент с персик</x:v>
      </x:c>
      <x:c r="I139" s="28" t="str">
        <x:v>Таблица сочетания(1).pdf</x:v>
      </x:c>
      <x:c r="J139" s="28" t="str">
        <x:v>Таблица сочетания(1).pdf: 15</x:v>
      </x:c>
    </x:row>
    <x:row r="140" ht="44" customHeight="1">
      <x:c r="A140" s="28" t="str">
        <x:v>пекан</x:v>
      </x:c>
      <x:c r="B140" s="28" t="n">
        <x:v>19</x:v>
      </x:c>
      <x:c r="C140" s="28" t="str">
        <x:v>петрушка</x:v>
      </x:c>
      <x:c r="D140" s="28" t="n">
        <x:v>4</x:v>
      </x:c>
      <x:c r="E140" s="28" t="str">
        <x:v>Гипотеза / практическая</x:v>
      </x:c>
      <x:c r="F140" s="28" t="n">
        <x:v>1</x:v>
      </x:c>
      <x:c r="G140" s="28" t="str">
        <x:v>сенсорная комплементарность</x:v>
      </x:c>
      <x:c r="H140" s="28" t="str">
        <x:v>пралине, паста, выпечка, гарнир, соус, молочный или коктейльный компонент с петрушка</x:v>
      </x:c>
      <x:c r="I140" s="28" t="str">
        <x:v>Таблица сочетания(1).pdf</x:v>
      </x:c>
      <x:c r="J140" s="28" t="str">
        <x:v>Таблица сочетания(1).pdf: 16</x:v>
      </x:c>
    </x:row>
    <x:row r="141" ht="44" customHeight="1">
      <x:c r="A141" s="28" t="str">
        <x:v>пекан</x:v>
      </x:c>
      <x:c r="B141" s="28" t="n">
        <x:v>20</x:v>
      </x:c>
      <x:c r="C141" s="28" t="str">
        <x:v>финик</x:v>
      </x:c>
      <x:c r="D141" s="28" t="n">
        <x:v>4</x:v>
      </x:c>
      <x:c r="E141" s="28" t="str">
        <x:v>Гипотеза / практическая</x:v>
      </x:c>
      <x:c r="F141" s="28" t="n">
        <x:v>1</x:v>
      </x:c>
      <x:c r="G141" s="28" t="str">
        <x:v>сенсорная комплементарность</x:v>
      </x:c>
      <x:c r="H141" s="28" t="str">
        <x:v>пралине, паста, выпечка, гарнир, соус, молочный или коктейльный компонент с финик</x:v>
      </x:c>
      <x:c r="I141" s="28" t="str">
        <x:v>Таблица сочетания(1).pdf</x:v>
      </x:c>
      <x:c r="J141" s="28" t="str">
        <x:v>Таблица сочетания(1).pdf: 7</x:v>
      </x:c>
    </x:row>
    <x:row r="142" ht="44" customHeight="1">
      <x:c r="A142" s="28" t="str">
        <x:v>фисташка</x:v>
      </x:c>
      <x:c r="B142" s="28" t="n">
        <x:v>1</x:v>
      </x:c>
      <x:c r="C142" s="28" t="str">
        <x:v>базилик</x:v>
      </x:c>
      <x:c r="D142" s="28" t="n">
        <x:v>9</x:v>
      </x:c>
      <x:c r="E142" s="28" t="str">
        <x:v>Высокая</x:v>
      </x:c>
      <x:c r="F142" s="28" t="n">
        <x:v>2</x:v>
      </x:c>
      <x:c r="G142" s="28" t="str">
        <x:v>общие ароматические соединения, пересечение ароматических семейств</x:v>
      </x:c>
      <x:c r="H142" s="28" t="str">
        <x:v>пралине, паста, выпечка, гарнир, соус, молочный или коктейльный компонент с базилик</x:v>
      </x:c>
      <x:c r="I142" s="28" t="str">
        <x:v>The Art &amp; Science of Foodpairing.pdf | Таблица сочетания(1).pdf</x:v>
      </x:c>
      <x:c r="J142" s="28" t="str">
        <x:v>The Art &amp; Science of Foodpairing.pdf: 74; Таблица сочетания(1).pdf: 17</x:v>
      </x:c>
    </x:row>
    <x:row r="143" ht="44" customHeight="1">
      <x:c r="A143" s="28" t="str">
        <x:v>фисташка</x:v>
      </x:c>
      <x:c r="B143" s="28" t="n">
        <x:v>2</x:v>
      </x:c>
      <x:c r="C143" s="28" t="str">
        <x:v>apple and apple sauce</x:v>
      </x:c>
      <x:c r="D143" s="28" t="n">
        <x:v>5</x:v>
      </x:c>
      <x:c r="E143" s="28" t="str">
        <x:v>Средняя</x:v>
      </x:c>
      <x:c r="F143" s="28" t="n">
        <x:v>1</x:v>
      </x:c>
      <x:c r="G143" s="28" t="str">
        <x:v>контраст кислоты и жирной/горькой матрицы</x:v>
      </x:c>
      <x:c r="H143" s="28" t="str">
        <x:v>пралине, паста, выпечка, гарнир, соус, молочный или коктейльный компонент с apple and apple sauce</x:v>
      </x:c>
      <x:c r="I143" s="28" t="str">
        <x:v>The Art &amp; Science of Foodpairing.pdf</x:v>
      </x:c>
      <x:c r="J143" s="28" t="str">
        <x:v>The Art &amp; Science of Foodpairing.pdf: 48</x:v>
      </x:c>
    </x:row>
    <x:row r="144" ht="44" customHeight="1">
      <x:c r="A144" s="28" t="str">
        <x:v>фисташка</x:v>
      </x:c>
      <x:c r="B144" s="28" t="n">
        <x:v>3</x:v>
      </x:c>
      <x:c r="C144" s="28" t="str">
        <x:v>goats' cheese and milk</x:v>
      </x:c>
      <x:c r="D144" s="28" t="n">
        <x:v>5</x:v>
      </x:c>
      <x:c r="E144" s="28" t="str">
        <x:v>Средняя</x:v>
      </x:c>
      <x:c r="F144" s="28" t="n">
        <x:v>1</x:v>
      </x:c>
      <x:c r="G144" s="28" t="str">
        <x:v>жировая экстракция и связывание полифенолов белком</x:v>
      </x:c>
      <x:c r="H144" s="28" t="str">
        <x:v>пралине, паста, выпечка, гарнир, соус, молочный или коктейльный компонент с goats' cheese and milk</x:v>
      </x:c>
      <x:c r="I144" s="28" t="str">
        <x:v>The Art &amp; Science of Foodpairing.pdf</x:v>
      </x:c>
      <x:c r="J144" s="28" t="str">
        <x:v>The Art &amp; Science of Foodpairing.pdf: 200</x:v>
      </x:c>
    </x:row>
    <x:row r="145" ht="44" customHeight="1">
      <x:c r="A145" s="28" t="str">
        <x:v>фисташка</x:v>
      </x:c>
      <x:c r="B145" s="28" t="n">
        <x:v>4</x:v>
      </x:c>
      <x:c r="C145" s="28" t="str">
        <x:v>абрикос</x:v>
      </x:c>
      <x:c r="D145" s="28" t="n">
        <x:v>5</x:v>
      </x:c>
      <x:c r="E145" s="28" t="str">
        <x:v>Гипотеза / практическая</x:v>
      </x:c>
      <x:c r="F145" s="28" t="n">
        <x:v>1</x:v>
      </x:c>
      <x:c r="G145" s="28" t="str">
        <x:v>контраст кислоты и жирной/горькой матрицы</x:v>
      </x:c>
      <x:c r="H145" s="28" t="str">
        <x:v>пралине, паста, выпечка, гарнир, соус, молочный или коктейльный компонент с абрикос</x:v>
      </x:c>
      <x:c r="I145" s="28" t="str">
        <x:v>Таблица сочетания(1).pdf</x:v>
      </x:c>
      <x:c r="J145" s="28" t="str">
        <x:v>Таблица сочетания(1).pdf: 2, 17</x:v>
      </x:c>
    </x:row>
    <x:row r="146" ht="44" customHeight="1">
      <x:c r="A146" s="28" t="str">
        <x:v>фисташка</x:v>
      </x:c>
      <x:c r="B146" s="28" t="n">
        <x:v>5</x:v>
      </x:c>
      <x:c r="C146" s="28" t="str">
        <x:v>клюква</x:v>
      </x:c>
      <x:c r="D146" s="28" t="n">
        <x:v>5</x:v>
      </x:c>
      <x:c r="E146" s="28" t="str">
        <x:v>Гипотеза / практическая</x:v>
      </x:c>
      <x:c r="F146" s="28" t="n">
        <x:v>1</x:v>
      </x:c>
      <x:c r="G146" s="28" t="str">
        <x:v>сенсорная комплементарность</x:v>
      </x:c>
      <x:c r="H146" s="28" t="str">
        <x:v>пралине, паста, выпечка, гарнир, соус, молочный или коктейльный компонент с клюква</x:v>
      </x:c>
      <x:c r="I146" s="28" t="str">
        <x:v>Таблица сочетания(1).pdf</x:v>
      </x:c>
      <x:c r="J146" s="28" t="str">
        <x:v>Таблица сочетания(1).pdf: 6, 17</x:v>
      </x:c>
    </x:row>
    <x:row r="147" ht="44" customHeight="1">
      <x:c r="A147" s="28" t="str">
        <x:v>фисташка</x:v>
      </x:c>
      <x:c r="B147" s="28" t="n">
        <x:v>6</x:v>
      </x:c>
      <x:c r="C147" s="28" t="str">
        <x:v>оливковое масло</x:v>
      </x:c>
      <x:c r="D147" s="28" t="n">
        <x:v>5</x:v>
      </x:c>
      <x:c r="E147" s="28" t="str">
        <x:v>Средняя</x:v>
      </x:c>
      <x:c r="F147" s="28" t="n">
        <x:v>1</x:v>
      </x:c>
      <x:c r="G147" s="28" t="str">
        <x:v>сенсорная комплементарность</x:v>
      </x:c>
      <x:c r="H147" s="28" t="str">
        <x:v>пралине, паста, выпечка, гарнир, соус, молочный или коктейльный компонент с оливковое масло</x:v>
      </x:c>
      <x:c r="I147" s="28" t="str">
        <x:v>The Art &amp; Science of Foodpairing.pdf</x:v>
      </x:c>
      <x:c r="J147" s="28" t="str">
        <x:v>The Art &amp; Science of Foodpairing.pdf: 172</x:v>
      </x:c>
    </x:row>
    <x:row r="148" ht="44" customHeight="1">
      <x:c r="A148" s="28" t="str">
        <x:v>фисташка</x:v>
      </x:c>
      <x:c r="B148" s="28" t="n">
        <x:v>7</x:v>
      </x:c>
      <x:c r="C148" s="28" t="str">
        <x:v>ананас</x:v>
      </x:c>
      <x:c r="D148" s="28" t="n">
        <x:v>4</x:v>
      </x:c>
      <x:c r="E148" s="28" t="str">
        <x:v>Гипотеза / практическая</x:v>
      </x:c>
      <x:c r="F148" s="28" t="n">
        <x:v>1</x:v>
      </x:c>
      <x:c r="G148" s="28" t="str">
        <x:v>сенсорная комплементарность</x:v>
      </x:c>
      <x:c r="H148" s="28" t="str">
        <x:v>пралине, паста, выпечка, гарнир, соус, молочный или коктейльный компонент с ананас</x:v>
      </x:c>
      <x:c r="I148" s="28" t="str">
        <x:v>Таблица сочетания(1).pdf</x:v>
      </x:c>
      <x:c r="J148" s="28" t="str">
        <x:v>Таблица сочетания(1).pdf: 17</x:v>
      </x:c>
    </x:row>
    <x:row r="149" ht="44" customHeight="1">
      <x:c r="A149" s="28" t="str">
        <x:v>фисташка</x:v>
      </x:c>
      <x:c r="B149" s="28" t="n">
        <x:v>8</x:v>
      </x:c>
      <x:c r="C149" s="28" t="str">
        <x:v>ваниль</x:v>
      </x:c>
      <x:c r="D149" s="28" t="n">
        <x:v>4</x:v>
      </x:c>
      <x:c r="E149" s="28" t="str">
        <x:v>Гипотеза / практическая</x:v>
      </x:c>
      <x:c r="F149" s="28" t="n">
        <x:v>1</x:v>
      </x:c>
      <x:c r="G149" s="28" t="str">
        <x:v>сенсорная комплементарность</x:v>
      </x:c>
      <x:c r="H149" s="28" t="str">
        <x:v>пралине, паста, выпечка, гарнир, соус, молочный или коктейльный компонент с ваниль</x:v>
      </x:c>
      <x:c r="I149" s="28" t="str">
        <x:v>Таблица сочетания(1).pdf</x:v>
      </x:c>
      <x:c r="J149" s="28" t="str">
        <x:v>Таблица сочетания(1).pdf: 17</x:v>
      </x:c>
    </x:row>
    <x:row r="150" ht="44" customHeight="1">
      <x:c r="A150" s="28" t="str">
        <x:v>фисташка</x:v>
      </x:c>
      <x:c r="B150" s="28" t="n">
        <x:v>9</x:v>
      </x:c>
      <x:c r="C150" s="28" t="str">
        <x:v>груша</x:v>
      </x:c>
      <x:c r="D150" s="28" t="n">
        <x:v>4</x:v>
      </x:c>
      <x:c r="E150" s="28" t="str">
        <x:v>Гипотеза / практическая</x:v>
      </x:c>
      <x:c r="F150" s="28" t="n">
        <x:v>1</x:v>
      </x:c>
      <x:c r="G150" s="28" t="str">
        <x:v>контраст кислоты и жирной/горькой матрицы</x:v>
      </x:c>
      <x:c r="H150" s="28" t="str">
        <x:v>пралине, паста, выпечка, гарнир, соус, молочный или коктейльный компонент с груша</x:v>
      </x:c>
      <x:c r="I150" s="28" t="str">
        <x:v>Таблица сочетания(1).pdf</x:v>
      </x:c>
      <x:c r="J150" s="28" t="str">
        <x:v>Таблица сочетания(1).pdf: 16</x:v>
      </x:c>
    </x:row>
    <x:row r="151" ht="44" customHeight="1">
      <x:c r="A151" s="28" t="str">
        <x:v>фисташка</x:v>
      </x:c>
      <x:c r="B151" s="28" t="n">
        <x:v>10</x:v>
      </x:c>
      <x:c r="C151" s="28" t="str">
        <x:v>кардамон</x:v>
      </x:c>
      <x:c r="D151" s="28" t="n">
        <x:v>4</x:v>
      </x:c>
      <x:c r="E151" s="28" t="str">
        <x:v>Гипотеза / практическая</x:v>
      </x:c>
      <x:c r="F151" s="28" t="n">
        <x:v>1</x:v>
      </x:c>
      <x:c r="G151" s="28" t="str">
        <x:v>сенсорная комплементарность</x:v>
      </x:c>
      <x:c r="H151" s="28" t="str">
        <x:v>пралине, паста, выпечка, гарнир, соус, молочный или коктейльный компонент с кардамон</x:v>
      </x:c>
      <x:c r="I151" s="28" t="str">
        <x:v>Таблица сочетания(1).pdf</x:v>
      </x:c>
      <x:c r="J151" s="28" t="str">
        <x:v>Таблица сочетания(1).pdf: 17</x:v>
      </x:c>
    </x:row>
    <x:row r="152" ht="44" customHeight="1">
      <x:c r="A152" s="28" t="str">
        <x:v>фисташка</x:v>
      </x:c>
      <x:c r="B152" s="28" t="n">
        <x:v>11</x:v>
      </x:c>
      <x:c r="C152" s="28" t="str">
        <x:v>кокос</x:v>
      </x:c>
      <x:c r="D152" s="28" t="n">
        <x:v>4</x:v>
      </x:c>
      <x:c r="E152" s="28" t="str">
        <x:v>Гипотеза / практическая</x:v>
      </x:c>
      <x:c r="F152" s="28" t="n">
        <x:v>1</x:v>
      </x:c>
      <x:c r="G152" s="28" t="str">
        <x:v>сенсорная комплементарность</x:v>
      </x:c>
      <x:c r="H152" s="28" t="str">
        <x:v>пралине, паста, выпечка, гарнир, соус, молочный или коктейльный компонент с кокос</x:v>
      </x:c>
      <x:c r="I152" s="28" t="str">
        <x:v>Таблица сочетания(1).pdf</x:v>
      </x:c>
      <x:c r="J152" s="28" t="str">
        <x:v>Таблица сочетания(1).pdf: 17</x:v>
      </x:c>
    </x:row>
    <x:row r="153" ht="44" customHeight="1">
      <x:c r="A153" s="28" t="str">
        <x:v>фисташка</x:v>
      </x:c>
      <x:c r="B153" s="28" t="n">
        <x:v>12</x:v>
      </x:c>
      <x:c r="C153" s="28" t="str">
        <x:v>лимон</x:v>
      </x:c>
      <x:c r="D153" s="28" t="n">
        <x:v>4</x:v>
      </x:c>
      <x:c r="E153" s="28" t="str">
        <x:v>Гипотеза / практическая</x:v>
      </x:c>
      <x:c r="F153" s="28" t="n">
        <x:v>1</x:v>
      </x:c>
      <x:c r="G153" s="28" t="str">
        <x:v>контраст кислоты и жирной/горькой матрицы</x:v>
      </x:c>
      <x:c r="H153" s="28" t="str">
        <x:v>пралине, паста, выпечка, гарнир, соус, молочный или коктейльный компонент с лимон</x:v>
      </x:c>
      <x:c r="I153" s="28" t="str">
        <x:v>Таблица сочетания(1).pdf</x:v>
      </x:c>
      <x:c r="J153" s="28" t="str">
        <x:v>Таблица сочетания(1).pdf: 11</x:v>
      </x:c>
    </x:row>
    <x:row r="154" ht="44" customHeight="1">
      <x:c r="A154" s="28" t="str">
        <x:v>фисташка</x:v>
      </x:c>
      <x:c r="B154" s="28" t="n">
        <x:v>13</x:v>
      </x:c>
      <x:c r="C154" s="28" t="str">
        <x:v>морошка</x:v>
      </x:c>
      <x:c r="D154" s="28" t="n">
        <x:v>4</x:v>
      </x:c>
      <x:c r="E154" s="28" t="str">
        <x:v>Гипотеза / практическая</x:v>
      </x:c>
      <x:c r="F154" s="28" t="n">
        <x:v>1</x:v>
      </x:c>
      <x:c r="G154" s="28" t="str">
        <x:v>сенсорная комплементарность</x:v>
      </x:c>
      <x:c r="H154" s="28" t="str">
        <x:v>пралине, паста, выпечка, гарнир, соус, молочный или коктейльный компонент с морошка</x:v>
      </x:c>
      <x:c r="I154" s="28" t="str">
        <x:v>Таблица сочетания(1).pdf</x:v>
      </x:c>
      <x:c r="J154" s="28" t="str">
        <x:v>Таблица сочетания(1).pdf: 5</x:v>
      </x:c>
    </x:row>
    <x:row r="155" ht="44" customHeight="1">
      <x:c r="A155" s="28" t="str">
        <x:v>фисташка</x:v>
      </x:c>
      <x:c r="B155" s="28" t="n">
        <x:v>14</x:v>
      </x:c>
      <x:c r="C155" s="28" t="str">
        <x:v>мускатный орех</x:v>
      </x:c>
      <x:c r="D155" s="28" t="n">
        <x:v>4</x:v>
      </x:c>
      <x:c r="E155" s="28" t="str">
        <x:v>Гипотеза / практическая</x:v>
      </x:c>
      <x:c r="F155" s="28" t="n">
        <x:v>1</x:v>
      </x:c>
      <x:c r="G155" s="28" t="str">
        <x:v>пересечение ароматических семейств, жареная химия и реакции Майяра</x:v>
      </x:c>
      <x:c r="H155" s="28" t="str">
        <x:v>пралине, паста, выпечка, гарнир, соус, молочный или коктейльный компонент с мускатный орех</x:v>
      </x:c>
      <x:c r="I155" s="28" t="str">
        <x:v>Таблица сочетания(1).pdf</x:v>
      </x:c>
      <x:c r="J155" s="28" t="str">
        <x:v>Таблица сочетания(1).pdf: 17</x:v>
      </x:c>
    </x:row>
    <x:row r="156" ht="44" customHeight="1">
      <x:c r="A156" s="28" t="str">
        <x:v>фисташка</x:v>
      </x:c>
      <x:c r="B156" s="28" t="n">
        <x:v>15</x:v>
      </x:c>
      <x:c r="C156" s="28" t="str">
        <x:v>нектарин</x:v>
      </x:c>
      <x:c r="D156" s="28" t="n">
        <x:v>4</x:v>
      </x:c>
      <x:c r="E156" s="28" t="str">
        <x:v>Гипотеза / практическая</x:v>
      </x:c>
      <x:c r="F156" s="28" t="n">
        <x:v>1</x:v>
      </x:c>
      <x:c r="G156" s="28" t="str">
        <x:v>сенсорная комплементарность</x:v>
      </x:c>
      <x:c r="H156" s="28" t="str">
        <x:v>пралине, паста, выпечка, гарнир, соус, молочный или коктейльный компонент с нектарин</x:v>
      </x:c>
      <x:c r="I156" s="28" t="str">
        <x:v>Таблица сочетания(1).pdf</x:v>
      </x:c>
      <x:c r="J156" s="28" t="str">
        <x:v>Таблица сочетания(1).pdf: 14</x:v>
      </x:c>
    </x:row>
    <x:row r="157" ht="44" customHeight="1">
      <x:c r="A157" s="28" t="str">
        <x:v>фисташка</x:v>
      </x:c>
      <x:c r="B157" s="28" t="n">
        <x:v>16</x:v>
      </x:c>
      <x:c r="C157" s="28" t="str">
        <x:v>персик</x:v>
      </x:c>
      <x:c r="D157" s="28" t="n">
        <x:v>4</x:v>
      </x:c>
      <x:c r="E157" s="28" t="str">
        <x:v>Гипотеза / практическая</x:v>
      </x:c>
      <x:c r="F157" s="28" t="n">
        <x:v>1</x:v>
      </x:c>
      <x:c r="G157" s="28" t="str">
        <x:v>контраст кислоты и жирной/горькой матрицы</x:v>
      </x:c>
      <x:c r="H157" s="28" t="str">
        <x:v>пралине, паста, выпечка, гарнир, соус, молочный или коктейльный компонент с персик</x:v>
      </x:c>
      <x:c r="I157" s="28" t="str">
        <x:v>Таблица сочетания(1).pdf</x:v>
      </x:c>
      <x:c r="J157" s="28" t="str">
        <x:v>Таблица сочетания(1).pdf: 15</x:v>
      </x:c>
    </x:row>
    <x:row r="158" ht="44" customHeight="1">
      <x:c r="A158" s="28" t="str">
        <x:v>фисташка</x:v>
      </x:c>
      <x:c r="B158" s="28" t="n">
        <x:v>17</x:v>
      </x:c>
      <x:c r="C158" s="28" t="str">
        <x:v>персики</x:v>
      </x:c>
      <x:c r="D158" s="28" t="n">
        <x:v>4</x:v>
      </x:c>
      <x:c r="E158" s="28" t="str">
        <x:v>Гипотеза / практическая</x:v>
      </x:c>
      <x:c r="F158" s="28" t="n">
        <x:v>1</x:v>
      </x:c>
      <x:c r="G158" s="28" t="str">
        <x:v>контраст кислоты и жирной/горькой матрицы</x:v>
      </x:c>
      <x:c r="H158" s="28" t="str">
        <x:v>пралине, паста, выпечка, гарнир, соус, молочный или коктейльный компонент с персики</x:v>
      </x:c>
      <x:c r="I158" s="28" t="str">
        <x:v>Таблица сочетания(1).pdf</x:v>
      </x:c>
      <x:c r="J158" s="28" t="str">
        <x:v>Таблица сочетания(1).pdf: 17</x:v>
      </x:c>
    </x:row>
    <x:row r="159" ht="44" customHeight="1">
      <x:c r="A159" s="28" t="str">
        <x:v>фисташка</x:v>
      </x:c>
      <x:c r="B159" s="28" t="n">
        <x:v>18</x:v>
      </x:c>
      <x:c r="C159" s="28" t="str">
        <x:v>петрушка</x:v>
      </x:c>
      <x:c r="D159" s="28" t="n">
        <x:v>4</x:v>
      </x:c>
      <x:c r="E159" s="28" t="str">
        <x:v>Гипотеза / практическая</x:v>
      </x:c>
      <x:c r="F159" s="28" t="n">
        <x:v>1</x:v>
      </x:c>
      <x:c r="G159" s="28" t="str">
        <x:v>общие ароматические соединения, пересечение ароматических семейств</x:v>
      </x:c>
      <x:c r="H159" s="28" t="str">
        <x:v>пралине, паста, выпечка, гарнир, соус, молочный или коктейльный компонент с петрушка</x:v>
      </x:c>
      <x:c r="I159" s="28" t="str">
        <x:v>Таблица сочетания(1).pdf</x:v>
      </x:c>
      <x:c r="J159" s="28" t="str">
        <x:v>Таблица сочетания(1).pdf: 17</x:v>
      </x:c>
    </x:row>
    <x:row r="160" ht="44" customHeight="1">
      <x:c r="A160" s="28" t="str">
        <x:v>фисташка</x:v>
      </x:c>
      <x:c r="B160" s="28" t="n">
        <x:v>19</x:v>
      </x:c>
      <x:c r="C160" s="28" t="str">
        <x:v>розмарин</x:v>
      </x:c>
      <x:c r="D160" s="28" t="n">
        <x:v>4</x:v>
      </x:c>
      <x:c r="E160" s="28" t="str">
        <x:v>Гипотеза / практическая</x:v>
      </x:c>
      <x:c r="F160" s="28" t="n">
        <x:v>1</x:v>
      </x:c>
      <x:c r="G160" s="28" t="str">
        <x:v>общие ароматические соединения, пересечение ароматических семейств</x:v>
      </x:c>
      <x:c r="H160" s="28" t="str">
        <x:v>пралине, паста, выпечка, гарнир, соус, молочный или коктейльный компонент с розмарин</x:v>
      </x:c>
      <x:c r="I160" s="28" t="str">
        <x:v>Таблица сочетания(1).pdf</x:v>
      </x:c>
      <x:c r="J160" s="28" t="str">
        <x:v>Таблица сочетания(1).pdf: 17</x:v>
      </x:c>
    </x:row>
    <x:row r="161" ht="44" customHeight="1">
      <x:c r="A161" s="28" t="str">
        <x:v>фисташка</x:v>
      </x:c>
      <x:c r="B161" s="28" t="n">
        <x:v>20</x:v>
      </x:c>
      <x:c r="C161" s="28" t="str">
        <x:v>семена фенхеля</x:v>
      </x:c>
      <x:c r="D161" s="28" t="n">
        <x:v>4</x:v>
      </x:c>
      <x:c r="E161" s="28" t="str">
        <x:v>Гипотеза / практическая</x:v>
      </x:c>
      <x:c r="F161" s="28" t="n">
        <x:v>1</x:v>
      </x:c>
      <x:c r="G161" s="28" t="str">
        <x:v>сенсорная комплементарность</x:v>
      </x:c>
      <x:c r="H161" s="28" t="str">
        <x:v>пралине, паста, выпечка, гарнир, соус, молочный или коктейльный компонент с семена фенхеля</x:v>
      </x:c>
      <x:c r="I161" s="28" t="str">
        <x:v>Таблица сочетания(1).pdf</x:v>
      </x:c>
      <x:c r="J161" s="28" t="str">
        <x:v>Таблица сочетания(1).pdf: 17</x:v>
      </x:c>
    </x:row>
    <x:row r="162" ht="44" customHeight="1">
      <x:c r="A162" s="28" t="str">
        <x:v>макадамия</x:v>
      </x:c>
      <x:c r="B162" s="28" t="n">
        <x:v>1</x:v>
      </x:c>
      <x:c r="C162" s="28" t="str">
        <x:v>bacon</x:v>
      </x:c>
      <x:c r="D162" s="28" t="n">
        <x:v>6</x:v>
      </x:c>
      <x:c r="E162" s="28" t="str">
        <x:v>Высокая</x:v>
      </x:c>
      <x:c r="F162" s="28" t="n">
        <x:v>1</x:v>
      </x:c>
      <x:c r="G162" s="28" t="str">
        <x:v>общие ароматические соединения, жареная химия и реакции Майяра, солёно-умами контраст</x:v>
      </x:c>
      <x:c r="H162" s="28" t="str">
        <x:v>пралине, паста, выпечка, гарнир, соус, молочный или коктейльный компонент с bacon</x:v>
      </x:c>
      <x:c r="I162" s="28" t="str">
        <x:v>The Art &amp; Science of Foodpairing.pdf</x:v>
      </x:c>
      <x:c r="J162" s="28" t="str">
        <x:v>The Art &amp; Science of Foodpairing.pdf: 188</x:v>
      </x:c>
    </x:row>
    <x:row r="163" ht="44" customHeight="1">
      <x:c r="A163" s="28" t="str">
        <x:v>макадамия</x:v>
      </x:c>
      <x:c r="B163" s="28" t="n">
        <x:v>2</x:v>
      </x:c>
      <x:c r="C163" s="28" t="str">
        <x:v>ананас</x:v>
      </x:c>
      <x:c r="D163" s="28" t="n">
        <x:v>4</x:v>
      </x:c>
      <x:c r="E163" s="28" t="str">
        <x:v>Гипотеза / практическая</x:v>
      </x:c>
      <x:c r="F163" s="28" t="n">
        <x:v>1</x:v>
      </x:c>
      <x:c r="G163" s="28" t="str">
        <x:v>сенсорная комплементарность</x:v>
      </x:c>
      <x:c r="H163" s="28" t="str">
        <x:v>пралине, паста, выпечка, гарнир, соус, молочный или коктейльный компонент с ананас</x:v>
      </x:c>
      <x:c r="I163" s="28" t="str">
        <x:v>Таблица сочетания(1).pdf</x:v>
      </x:c>
      <x:c r="J163" s="28" t="str">
        <x:v>Таблица сочетания(1).pdf: 17</x:v>
      </x:c>
    </x:row>
    <x:row r="164" ht="44" customHeight="1">
      <x:c r="A164" s="28" t="str">
        <x:v>макадамия</x:v>
      </x:c>
      <x:c r="B164" s="28" t="n">
        <x:v>3</x:v>
      </x:c>
      <x:c r="C164" s="28" t="str">
        <x:v>банан</x:v>
      </x:c>
      <x:c r="D164" s="28" t="n">
        <x:v>4</x:v>
      </x:c>
      <x:c r="E164" s="28" t="str">
        <x:v>Гипотеза / практическая</x:v>
      </x:c>
      <x:c r="F164" s="28" t="n">
        <x:v>1</x:v>
      </x:c>
      <x:c r="G164" s="28" t="str">
        <x:v>пересечение ароматических семейств, контраст кислоты и жирной/горькой матрицы</x:v>
      </x:c>
      <x:c r="H164" s="28" t="str">
        <x:v>пралине, паста, выпечка, гарнир, соус, молочный или коктейльный компонент с банан</x:v>
      </x:c>
      <x:c r="I164" s="28" t="str">
        <x:v>Таблица сочетания(1).pdf</x:v>
      </x:c>
      <x:c r="J164" s="28" t="str">
        <x:v>Таблица сочетания(1).pdf: 2</x:v>
      </x:c>
    </x:row>
    <x:row r="165" ht="44" customHeight="1">
      <x:c r="A165" s="28" t="str">
        <x:v>макадамия</x:v>
      </x:c>
      <x:c r="B165" s="28" t="n">
        <x:v>4</x:v>
      </x:c>
      <x:c r="C165" s="28" t="str">
        <x:v>вишня</x:v>
      </x:c>
      <x:c r="D165" s="28" t="n">
        <x:v>4</x:v>
      </x:c>
      <x:c r="E165" s="28" t="str">
        <x:v>Гипотеза / практическая</x:v>
      </x:c>
      <x:c r="F165" s="28" t="n">
        <x:v>1</x:v>
      </x:c>
      <x:c r="G165" s="28" t="str">
        <x:v>контраст кислоты и жирной/горькой матрицы</x:v>
      </x:c>
      <x:c r="H165" s="28" t="str">
        <x:v>пралине, паста, выпечка, гарнир, соус, молочный или коктейльный компонент с вишня</x:v>
      </x:c>
      <x:c r="I165" s="28" t="str">
        <x:v>Таблица сочетания(1).pdf</x:v>
      </x:c>
      <x:c r="J165" s="28" t="str">
        <x:v>Таблица сочетания(1).pdf: 12</x:v>
      </x:c>
    </x:row>
    <x:row r="166" ht="44" customHeight="1">
      <x:c r="A166" s="28" t="str">
        <x:v>макадамия</x:v>
      </x:c>
      <x:c r="B166" s="28" t="n">
        <x:v>5</x:v>
      </x:c>
      <x:c r="C166" s="28" t="str">
        <x:v>груша</x:v>
      </x:c>
      <x:c r="D166" s="28" t="n">
        <x:v>4</x:v>
      </x:c>
      <x:c r="E166" s="28" t="str">
        <x:v>Гипотеза / практическая</x:v>
      </x:c>
      <x:c r="F166" s="28" t="n">
        <x:v>1</x:v>
      </x:c>
      <x:c r="G166" s="28" t="str">
        <x:v>общие ароматические соединения, контраст кислоты и жирной/горькой матрицы</x:v>
      </x:c>
      <x:c r="H166" s="28" t="str">
        <x:v>пралине, паста, выпечка, гарнир, соус, молочный или коктейльный компонент с груша</x:v>
      </x:c>
      <x:c r="I166" s="28" t="str">
        <x:v>Таблица сочетания(1).pdf</x:v>
      </x:c>
      <x:c r="J166" s="28" t="str">
        <x:v>Таблица сочетания(1).pdf: 16</x:v>
      </x:c>
    </x:row>
    <x:row r="167" ht="44" customHeight="1">
      <x:c r="A167" s="28" t="str">
        <x:v>макадамия</x:v>
      </x:c>
      <x:c r="B167" s="28" t="n">
        <x:v>6</x:v>
      </x:c>
      <x:c r="C167" s="28" t="str">
        <x:v>имбирь</x:v>
      </x:c>
      <x:c r="D167" s="28" t="n">
        <x:v>4</x:v>
      </x:c>
      <x:c r="E167" s="28" t="str">
        <x:v>Гипотеза / практическая</x:v>
      </x:c>
      <x:c r="F167" s="28" t="n">
        <x:v>1</x:v>
      </x:c>
      <x:c r="G167" s="28" t="str">
        <x:v>сенсорная комплементарность</x:v>
      </x:c>
      <x:c r="H167" s="28" t="str">
        <x:v>пралине, паста, выпечка, гарнир, соус, молочный или коктейльный компонент с имбирь</x:v>
      </x:c>
      <x:c r="I167" s="28" t="str">
        <x:v>Таблица сочетания(1).pdf</x:v>
      </x:c>
      <x:c r="J167" s="28" t="str">
        <x:v>Таблица сочетания(1).pdf: 12</x:v>
      </x:c>
    </x:row>
    <x:row r="168" ht="44" customHeight="1">
      <x:c r="A168" s="28" t="str">
        <x:v>макадамия</x:v>
      </x:c>
      <x:c r="B168" s="28" t="n">
        <x:v>7</x:v>
      </x:c>
      <x:c r="C168" s="28" t="str">
        <x:v>кайенский перец</x:v>
      </x:c>
      <x:c r="D168" s="28" t="n">
        <x:v>4</x:v>
      </x:c>
      <x:c r="E168" s="28" t="str">
        <x:v>Гипотеза / практическая</x:v>
      </x:c>
      <x:c r="F168" s="28" t="n">
        <x:v>1</x:v>
      </x:c>
      <x:c r="G168" s="28" t="str">
        <x:v>сенсорная комплементарность</x:v>
      </x:c>
      <x:c r="H168" s="28" t="str">
        <x:v>пралине, паста, выпечка, гарнир, соус, молочный или коктейльный компонент с кайенский перец</x:v>
      </x:c>
      <x:c r="I168" s="28" t="str">
        <x:v>Таблица сочетания(1).pdf</x:v>
      </x:c>
      <x:c r="J168" s="28" t="str">
        <x:v>Таблица сочетания(1).pdf: 12</x:v>
      </x:c>
    </x:row>
    <x:row r="169" ht="44" customHeight="1">
      <x:c r="A169" s="28" t="str">
        <x:v>макадамия</x:v>
      </x:c>
      <x:c r="B169" s="28" t="n">
        <x:v>8</x:v>
      </x:c>
      <x:c r="C169" s="28" t="str">
        <x:v>киви</x:v>
      </x:c>
      <x:c r="D169" s="28" t="n">
        <x:v>4</x:v>
      </x:c>
      <x:c r="E169" s="28" t="str">
        <x:v>Гипотеза / практическая</x:v>
      </x:c>
      <x:c r="F169" s="28" t="n">
        <x:v>1</x:v>
      </x:c>
      <x:c r="G169" s="28" t="str">
        <x:v>общие ароматические соединения, контраст кислоты и жирной/горькой матрицы</x:v>
      </x:c>
      <x:c r="H169" s="28" t="str">
        <x:v>пралине, паста, выпечка, гарнир, соус, молочный или коктейльный компонент с киви</x:v>
      </x:c>
      <x:c r="I169" s="28" t="str">
        <x:v>Таблица сочетания(1).pdf</x:v>
      </x:c>
      <x:c r="J169" s="28" t="str">
        <x:v>Таблица сочетания(1).pdf: 10</x:v>
      </x:c>
    </x:row>
    <x:row r="170" ht="44" customHeight="1">
      <x:c r="A170" s="28" t="str">
        <x:v>макадамия</x:v>
      </x:c>
      <x:c r="B170" s="28" t="n">
        <x:v>9</x:v>
      </x:c>
      <x:c r="C170" s="28" t="str">
        <x:v>кленовый сироп</x:v>
      </x:c>
      <x:c r="D170" s="28" t="n">
        <x:v>4</x:v>
      </x:c>
      <x:c r="E170" s="28" t="str">
        <x:v>Гипотеза / практическая</x:v>
      </x:c>
      <x:c r="F170" s="28" t="n">
        <x:v>1</x:v>
      </x:c>
      <x:c r="G170" s="28" t="str">
        <x:v>общие ароматические соединения, жареная химия и реакции Майяра</x:v>
      </x:c>
      <x:c r="H170" s="28" t="str">
        <x:v>пралине, паста, выпечка, гарнир, соус, молочный или коктейльный компонент с кленовый сироп</x:v>
      </x:c>
      <x:c r="I170" s="28" t="str">
        <x:v>Таблица сочетания(1).pdf</x:v>
      </x:c>
      <x:c r="J170" s="28" t="str">
        <x:v>Таблица сочетания(1).pdf: 12</x:v>
      </x:c>
    </x:row>
    <x:row r="171" ht="44" customHeight="1">
      <x:c r="A171" s="28" t="str">
        <x:v>макадамия</x:v>
      </x:c>
      <x:c r="B171" s="28" t="n">
        <x:v>10</x:v>
      </x:c>
      <x:c r="C171" s="28" t="str">
        <x:v>клубника</x:v>
      </x:c>
      <x:c r="D171" s="28" t="n">
        <x:v>4</x:v>
      </x:c>
      <x:c r="E171" s="28" t="str">
        <x:v>Гипотеза / практическая</x:v>
      </x:c>
      <x:c r="F171" s="28" t="n">
        <x:v>1</x:v>
      </x:c>
      <x:c r="G171" s="28" t="str">
        <x:v>сенсорная комплементарность</x:v>
      </x:c>
      <x:c r="H171" s="28" t="str">
        <x:v>пралине, паста, выпечка, гарнир, соус, молочный или коктейльный компонент с клубника</x:v>
      </x:c>
      <x:c r="I171" s="28" t="str">
        <x:v>Таблица сочетания(1).pdf</x:v>
      </x:c>
      <x:c r="J171" s="28" t="str">
        <x:v>Таблица сочетания(1).pdf: 12</x:v>
      </x:c>
    </x:row>
    <x:row r="172" ht="44" customHeight="1">
      <x:c r="A172" s="28" t="str">
        <x:v>макадамия</x:v>
      </x:c>
      <x:c r="B172" s="28" t="n">
        <x:v>11</x:v>
      </x:c>
      <x:c r="C172" s="28" t="str">
        <x:v>кумин (зира)</x:v>
      </x:c>
      <x:c r="D172" s="28" t="n">
        <x:v>4</x:v>
      </x:c>
      <x:c r="E172" s="28" t="str">
        <x:v>Гипотеза / практическая</x:v>
      </x:c>
      <x:c r="F172" s="28" t="n">
        <x:v>1</x:v>
      </x:c>
      <x:c r="G172" s="28" t="str">
        <x:v>сенсорная комплементарность</x:v>
      </x:c>
      <x:c r="H172" s="28" t="str">
        <x:v>пралине, паста, выпечка, гарнир, соус, молочный или коктейльный компонент с кумин (зира)</x:v>
      </x:c>
      <x:c r="I172" s="28" t="str">
        <x:v>Таблица сочетания(1).pdf</x:v>
      </x:c>
      <x:c r="J172" s="28" t="str">
        <x:v>Таблица сочетания(1).pdf: 12</x:v>
      </x:c>
    </x:row>
    <x:row r="173" ht="44" customHeight="1">
      <x:c r="A173" s="28" t="str">
        <x:v>макадамия</x:v>
      </x:c>
      <x:c r="B173" s="28" t="n">
        <x:v>12</x:v>
      </x:c>
      <x:c r="C173" s="28" t="str">
        <x:v>маракуйя</x:v>
      </x:c>
      <x:c r="D173" s="28" t="n">
        <x:v>4</x:v>
      </x:c>
      <x:c r="E173" s="28" t="str">
        <x:v>Гипотеза / практическая</x:v>
      </x:c>
      <x:c r="F173" s="28" t="n">
        <x:v>1</x:v>
      </x:c>
      <x:c r="G173" s="28" t="str">
        <x:v>сенсорная комплементарность</x:v>
      </x:c>
      <x:c r="H173" s="28" t="str">
        <x:v>пралине, паста, выпечка, гарнир, соус, молочный или коктейльный компонент с маракуйя</x:v>
      </x:c>
      <x:c r="I173" s="28" t="str">
        <x:v>Таблица сочетания(1).pdf</x:v>
      </x:c>
      <x:c r="J173" s="28" t="str">
        <x:v>Таблица сочетания(1).pdf: 15</x:v>
      </x:c>
    </x:row>
    <x:row r="174" ht="44" customHeight="1">
      <x:c r="A174" s="28" t="str">
        <x:v>макадамия</x:v>
      </x:c>
      <x:c r="B174" s="28" t="n">
        <x:v>13</x:v>
      </x:c>
      <x:c r="C174" s="28" t="str">
        <x:v>мята</x:v>
      </x:c>
      <x:c r="D174" s="28" t="n">
        <x:v>4</x:v>
      </x:c>
      <x:c r="E174" s="28" t="str">
        <x:v>Гипотеза / практическая</x:v>
      </x:c>
      <x:c r="F174" s="28" t="n">
        <x:v>1</x:v>
      </x:c>
      <x:c r="G174" s="28" t="str">
        <x:v>сенсорная комплементарность</x:v>
      </x:c>
      <x:c r="H174" s="28" t="str">
        <x:v>пралине, паста, выпечка, гарнир, соус, молочный или коктейльный компонент с мята</x:v>
      </x:c>
      <x:c r="I174" s="28" t="str">
        <x:v>Таблица сочетания(1).pdf</x:v>
      </x:c>
      <x:c r="J174" s="28" t="str">
        <x:v>Таблица сочетания(1).pdf: 12</x:v>
      </x:c>
    </x:row>
    <x:row r="175" ht="44" customHeight="1">
      <x:c r="A175" s="28" t="str">
        <x:v>макадамия</x:v>
      </x:c>
      <x:c r="B175" s="28" t="n">
        <x:v>14</x:v>
      </x:c>
      <x:c r="C175" s="28" t="str">
        <x:v>папайя</x:v>
      </x:c>
      <x:c r="D175" s="28" t="n">
        <x:v>4</x:v>
      </x:c>
      <x:c r="E175" s="28" t="str">
        <x:v>Гипотеза / практическая</x:v>
      </x:c>
      <x:c r="F175" s="28" t="n">
        <x:v>1</x:v>
      </x:c>
      <x:c r="G175" s="28" t="str">
        <x:v>сенсорная комплементарность</x:v>
      </x:c>
      <x:c r="H175" s="28" t="str">
        <x:v>пралине, паста, выпечка, гарнир, соус, молочный или коктейльный компонент с папайя</x:v>
      </x:c>
      <x:c r="I175" s="28" t="str">
        <x:v>Таблица сочетания(1).pdf</x:v>
      </x:c>
      <x:c r="J175" s="28" t="str">
        <x:v>Таблица сочетания(1).pdf: 15</x:v>
      </x:c>
    </x:row>
    <x:row r="176" ht="44" customHeight="1">
      <x:c r="A176" s="28" t="str">
        <x:v>макадамия</x:v>
      </x:c>
      <x:c r="B176" s="28" t="n">
        <x:v>15</x:v>
      </x:c>
      <x:c r="C176" s="28" t="str">
        <x:v>персик</x:v>
      </x:c>
      <x:c r="D176" s="28" t="n">
        <x:v>4</x:v>
      </x:c>
      <x:c r="E176" s="28" t="str">
        <x:v>Гипотеза / практическая</x:v>
      </x:c>
      <x:c r="F176" s="28" t="n">
        <x:v>1</x:v>
      </x:c>
      <x:c r="G176" s="28" t="str">
        <x:v>общие ароматические соединения, контраст кислоты и жирной/горькой матрицы</x:v>
      </x:c>
      <x:c r="H176" s="28" t="str">
        <x:v>пралине, паста, выпечка, гарнир, соус, молочный или коктейльный компонент с персик</x:v>
      </x:c>
      <x:c r="I176" s="28" t="str">
        <x:v>Таблица сочетания(1).pdf</x:v>
      </x:c>
      <x:c r="J176" s="28" t="str">
        <x:v>Таблица сочетания(1).pdf: 12</x:v>
      </x:c>
    </x:row>
    <x:row r="177" ht="44" customHeight="1">
      <x:c r="A177" s="28" t="str">
        <x:v>макадамия</x:v>
      </x:c>
      <x:c r="B177" s="28" t="n">
        <x:v>16</x:v>
      </x:c>
      <x:c r="C177" s="28" t="str">
        <x:v>слива</x:v>
      </x:c>
      <x:c r="D177" s="28" t="n">
        <x:v>4</x:v>
      </x:c>
      <x:c r="E177" s="28" t="str">
        <x:v>Гипотеза / практическая</x:v>
      </x:c>
      <x:c r="F177" s="28" t="n">
        <x:v>1</x:v>
      </x:c>
      <x:c r="G177" s="28" t="str">
        <x:v>общие ароматические соединения, контраст кислоты и жирной/горькой матрицы</x:v>
      </x:c>
      <x:c r="H177" s="28" t="str">
        <x:v>пралине, паста, выпечка, гарнир, соус, молочный или коктейльный компонент с слива</x:v>
      </x:c>
      <x:c r="I177" s="28" t="str">
        <x:v>Таблица сочетания(1).pdf</x:v>
      </x:c>
      <x:c r="J177" s="28" t="str">
        <x:v>Таблица сочетания(1).pdf: 12</x:v>
      </x:c>
    </x:row>
    <x:row r="178" ht="44" customHeight="1">
      <x:c r="A178" s="28" t="str">
        <x:v>кедровый орех</x:v>
      </x:c>
      <x:c r="B178" s="28" t="n">
        <x:v>1</x:v>
      </x:c>
      <x:c r="C178" s="28" t="str">
        <x:v>fish</x:v>
      </x:c>
      <x:c r="D178" s="28" t="n">
        <x:v>5</x:v>
      </x:c>
      <x:c r="E178" s="28" t="str">
        <x:v>Средняя</x:v>
      </x:c>
      <x:c r="F178" s="28" t="n">
        <x:v>1</x:v>
      </x:c>
      <x:c r="G178" s="28" t="str">
        <x:v>общие ароматические соединения, солёно-умами контраст</x:v>
      </x:c>
      <x:c r="H178" s="28" t="str">
        <x:v>пралине, паста, выпечка, гарнир, соус, молочный или коктейльный компонент с fish</x:v>
      </x:c>
      <x:c r="I178" s="28" t="str">
        <x:v>The Art &amp; Science of Foodpairing.pdf</x:v>
      </x:c>
      <x:c r="J178" s="28" t="str">
        <x:v>The Art &amp; Science of Foodpairing.pdf: 104</x:v>
      </x:c>
    </x:row>
    <x:row r="179" ht="44" customHeight="1">
      <x:c r="A179" s="28" t="str">
        <x:v>кедровый орех</x:v>
      </x:c>
      <x:c r="B179" s="28" t="n">
        <x:v>2</x:v>
      </x:c>
      <x:c r="C179" s="28" t="str">
        <x:v>лимон</x:v>
      </x:c>
      <x:c r="D179" s="28" t="n">
        <x:v>5</x:v>
      </x:c>
      <x:c r="E179" s="28" t="str">
        <x:v>Гипотеза / практическая</x:v>
      </x:c>
      <x:c r="F179" s="28" t="n">
        <x:v>1</x:v>
      </x:c>
      <x:c r="G179" s="28" t="str">
        <x:v>контраст кислоты и жирной/горькой матрицы</x:v>
      </x:c>
      <x:c r="H179" s="28" t="str">
        <x:v>пралине, паста, выпечка, гарнир, соус, молочный или коктейльный компонент с лимон</x:v>
      </x:c>
      <x:c r="I179" s="28" t="str">
        <x:v>Таблица сочетания(1).pdf</x:v>
      </x:c>
      <x:c r="J179" s="28" t="str">
        <x:v>Таблица сочетания(1).pdf: 11, 16</x:v>
      </x:c>
    </x:row>
    <x:row r="180" ht="44" customHeight="1">
      <x:c r="A180" s="28" t="str">
        <x:v>кедровый орех</x:v>
      </x:c>
      <x:c r="B180" s="28" t="n">
        <x:v>3</x:v>
      </x:c>
      <x:c r="C180" s="28" t="str">
        <x:v>манго</x:v>
      </x:c>
      <x:c r="D180" s="28" t="n">
        <x:v>5</x:v>
      </x:c>
      <x:c r="E180" s="28" t="str">
        <x:v>Средняя</x:v>
      </x:c>
      <x:c r="F180" s="28" t="n">
        <x:v>1</x:v>
      </x:c>
      <x:c r="G180" s="28" t="str">
        <x:v>общие ароматические соединения, контраст кислоты и жирной/горькой матрицы</x:v>
      </x:c>
      <x:c r="H180" s="28" t="str">
        <x:v>пралине, паста, выпечка, гарнир, соус, молочный или коктейльный компонент с манго</x:v>
      </x:c>
      <x:c r="I180" s="28" t="str">
        <x:v>The Art &amp; Science of Foodpairing.pdf</x:v>
      </x:c>
      <x:c r="J180" s="28" t="str">
        <x:v>The Art &amp; Science of Foodpairing.pdf: 312</x:v>
      </x:c>
    </x:row>
    <x:row r="181" ht="44" customHeight="1">
      <x:c r="A181" s="28" t="str">
        <x:v>кедровый орех</x:v>
      </x:c>
      <x:c r="B181" s="28" t="n">
        <x:v>4</x:v>
      </x:c>
      <x:c r="C181" s="28" t="str">
        <x:v>базилик</x:v>
      </x:c>
      <x:c r="D181" s="28" t="n">
        <x:v>4</x:v>
      </x:c>
      <x:c r="E181" s="28" t="str">
        <x:v>Гипотеза / практическая</x:v>
      </x:c>
      <x:c r="F181" s="28" t="n">
        <x:v>1</x:v>
      </x:c>
      <x:c r="G181" s="28" t="str">
        <x:v>пересечение ароматических семейств</x:v>
      </x:c>
      <x:c r="H181" s="28" t="str">
        <x:v>пралине, паста, выпечка, гарнир, соус, молочный или коктейльный компонент с базилик</x:v>
      </x:c>
      <x:c r="I181" s="28" t="str">
        <x:v>Таблица сочетания(1).pdf</x:v>
      </x:c>
      <x:c r="J181" s="28" t="str">
        <x:v>Таблица сочетания(1).pdf: 16</x:v>
      </x:c>
    </x:row>
    <x:row r="182" ht="44" customHeight="1">
      <x:c r="A182" s="28" t="str">
        <x:v>кедровый орех</x:v>
      </x:c>
      <x:c r="B182" s="28" t="n">
        <x:v>5</x:v>
      </x:c>
      <x:c r="C182" s="28" t="str">
        <x:v>имбирь</x:v>
      </x:c>
      <x:c r="D182" s="28" t="n">
        <x:v>4</x:v>
      </x:c>
      <x:c r="E182" s="28" t="str">
        <x:v>Гипотеза / практическая</x:v>
      </x:c>
      <x:c r="F182" s="28" t="n">
        <x:v>1</x:v>
      </x:c>
      <x:c r="G182" s="28" t="str">
        <x:v>сенсорная комплементарность</x:v>
      </x:c>
      <x:c r="H182" s="28" t="str">
        <x:v>пралине, паста, выпечка, гарнир, соус, молочный или коктейльный компонент с имбирь</x:v>
      </x:c>
      <x:c r="I182" s="28" t="str">
        <x:v>Таблица сочетания(1).pdf</x:v>
      </x:c>
      <x:c r="J182" s="28" t="str">
        <x:v>Таблица сочетания(1).pdf: 16</x:v>
      </x:c>
    </x:row>
    <x:row r="183" ht="44" customHeight="1">
      <x:c r="A183" s="28" t="str">
        <x:v>кедровый орех</x:v>
      </x:c>
      <x:c r="B183" s="28" t="n">
        <x:v>6</x:v>
      </x:c>
      <x:c r="C183" s="28" t="str">
        <x:v>инжир</x:v>
      </x:c>
      <x:c r="D183" s="28" t="n">
        <x:v>4</x:v>
      </x:c>
      <x:c r="E183" s="28" t="str">
        <x:v>Гипотеза / практическая</x:v>
      </x:c>
      <x:c r="F183" s="28" t="n">
        <x:v>1</x:v>
      </x:c>
      <x:c r="G183" s="28" t="str">
        <x:v>общие ароматические соединения, контраст кислоты и жирной/горькой матрицы</x:v>
      </x:c>
      <x:c r="H183" s="28" t="str">
        <x:v>пралине, паста, выпечка, гарнир, соус, молочный или коктейльный компонент с инжир</x:v>
      </x:c>
      <x:c r="I183" s="28" t="str">
        <x:v>Таблица сочетания(1).pdf</x:v>
      </x:c>
      <x:c r="J183" s="28" t="str">
        <x:v>Таблица сочетания(1).pdf: 16</x:v>
      </x:c>
    </x:row>
    <x:row r="184" ht="44" customHeight="1">
      <x:c r="A184" s="28" t="str">
        <x:v>кедровый орех</x:v>
      </x:c>
      <x:c r="B184" s="28" t="n">
        <x:v>7</x:v>
      </x:c>
      <x:c r="C184" s="28" t="str">
        <x:v>кленовый сироп</x:v>
      </x:c>
      <x:c r="D184" s="28" t="n">
        <x:v>4</x:v>
      </x:c>
      <x:c r="E184" s="28" t="str">
        <x:v>Гипотеза / практическая</x:v>
      </x:c>
      <x:c r="F184" s="28" t="n">
        <x:v>1</x:v>
      </x:c>
      <x:c r="G184" s="28" t="str">
        <x:v>общие ароматические соединения, жареная химия и реакции Майяра</x:v>
      </x:c>
      <x:c r="H184" s="28" t="str">
        <x:v>пралине, паста, выпечка, гарнир, соус, молочный или коктейльный компонент с кленовый сироп</x:v>
      </x:c>
      <x:c r="I184" s="28" t="str">
        <x:v>Таблица сочетания(1).pdf</x:v>
      </x:c>
      <x:c r="J184" s="28" t="str">
        <x:v>Таблица сочетания(1).pdf: 16</x:v>
      </x:c>
    </x:row>
    <x:row r="185" ht="44" customHeight="1">
      <x:c r="A185" s="28" t="str">
        <x:v>кедровый орех</x:v>
      </x:c>
      <x:c r="B185" s="28" t="n">
        <x:v>8</x:v>
      </x:c>
      <x:c r="C185" s="28" t="str">
        <x:v>куркума</x:v>
      </x:c>
      <x:c r="D185" s="28" t="n">
        <x:v>4</x:v>
      </x:c>
      <x:c r="E185" s="28" t="str">
        <x:v>Гипотеза / практическая</x:v>
      </x:c>
      <x:c r="F185" s="28" t="n">
        <x:v>1</x:v>
      </x:c>
      <x:c r="G185" s="28" t="str">
        <x:v>сенсорная комплементарность</x:v>
      </x:c>
      <x:c r="H185" s="28" t="str">
        <x:v>пралине, паста, выпечка, гарнир, соус, молочный или коктейльный компонент с куркума</x:v>
      </x:c>
      <x:c r="I185" s="28" t="str">
        <x:v>Таблица сочетания(1).pdf</x:v>
      </x:c>
      <x:c r="J185" s="28" t="str">
        <x:v>Таблица сочетания(1).pdf: 16</x:v>
      </x:c>
    </x:row>
    <x:row r="186" ht="44" customHeight="1">
      <x:c r="A186" s="28" t="str">
        <x:v>кедровый орех</x:v>
      </x:c>
      <x:c r="B186" s="28" t="n">
        <x:v>9</x:v>
      </x:c>
      <x:c r="C186" s="28" t="str">
        <x:v>орегано</x:v>
      </x:c>
      <x:c r="D186" s="28" t="n">
        <x:v>4</x:v>
      </x:c>
      <x:c r="E186" s="28" t="str">
        <x:v>Гипотеза / практическая</x:v>
      </x:c>
      <x:c r="F186" s="28" t="n">
        <x:v>1</x:v>
      </x:c>
      <x:c r="G186" s="28" t="str">
        <x:v>сенсорная комплементарность</x:v>
      </x:c>
      <x:c r="H186" s="28" t="str">
        <x:v>пралине, паста, выпечка, гарнир, соус, молочный или коктейльный компонент с орегано</x:v>
      </x:c>
      <x:c r="I186" s="28" t="str">
        <x:v>Таблица сочетания(1).pdf</x:v>
      </x:c>
      <x:c r="J186" s="28" t="str">
        <x:v>Таблица сочетания(1).pdf: 17</x:v>
      </x:c>
    </x:row>
    <x:row r="187" ht="44" customHeight="1">
      <x:c r="A187" s="28" t="str">
        <x:v>кедровый орех</x:v>
      </x:c>
      <x:c r="B187" s="28" t="n">
        <x:v>10</x:v>
      </x:c>
      <x:c r="C187" s="28" t="str">
        <x:v>персик</x:v>
      </x:c>
      <x:c r="D187" s="28" t="n">
        <x:v>4</x:v>
      </x:c>
      <x:c r="E187" s="28" t="str">
        <x:v>Гипотеза / практическая</x:v>
      </x:c>
      <x:c r="F187" s="28" t="n">
        <x:v>1</x:v>
      </x:c>
      <x:c r="G187" s="28" t="str">
        <x:v>контраст кислоты и жирной/горькой матрицы</x:v>
      </x:c>
      <x:c r="H187" s="28" t="str">
        <x:v>пралине, паста, выпечка, гарнир, соус, молочный или коктейльный компонент с персик</x:v>
      </x:c>
      <x:c r="I187" s="28" t="str">
        <x:v>Таблица сочетания(1).pdf</x:v>
      </x:c>
      <x:c r="J187" s="28" t="str">
        <x:v>Таблица сочетания(1).pdf: 16</x:v>
      </x:c>
    </x:row>
    <x:row r="188" ht="44" customHeight="1">
      <x:c r="A188" s="28" t="str">
        <x:v>кедровый орех</x:v>
      </x:c>
      <x:c r="B188" s="28" t="n">
        <x:v>11</x:v>
      </x:c>
      <x:c r="C188" s="28" t="str">
        <x:v>розмарин</x:v>
      </x:c>
      <x:c r="D188" s="28" t="n">
        <x:v>4</x:v>
      </x:c>
      <x:c r="E188" s="28" t="str">
        <x:v>Гипотеза / практическая</x:v>
      </x:c>
      <x:c r="F188" s="28" t="n">
        <x:v>1</x:v>
      </x:c>
      <x:c r="G188" s="28" t="str">
        <x:v>пересечение ароматических семейств</x:v>
      </x:c>
      <x:c r="H188" s="28" t="str">
        <x:v>пралине, паста, выпечка, гарнир, соус, молочный или коктейльный компонент с розмарин</x:v>
      </x:c>
      <x:c r="I188" s="28" t="str">
        <x:v>Таблица сочетания(1).pdf</x:v>
      </x:c>
      <x:c r="J188" s="28" t="str">
        <x:v>Таблица сочетания(1).pdf: 17</x:v>
      </x:c>
    </x:row>
    <x:row r="189" ht="44" customHeight="1">
      <x:c r="A189" s="28" t="str">
        <x:v>кедровый орех</x:v>
      </x:c>
      <x:c r="B189" s="28" t="n">
        <x:v>12</x:v>
      </x:c>
      <x:c r="C189" s="28" t="str">
        <x:v>слива</x:v>
      </x:c>
      <x:c r="D189" s="28" t="n">
        <x:v>4</x:v>
      </x:c>
      <x:c r="E189" s="28" t="str">
        <x:v>Гипотеза / практическая</x:v>
      </x:c>
      <x:c r="F189" s="28" t="n">
        <x:v>1</x:v>
      </x:c>
      <x:c r="G189" s="28" t="str">
        <x:v>общие ароматические соединения, контраст кислоты и жирной/горькой матрицы</x:v>
      </x:c>
      <x:c r="H189" s="28" t="str">
        <x:v>пралине, паста, выпечка, гарнир, соус, молочный или коктейльный компонент с слива</x:v>
      </x:c>
      <x:c r="I189" s="28" t="str">
        <x:v>Таблица сочетания(1).pdf</x:v>
      </x:c>
      <x:c r="J189" s="28" t="str">
        <x:v>Таблица сочетания(1).pdf: 16</x:v>
      </x:c>
    </x:row>
    <x:row r="190" ht="44" customHeight="1">
      <x:c r="A190" s="28" t="str">
        <x:v>шоколад</x:v>
      </x:c>
      <x:c r="B190" s="28" t="n">
        <x:v>1</x:v>
      </x:c>
      <x:c r="C190" s="28" t="str">
        <x:v>апельсин</x:v>
      </x:c>
      <x:c r="D190" s="28" t="n">
        <x:v>12</x:v>
      </x:c>
      <x:c r="E190" s="28" t="str">
        <x:v>Высокая</x:v>
      </x:c>
      <x:c r="F190" s="28" t="n">
        <x:v>3</x:v>
      </x:c>
      <x:c r="G190" s="28" t="str">
        <x:v>контраст кислоты и жирной/горькой матрицы</x:v>
      </x:c>
      <x:c r="H190" s="28" t="str">
        <x:v>ганаш, плитка, крем, мусс, напиток, глазурь или соус с апельсин</x:v>
      </x:c>
      <x:c r="I190" s="28" t="str">
        <x:v>The Art &amp; Science of Foodpairing.pdf | Таблица сочетания(1).pdf | Тезариус вкусов (Ники Сегнит)(1).pdf</x:v>
      </x:c>
      <x:c r="J190" s="28" t="str">
        <x:v>The Art &amp; Science of Foodpairing.pdf: 236; Таблица сочетания(1).pdf: 5; Тезариус вкусов (Ники Сегнит)(1).pdf: 26, 783</x:v>
      </x:c>
    </x:row>
    <x:row r="191" ht="44" customHeight="1">
      <x:c r="A191" s="28" t="str">
        <x:v>шоколад</x:v>
      </x:c>
      <x:c r="B191" s="28" t="n">
        <x:v>2</x:v>
      </x:c>
      <x:c r="C191" s="28" t="str">
        <x:v>банан</x:v>
      </x:c>
      <x:c r="D191" s="28" t="n">
        <x:v>12</x:v>
      </x:c>
      <x:c r="E191" s="28" t="str">
        <x:v>Высокая</x:v>
      </x:c>
      <x:c r="F191" s="28" t="n">
        <x:v>3</x:v>
      </x:c>
      <x:c r="G191" s="28" t="str">
        <x:v>пересечение ароматических семейств, контраст кислоты и жирной/горькой матрицы</x:v>
      </x:c>
      <x:c r="H191" s="28" t="str">
        <x:v>ганаш, плитка, крем, мусс, напиток, глазурь или соус с банан</x:v>
      </x:c>
      <x:c r="I191" s="28" t="str">
        <x:v>The Art &amp; Science of Foodpairing.pdf | Таблица сочетания(1).pdf | Тезариус вкусов (Ники Сегнит)(1).pdf</x:v>
      </x:c>
      <x:c r="J191" s="28" t="str">
        <x:v>The Art &amp; Science of Foodpairing.pdf: 62, 342; Таблица сочетания(1).pdf: 2, 5; Тезариус вкусов (Ники Сегнит)(1).pdf: 27, 734</x:v>
      </x:c>
    </x:row>
    <x:row r="192" ht="44" customHeight="1">
      <x:c r="A192" s="28" t="str">
        <x:v>шоколад</x:v>
      </x:c>
      <x:c r="B192" s="28" t="n">
        <x:v>3</x:v>
      </x:c>
      <x:c r="C192" s="28" t="str">
        <x:v>ваниль</x:v>
      </x:c>
      <x:c r="D192" s="28" t="n">
        <x:v>12</x:v>
      </x:c>
      <x:c r="E192" s="28" t="str">
        <x:v>Высокая</x:v>
      </x:c>
      <x:c r="F192" s="28" t="n">
        <x:v>3</x:v>
      </x:c>
      <x:c r="G192" s="28" t="str">
        <x:v>сенсорная комплементарность</x:v>
      </x:c>
      <x:c r="H192" s="28" t="str">
        <x:v>ганаш, плитка, крем, мусс, напиток, глазурь или соус с ваниль</x:v>
      </x:c>
      <x:c r="I192" s="28" t="str">
        <x:v>The Art &amp; Science of Foodpairing.pdf | Таблица сочетания(1).pdf | Тезариус вкусов (Ники Сегнит)(1).pdf</x:v>
      </x:c>
      <x:c r="J192" s="28" t="str">
        <x:v>The Art &amp; Science of Foodpairing.pdf: 57; Таблица сочетания(1).pdf: 5, 21; Тезариус вкусов (Ники Сегнит)(1).pdf: 27, 920</x:v>
      </x:c>
    </x:row>
    <x:row r="193" ht="44" customHeight="1">
      <x:c r="A193" s="28" t="str">
        <x:v>шоколад</x:v>
      </x:c>
      <x:c r="B193" s="28" t="n">
        <x:v>4</x:v>
      </x:c>
      <x:c r="C193" s="28" t="str">
        <x:v>корица</x:v>
      </x:c>
      <x:c r="D193" s="28" t="n">
        <x:v>12</x:v>
      </x:c>
      <x:c r="E193" s="28" t="str">
        <x:v>Высокая</x:v>
      </x:c>
      <x:c r="F193" s="28" t="n">
        <x:v>3</x:v>
      </x:c>
      <x:c r="G193" s="28" t="str">
        <x:v>пересечение ароматических семейств</x:v>
      </x:c>
      <x:c r="H193" s="28" t="str">
        <x:v>ганаш, плитка, крем, мусс, напиток, глазурь или соус с корица</x:v>
      </x:c>
      <x:c r="I193" s="28" t="str">
        <x:v>The Art &amp; Science of Foodpairing.pdf | Таблица сочетания(1).pdf | Тезариус вкусов (Ники Сегнит)(1).pdf</x:v>
      </x:c>
      <x:c r="J193" s="28" t="str">
        <x:v>The Art &amp; Science of Foodpairing.pdf: 62; Таблица сочетания(1).pdf: 5; Тезариус вкусов (Ники Сегнит)(1).pdf: 32, 580</x:v>
      </x:c>
    </x:row>
    <x:row r="194" ht="44" customHeight="1">
      <x:c r="A194" s="28" t="str">
        <x:v>шоколад</x:v>
      </x:c>
      <x:c r="B194" s="28" t="n">
        <x:v>5</x:v>
      </x:c>
      <x:c r="C194" s="28" t="str">
        <x:v>кофе</x:v>
      </x:c>
      <x:c r="D194" s="28" t="n">
        <x:v>12</x:v>
      </x:c>
      <x:c r="E194" s="28" t="str">
        <x:v>Высокая</x:v>
      </x:c>
      <x:c r="F194" s="28" t="n">
        <x:v>3</x:v>
      </x:c>
      <x:c r="G194" s="28" t="str">
        <x:v>общие ароматические соединения, пересечение ароматических семейств, жареная химия и реакции Майяра</x:v>
      </x:c>
      <x:c r="H194" s="28" t="str">
        <x:v>ганаш, плитка, крем, мусс, напиток, глазурь или соус с кофе</x:v>
      </x:c>
      <x:c r="I194" s="28" t="str">
        <x:v>The Art &amp; Science of Foodpairing.pdf | Таблица сочетания(1).pdf | Тезариус вкусов (Ники Сегнит)(1).pdf</x:v>
      </x:c>
      <x:c r="J194" s="28" t="str">
        <x:v>The Art &amp; Science of Foodpairing.pdf: 62, 296, 297; Таблица сочетания(1).pdf: 5, 6; Тезариус вкусов (Ники Сегнит)(1).pdf: 32, 48</x:v>
      </x:c>
    </x:row>
    <x:row r="195" ht="44" customHeight="1">
      <x:c r="A195" s="28" t="str">
        <x:v>шоколад</x:v>
      </x:c>
      <x:c r="B195" s="28" t="n">
        <x:v>6</x:v>
      </x:c>
      <x:c r="C195" s="28" t="str">
        <x:v>авокадо</x:v>
      </x:c>
      <x:c r="D195" s="28" t="n">
        <x:v>10</x:v>
      </x:c>
      <x:c r="E195" s="28" t="str">
        <x:v>Высокая</x:v>
      </x:c>
      <x:c r="F195" s="28" t="n">
        <x:v>2</x:v>
      </x:c>
      <x:c r="G195" s="28" t="str">
        <x:v>сенсорная комплементарность</x:v>
      </x:c>
      <x:c r="H195" s="28" t="str">
        <x:v>ганаш, плитка, крем, мусс, напиток, глазурь или соус с авокадо</x:v>
      </x:c>
      <x:c r="I195" s="28" t="str">
        <x:v>The Art &amp; Science of Foodpairing.pdf | Тезариус вкусов (Ники Сегнит)(1).pdf</x:v>
      </x:c>
      <x:c r="J195" s="28" t="str">
        <x:v>The Art &amp; Science of Foodpairing.pdf: 62; Тезариус вкусов (Ники Сегнит)(1).pdf: 25, 532</x:v>
      </x:c>
    </x:row>
    <x:row r="196" ht="44" customHeight="1">
      <x:c r="A196" s="28" t="str">
        <x:v>шоколад</x:v>
      </x:c>
      <x:c r="B196" s="28" t="n">
        <x:v>7</x:v>
      </x:c>
      <x:c r="C196" s="28" t="str">
        <x:v>ананас</x:v>
      </x:c>
      <x:c r="D196" s="28" t="n">
        <x:v>10</x:v>
      </x:c>
      <x:c r="E196" s="28" t="str">
        <x:v>Высокая</x:v>
      </x:c>
      <x:c r="F196" s="28" t="n">
        <x:v>2</x:v>
      </x:c>
      <x:c r="G196" s="28" t="str">
        <x:v>сенсорная комплементарность</x:v>
      </x:c>
      <x:c r="H196" s="28" t="str">
        <x:v>ганаш, плитка, крем, мусс, напиток, глазурь или соус с ананас</x:v>
      </x:c>
      <x:c r="I196" s="28" t="str">
        <x:v>Таблица сочетания(1).pdf | Тезариус вкусов (Ники Сегнит)(1).pdf</x:v>
      </x:c>
      <x:c r="J196" s="28" t="str">
        <x:v>Таблица сочетания(1).pdf: 17; Тезариус вкусов (Ники Сегнит)(1).pdf: 25, 707</x:v>
      </x:c>
    </x:row>
    <x:row r="197" ht="44" customHeight="1">
      <x:c r="A197" s="28" t="str">
        <x:v>шоколад</x:v>
      </x:c>
      <x:c r="B197" s="28" t="n">
        <x:v>8</x:v>
      </x:c>
      <x:c r="C197" s="28" t="str">
        <x:v>анис</x:v>
      </x:c>
      <x:c r="D197" s="28" t="n">
        <x:v>10</x:v>
      </x:c>
      <x:c r="E197" s="28" t="str">
        <x:v>Высокая</x:v>
      </x:c>
      <x:c r="F197" s="28" t="n">
        <x:v>2</x:v>
      </x:c>
      <x:c r="G197" s="28" t="str">
        <x:v>сенсорная комплементарность</x:v>
      </x:c>
      <x:c r="H197" s="28" t="str">
        <x:v>ганаш, плитка, крем, мусс, напиток, глазурь или соус с анис</x:v>
      </x:c>
      <x:c r="I197" s="28" t="str">
        <x:v>Таблица сочетания(1).pdf | Тезариус вкусов (Ники Сегнит)(1).pdf</x:v>
      </x:c>
      <x:c r="J197" s="28" t="str">
        <x:v>Таблица сочетания(1).pdf: 5; Тезариус вкусов (Ники Сегнит)(1).pdf: 25, 488</x:v>
      </x:c>
    </x:row>
    <x:row r="198" ht="44" customHeight="1">
      <x:c r="A198" s="28" t="str">
        <x:v>шоколад</x:v>
      </x:c>
      <x:c r="B198" s="28" t="n">
        <x:v>9</x:v>
      </x:c>
      <x:c r="C198" s="28" t="str">
        <x:v>вишня</x:v>
      </x:c>
      <x:c r="D198" s="28" t="n">
        <x:v>10</x:v>
      </x:c>
      <x:c r="E198" s="28" t="str">
        <x:v>Высокая</x:v>
      </x:c>
      <x:c r="F198" s="28" t="n">
        <x:v>2</x:v>
      </x:c>
      <x:c r="G198" s="28" t="str">
        <x:v>общие ароматические соединения, пересечение ароматических семейств, контраст кислоты и жирной/горькой матрицы</x:v>
      </x:c>
      <x:c r="H198" s="28" t="str">
        <x:v>ганаш, плитка, крем, мусс, напиток, глазурь или соус с вишня</x:v>
      </x:c>
      <x:c r="I198" s="28" t="str">
        <x:v>Таблица сочетания(1).pdf | Тезариус вкусов (Ники Сегнит)(1).pdf</x:v>
      </x:c>
      <x:c r="J198" s="28" t="str">
        <x:v>Таблица сочетания(1).pdf: 4, 5; Тезариус вкусов (Ники Сегнит)(1).pdf: 28, 657</x:v>
      </x:c>
    </x:row>
    <x:row r="199" ht="44" customHeight="1">
      <x:c r="A199" s="28" t="str">
        <x:v>шоколад</x:v>
      </x:c>
      <x:c r="B199" s="28" t="n">
        <x:v>10</x:v>
      </x:c>
      <x:c r="C199" s="28" t="str">
        <x:v>груша</x:v>
      </x:c>
      <x:c r="D199" s="28" t="n">
        <x:v>10</x:v>
      </x:c>
      <x:c r="E199" s="28" t="str">
        <x:v>Высокая</x:v>
      </x:c>
      <x:c r="F199" s="28" t="n">
        <x:v>2</x:v>
      </x:c>
      <x:c r="G199" s="28" t="str">
        <x:v>общие ароматические соединения, пересечение ароматических семейств, контраст кислоты и жирной/горькой матрицы</x:v>
      </x:c>
      <x:c r="H199" s="28" t="str">
        <x:v>ганаш, плитка, крем, мусс, напиток, глазурь или соус с груша</x:v>
      </x:c>
      <x:c r="I199" s="28" t="str">
        <x:v>Таблица сочетания(1).pdf | Тезариус вкусов (Ники Сегнит)(1).pdf</x:v>
      </x:c>
      <x:c r="J199" s="28" t="str">
        <x:v>Таблица сочетания(1).pdf: 16; Тезариус вкусов (Ники Сегнит)(1).pdf: 28, 727</x:v>
      </x:c>
    </x:row>
    <x:row r="200" ht="44" customHeight="1">
      <x:c r="A200" s="28" t="str">
        <x:v>шоколад</x:v>
      </x:c>
      <x:c r="B200" s="28" t="n">
        <x:v>11</x:v>
      </x:c>
      <x:c r="C200" s="28" t="str">
        <x:v>клубника</x:v>
      </x:c>
      <x:c r="D200" s="28" t="n">
        <x:v>10</x:v>
      </x:c>
      <x:c r="E200" s="28" t="str">
        <x:v>Высокая</x:v>
      </x:c>
      <x:c r="F200" s="28" t="n">
        <x:v>2</x:v>
      </x:c>
      <x:c r="G200" s="28" t="str">
        <x:v>общие ароматические соединения, пересечение ароматических семейств</x:v>
      </x:c>
      <x:c r="H200" s="28" t="str">
        <x:v>ганаш, плитка, крем, мусс, напиток, глазурь или соус с клубника</x:v>
      </x:c>
      <x:c r="I200" s="28" t="str">
        <x:v>Таблица сочетания(1).pdf | Тезариус вкусов (Ники Сегнит)(1).pdf</x:v>
      </x:c>
      <x:c r="J200" s="28" t="str">
        <x:v>Таблица сочетания(1).pdf: 5, 20; Тезариус вкусов (Ники Сегнит)(1).pdf: 31, 699</x:v>
      </x:c>
    </x:row>
    <x:row r="201" ht="44" customHeight="1">
      <x:c r="A201" s="28" t="str">
        <x:v>шоколад</x:v>
      </x:c>
      <x:c r="B201" s="28" t="n">
        <x:v>12</x:v>
      </x:c>
      <x:c r="C201" s="28" t="str">
        <x:v>кокос</x:v>
      </x:c>
      <x:c r="D201" s="28" t="n">
        <x:v>10</x:v>
      </x:c>
      <x:c r="E201" s="28" t="str">
        <x:v>Высокая</x:v>
      </x:c>
      <x:c r="F201" s="28" t="n">
        <x:v>2</x:v>
      </x:c>
      <x:c r="G201" s="28" t="str">
        <x:v>сенсорная комплементарность</x:v>
      </x:c>
      <x:c r="H201" s="28" t="str">
        <x:v>ганаш, плитка, крем, мусс, напиток, глазурь или соус с кокос</x:v>
      </x:c>
      <x:c r="I201" s="28" t="str">
        <x:v>Таблица сочетания(1).pdf | Тезариус вкусов (Ники Сегнит)(1).pdf</x:v>
      </x:c>
      <x:c r="J201" s="28" t="str">
        <x:v>Таблица сочетания(1).pdf: 5; Тезариус вкусов (Ники Сегнит)(1).pdf: 31, 761</x:v>
      </x:c>
    </x:row>
    <x:row r="202" ht="44" customHeight="1">
      <x:c r="A202" s="28" t="str">
        <x:v>шоколад</x:v>
      </x:c>
      <x:c r="B202" s="28" t="n">
        <x:v>13</x:v>
      </x:c>
      <x:c r="C202" s="28" t="str">
        <x:v>малина</x:v>
      </x:c>
      <x:c r="D202" s="28" t="n">
        <x:v>10</x:v>
      </x:c>
      <x:c r="E202" s="28" t="str">
        <x:v>Высокая</x:v>
      </x:c>
      <x:c r="F202" s="28" t="n">
        <x:v>2</x:v>
      </x:c>
      <x:c r="G202" s="28" t="str">
        <x:v>сенсорная комплементарность</x:v>
      </x:c>
      <x:c r="H202" s="28" t="str">
        <x:v>ганаш, плитка, крем, мусс, напиток, глазурь или соус с малина</x:v>
      </x:c>
      <x:c r="I202" s="28" t="str">
        <x:v>Таблица сочетания(1).pdf | Тезариус вкусов (Ники Сегнит)(1).pdf</x:v>
      </x:c>
      <x:c r="J202" s="28" t="str">
        <x:v>Таблица сочетания(1).pdf: 5; Тезариус вкусов (Ники Сегнит)(1).pdf: 33, 890</x:v>
      </x:c>
    </x:row>
    <x:row r="203" ht="44" customHeight="1">
      <x:c r="A203" s="28" t="str">
        <x:v>шоколад</x:v>
      </x:c>
      <x:c r="B203" s="28" t="n">
        <x:v>14</x:v>
      </x:c>
      <x:c r="C203" s="28" t="str">
        <x:v>мята</x:v>
      </x:c>
      <x:c r="D203" s="28" t="n">
        <x:v>10</x:v>
      </x:c>
      <x:c r="E203" s="28" t="str">
        <x:v>Высокая</x:v>
      </x:c>
      <x:c r="F203" s="28" t="n">
        <x:v>2</x:v>
      </x:c>
      <x:c r="G203" s="28" t="str">
        <x:v>сенсорная комплементарность</x:v>
      </x:c>
      <x:c r="H203" s="28" t="str">
        <x:v>ганаш, плитка, крем, мусс, напиток, глазурь или соус с мята</x:v>
      </x:c>
      <x:c r="I203" s="28" t="str">
        <x:v>Таблица сочетания(1).pdf | Тезариус вкусов (Ники Сегнит)(1).pdf</x:v>
      </x:c>
      <x:c r="J203" s="28" t="str">
        <x:v>Таблица сочетания(1).pdf: 5; Тезариус вкусов (Ники Сегнит)(1).pdf: 35, 871</x:v>
      </x:c>
    </x:row>
    <x:row r="204" ht="44" customHeight="1">
      <x:c r="A204" s="28" t="str">
        <x:v>шоколад</x:v>
      </x:c>
      <x:c r="B204" s="28" t="n">
        <x:v>15</x:v>
      </x:c>
      <x:c r="C204" s="28" t="str">
        <x:v>розмарин</x:v>
      </x:c>
      <x:c r="D204" s="28" t="n">
        <x:v>10</x:v>
      </x:c>
      <x:c r="E204" s="28" t="str">
        <x:v>Высокая</x:v>
      </x:c>
      <x:c r="F204" s="28" t="n">
        <x:v>2</x:v>
      </x:c>
      <x:c r="G204" s="28" t="str">
        <x:v>сенсорная комплементарность</x:v>
      </x:c>
      <x:c r="H204" s="28" t="str">
        <x:v>ганаш, плитка, крем, мусс, напиток, глазурь или соус с розмарин</x:v>
      </x:c>
      <x:c r="I204" s="28" t="str">
        <x:v>Таблица сочетания(1).pdf | Тезариус вкусов (Ники Сегнит)(1).pdf</x:v>
      </x:c>
      <x:c r="J204" s="28" t="str">
        <x:v>Таблица сочетания(1).pdf: 5; Тезариус вкусов (Ники Сегнит)(1).pdf: 35, 840</x:v>
      </x:c>
    </x:row>
    <x:row r="205" ht="44" customHeight="1">
      <x:c r="A205" s="28" t="str">
        <x:v>шоколад</x:v>
      </x:c>
      <x:c r="B205" s="28" t="n">
        <x:v>16</x:v>
      </x:c>
      <x:c r="C205" s="28" t="str">
        <x:v>цветная капуста</x:v>
      </x:c>
      <x:c r="D205" s="28" t="n">
        <x:v>10</x:v>
      </x:c>
      <x:c r="E205" s="28" t="str">
        <x:v>Высокая</x:v>
      </x:c>
      <x:c r="F205" s="28" t="n">
        <x:v>2</x:v>
      </x:c>
      <x:c r="G205" s="28" t="str">
        <x:v>общие ароматические соединения</x:v>
      </x:c>
      <x:c r="H205" s="28" t="str">
        <x:v>ганаш, плитка, крем, мусс, напиток, глазурь или соус с цветная капуста</x:v>
      </x:c>
      <x:c r="I205" s="28" t="str">
        <x:v>The Art &amp; Science of Foodpairing.pdf | Тезариус вкусов (Ники Сегнит)(1).pdf</x:v>
      </x:c>
      <x:c r="J205" s="28" t="str">
        <x:v>The Art &amp; Science of Foodpairing.pdf: 63; Тезариус вкусов (Ники Сегнит)(1).pdf: 37, 327</x:v>
      </x:c>
    </x:row>
    <x:row r="206" ht="44" customHeight="1">
      <x:c r="A206" s="28" t="str">
        <x:v>шоколад</x:v>
      </x:c>
      <x:c r="B206" s="28" t="n">
        <x:v>17</x:v>
      </x:c>
      <x:c r="C206" s="28" t="str">
        <x:v>голубика</x:v>
      </x:c>
      <x:c r="D206" s="28" t="n">
        <x:v>9</x:v>
      </x:c>
      <x:c r="E206" s="28" t="str">
        <x:v>Высокая</x:v>
      </x:c>
      <x:c r="F206" s="28" t="n">
        <x:v>2</x:v>
      </x:c>
      <x:c r="G206" s="28" t="str">
        <x:v>сенсорная комплементарность</x:v>
      </x:c>
      <x:c r="H206" s="28" t="str">
        <x:v>ганаш, плитка, крем, мусс, напиток, глазурь или соус с голубика</x:v>
      </x:c>
      <x:c r="I206" s="28" t="str">
        <x:v>The Art &amp; Science of Foodpairing.pdf | Таблица сочетания(1).pdf</x:v>
      </x:c>
      <x:c r="J206" s="28" t="str">
        <x:v>The Art &amp; Science of Foodpairing.pdf: 62; Таблица сочетания(1).pdf: 5</x:v>
      </x:c>
    </x:row>
    <x:row r="207" ht="44" customHeight="1">
      <x:c r="A207" s="28" t="str">
        <x:v>шоколад</x:v>
      </x:c>
      <x:c r="B207" s="28" t="n">
        <x:v>18</x:v>
      </x:c>
      <x:c r="C207" s="28" t="str">
        <x:v>персик</x:v>
      </x:c>
      <x:c r="D207" s="28" t="n">
        <x:v>9</x:v>
      </x:c>
      <x:c r="E207" s="28" t="str">
        <x:v>Высокая</x:v>
      </x:c>
      <x:c r="F207" s="28" t="n">
        <x:v>2</x:v>
      </x:c>
      <x:c r="G207" s="28" t="str">
        <x:v>пересечение ароматических семейств, контраст кислоты и жирной/горькой матрицы</x:v>
      </x:c>
      <x:c r="H207" s="28" t="str">
        <x:v>ганаш, плитка, крем, мусс, напиток, глазурь или соус с персик</x:v>
      </x:c>
      <x:c r="I207" s="28" t="str">
        <x:v>The Art &amp; Science of Foodpairing.pdf | Таблица сочетания(1).pdf</x:v>
      </x:c>
      <x:c r="J207" s="28" t="str">
        <x:v>The Art &amp; Science of Foodpairing.pdf: 62; Таблица сочетания(1).pdf: 15</x:v>
      </x:c>
    </x:row>
    <x:row r="208" ht="44" customHeight="1">
      <x:c r="A208" s="28" t="str">
        <x:v>шоколад</x:v>
      </x:c>
      <x:c r="B208" s="28" t="n">
        <x:v>19</x:v>
      </x:c>
      <x:c r="C208" s="28" t="str">
        <x:v>carrot</x:v>
      </x:c>
      <x:c r="D208" s="28" t="n">
        <x:v>7</x:v>
      </x:c>
      <x:c r="E208" s="28" t="str">
        <x:v>Средняя</x:v>
      </x:c>
      <x:c r="F208" s="28" t="n">
        <x:v>1</x:v>
      </x:c>
      <x:c r="G208" s="28" t="str">
        <x:v>общие ароматические соединения</x:v>
      </x:c>
      <x:c r="H208" s="28" t="str">
        <x:v>ганаш, плитка, крем, мусс, напиток, глазурь или соус с carrot</x:v>
      </x:c>
      <x:c r="I208" s="28" t="str">
        <x:v>The Art &amp; Science of Foodpairing.pdf</x:v>
      </x:c>
      <x:c r="J208" s="28" t="str">
        <x:v>The Art &amp; Science of Foodpairing.pdf: 232</x:v>
      </x:c>
    </x:row>
    <x:row r="209" ht="44" customHeight="1">
      <x:c r="A209" s="28" t="str">
        <x:v>шоколад</x:v>
      </x:c>
      <x:c r="B209" s="28" t="n">
        <x:v>20</x:v>
      </x:c>
      <x:c r="C209" s="28" t="str">
        <x:v>васаби</x:v>
      </x:c>
      <x:c r="D209" s="28" t="n">
        <x:v>7</x:v>
      </x:c>
      <x:c r="E209" s="28" t="str">
        <x:v>Высокая</x:v>
      </x:c>
      <x:c r="F209" s="28" t="n">
        <x:v>1</x:v>
      </x:c>
      <x:c r="G209" s="28" t="str">
        <x:v>сенсорная комплементарность</x:v>
      </x:c>
      <x:c r="H209" s="28" t="str">
        <x:v>ганаш, плитка, крем, мусс, напиток, глазурь или соус с васаби</x:v>
      </x:c>
      <x:c r="I209" s="28" t="str">
        <x:v>The Art &amp; Science of Foodpairing.pdf</x:v>
      </x:c>
      <x:c r="J209" s="28" t="str">
        <x:v>The Art &amp; Science of Foodpairing.pdf: 62</x:v>
      </x:c>
    </x:row>
    <x:row r="210" ht="44" customHeight="1">
      <x:c r="A210" s="28" t="str">
        <x:v>белый шоколад</x:v>
      </x:c>
      <x:c r="B210" s="28" t="n">
        <x:v>1</x:v>
      </x:c>
      <x:c r="C210" s="28" t="str">
        <x:v>кокос</x:v>
      </x:c>
      <x:c r="D210" s="28" t="n">
        <x:v>10</x:v>
      </x:c>
      <x:c r="E210" s="28" t="str">
        <x:v>Высокая</x:v>
      </x:c>
      <x:c r="F210" s="28" t="n">
        <x:v>2</x:v>
      </x:c>
      <x:c r="G210" s="28" t="str">
        <x:v>общие ароматические соединения, пересечение ароматических семейств</x:v>
      </x:c>
      <x:c r="H210" s="28" t="str">
        <x:v>ганаш, плитка, крем, мусс, напиток, глазурь или соус с кокос</x:v>
      </x:c>
      <x:c r="I210" s="28" t="str">
        <x:v>The Art &amp; Science of Foodpairing.pdf | Тезариус вкусов (Ники Сегнит)(1).pdf</x:v>
      </x:c>
      <x:c r="J210" s="28" t="str">
        <x:v>The Art &amp; Science of Foodpairing.pdf: 135; Тезариус вкусов (Ники Сегнит)(1).pdf: 754, 924</x:v>
      </x:c>
    </x:row>
    <x:row r="211" ht="44" customHeight="1">
      <x:c r="A211" s="28" t="str">
        <x:v>белый шоколад</x:v>
      </x:c>
      <x:c r="B211" s="28" t="n">
        <x:v>2</x:v>
      </x:c>
      <x:c r="C211" s="28" t="str">
        <x:v>кофе</x:v>
      </x:c>
      <x:c r="D211" s="28" t="n">
        <x:v>10</x:v>
      </x:c>
      <x:c r="E211" s="28" t="str">
        <x:v>Высокая</x:v>
      </x:c>
      <x:c r="F211" s="28" t="n">
        <x:v>2</x:v>
      </x:c>
      <x:c r="G211" s="28" t="str">
        <x:v>общие ароматические соединения, пересечение ароматических семейств, жареная химия и реакции Майяра</x:v>
      </x:c>
      <x:c r="H211" s="28" t="str">
        <x:v>ганаш, плитка, крем, мусс, напиток, глазурь или соус с кофе</x:v>
      </x:c>
      <x:c r="I211" s="28" t="str">
        <x:v>The Art &amp; Science of Foodpairing.pdf | Тезариус вкусов (Ники Сегнит)(1).pdf</x:v>
      </x:c>
      <x:c r="J211" s="28" t="str">
        <x:v>The Art &amp; Science of Foodpairing.pdf: 297; Тезариус вкусов (Ники Сегнит)(1).pdf: 43, 924</x:v>
      </x:c>
    </x:row>
    <x:row r="212" ht="44" customHeight="1">
      <x:c r="A212" s="28" t="str">
        <x:v>белый шоколад</x:v>
      </x:c>
      <x:c r="B212" s="28" t="n">
        <x:v>3</x:v>
      </x:c>
      <x:c r="C212" s="28" t="str">
        <x:v>ананас</x:v>
      </x:c>
      <x:c r="D212" s="28" t="n">
        <x:v>6</x:v>
      </x:c>
      <x:c r="E212" s="28" t="str">
        <x:v>Средняя</x:v>
      </x:c>
      <x:c r="F212" s="28" t="n">
        <x:v>1</x:v>
      </x:c>
      <x:c r="G212" s="28" t="str">
        <x:v>сенсорная комплементарность</x:v>
      </x:c>
      <x:c r="H212" s="28" t="str">
        <x:v>ганаш, плитка, крем, мусс, напиток, глазурь или соус с ананас</x:v>
      </x:c>
      <x:c r="I212" s="28" t="str">
        <x:v>Тезариус вкусов (Ники Сегнит)(1).pdf</x:v>
      </x:c>
      <x:c r="J212" s="28" t="str">
        <x:v>Тезариус вкусов (Ники Сегнит)(1).pdf: 702, 923</x:v>
      </x:c>
    </x:row>
    <x:row r="213" ht="44" customHeight="1">
      <x:c r="A213" s="28" t="str">
        <x:v>белый шоколад</x:v>
      </x:c>
      <x:c r="B213" s="28" t="n">
        <x:v>4</x:v>
      </x:c>
      <x:c r="C213" s="28" t="str">
        <x:v>ежевика</x:v>
      </x:c>
      <x:c r="D213" s="28" t="n">
        <x:v>6</x:v>
      </x:c>
      <x:c r="E213" s="28" t="str">
        <x:v>Средняя</x:v>
      </x:c>
      <x:c r="F213" s="28" t="n">
        <x:v>1</x:v>
      </x:c>
      <x:c r="G213" s="28" t="str">
        <x:v>сенсорная комплементарность</x:v>
      </x:c>
      <x:c r="H213" s="28" t="str">
        <x:v>ганаш, плитка, крем, мусс, напиток, глазурь или соус с ежевика</x:v>
      </x:c>
      <x:c r="I213" s="28" t="str">
        <x:v>Тезариус вкусов (Ники Сегнит)(1).pdf</x:v>
      </x:c>
      <x:c r="J213" s="28" t="str">
        <x:v>Тезариус вкусов (Ники Сегнит)(1).pdf: 880, 923</x:v>
      </x:c>
    </x:row>
    <x:row r="214" ht="44" customHeight="1">
      <x:c r="A214" s="28" t="str">
        <x:v>белый шоколад</x:v>
      </x:c>
      <x:c r="B214" s="28" t="n">
        <x:v>5</x:v>
      </x:c>
      <x:c r="C214" s="28" t="str">
        <x:v>кардамон</x:v>
      </x:c>
      <x:c r="D214" s="28" t="n">
        <x:v>6</x:v>
      </x:c>
      <x:c r="E214" s="28" t="str">
        <x:v>Средняя</x:v>
      </x:c>
      <x:c r="F214" s="28" t="n">
        <x:v>1</x:v>
      </x:c>
      <x:c r="G214" s="28" t="str">
        <x:v>сенсорная комплементарность</x:v>
      </x:c>
      <x:c r="H214" s="28" t="str">
        <x:v>ганаш, плитка, крем, мусс, напиток, глазурь или соус с кардамон</x:v>
      </x:c>
      <x:c r="I214" s="28" t="str">
        <x:v>Тезариус вкусов (Ники Сегнит)(1).pdf</x:v>
      </x:c>
      <x:c r="J214" s="28" t="str">
        <x:v>Тезариус вкусов (Ники Сегнит)(1).pdf: 828, 923</x:v>
      </x:c>
    </x:row>
    <x:row r="215" ht="44" customHeight="1">
      <x:c r="A215" s="28" t="str">
        <x:v>белый шоколад</x:v>
      </x:c>
      <x:c r="B215" s="28" t="n">
        <x:v>6</x:v>
      </x:c>
      <x:c r="C215" s="28" t="str">
        <x:v>клубника</x:v>
      </x:c>
      <x:c r="D215" s="28" t="n">
        <x:v>6</x:v>
      </x:c>
      <x:c r="E215" s="28" t="str">
        <x:v>Средняя</x:v>
      </x:c>
      <x:c r="F215" s="28" t="n">
        <x:v>1</x:v>
      </x:c>
      <x:c r="G215" s="28" t="str">
        <x:v>пересечение ароматических семейств</x:v>
      </x:c>
      <x:c r="H215" s="28" t="str">
        <x:v>ганаш, плитка, крем, мусс, напиток, глазурь или соус с клубника</x:v>
      </x:c>
      <x:c r="I215" s="28" t="str">
        <x:v>Тезариус вкусов (Ники Сегнит)(1).pdf</x:v>
      </x:c>
      <x:c r="J215" s="28" t="str">
        <x:v>Тезариус вкусов (Ники Сегнит)(1).pdf: 693, 923</x:v>
      </x:c>
    </x:row>
    <x:row r="216" ht="44" customHeight="1">
      <x:c r="A216" s="28" t="str">
        <x:v>белый шоколад</x:v>
      </x:c>
      <x:c r="B216" s="28" t="n">
        <x:v>7</x:v>
      </x:c>
      <x:c r="C216" s="28" t="str">
        <x:v>лимон</x:v>
      </x:c>
      <x:c r="D216" s="28" t="n">
        <x:v>6</x:v>
      </x:c>
      <x:c r="E216" s="28" t="str">
        <x:v>Средняя</x:v>
      </x:c>
      <x:c r="F216" s="28" t="n">
        <x:v>1</x:v>
      </x:c>
      <x:c r="G216" s="28" t="str">
        <x:v>контраст кислоты и жирной/горькой матрицы</x:v>
      </x:c>
      <x:c r="H216" s="28" t="str">
        <x:v>ганаш, плитка, крем, мусс, напиток, глазурь или соус с лимон</x:v>
      </x:c>
      <x:c r="I216" s="28" t="str">
        <x:v>Тезариус вкусов (Ники Сегнит)(1).pdf</x:v>
      </x:c>
      <x:c r="J216" s="28" t="str">
        <x:v>Тезариус вкусов (Ники Сегнит)(1).pdf: 801, 924</x:v>
      </x:c>
    </x:row>
    <x:row r="217" ht="44" customHeight="1">
      <x:c r="A217" s="28" t="str">
        <x:v>белый шоколад</x:v>
      </x:c>
      <x:c r="B217" s="28" t="n">
        <x:v>8</x:v>
      </x:c>
      <x:c r="C217" s="28" t="str">
        <x:v>малина</x:v>
      </x:c>
      <x:c r="D217" s="28" t="n">
        <x:v>6</x:v>
      </x:c>
      <x:c r="E217" s="28" t="str">
        <x:v>Средняя</x:v>
      </x:c>
      <x:c r="F217" s="28" t="n">
        <x:v>1</x:v>
      </x:c>
      <x:c r="G217" s="28" t="str">
        <x:v>сенсорная комплементарность</x:v>
      </x:c>
      <x:c r="H217" s="28" t="str">
        <x:v>ганаш, плитка, крем, мусс, напиток, глазурь или соус с малина</x:v>
      </x:c>
      <x:c r="I217" s="28" t="str">
        <x:v>Тезариус вкусов (Ники Сегнит)(1).pdf</x:v>
      </x:c>
      <x:c r="J217" s="28" t="str">
        <x:v>Тезариус вкусов (Ники Сегнит)(1).pdf: 886, 925</x:v>
      </x:c>
    </x:row>
    <x:row r="218" ht="44" customHeight="1">
      <x:c r="A218" s="28" t="str">
        <x:v>белый шоколад</x:v>
      </x:c>
      <x:c r="B218" s="28" t="n">
        <x:v>9</x:v>
      </x:c>
      <x:c r="C218" s="28" t="str">
        <x:v>оливки</x:v>
      </x:c>
      <x:c r="D218" s="28" t="n">
        <x:v>6</x:v>
      </x:c>
      <x:c r="E218" s="28" t="str">
        <x:v>Средняя</x:v>
      </x:c>
      <x:c r="F218" s="28" t="n">
        <x:v>1</x:v>
      </x:c>
      <x:c r="G218" s="28" t="str">
        <x:v>сенсорная комплементарность</x:v>
      </x:c>
      <x:c r="H218" s="28" t="str">
        <x:v>ганаш, плитка, крем, мусс, напиток, глазурь или соус с оливки</x:v>
      </x:c>
      <x:c r="I218" s="28" t="str">
        <x:v>Тезариус вкусов (Ники Сегнит)(1).pdf</x:v>
      </x:c>
      <x:c r="J218" s="28" t="str">
        <x:v>Тезариус вкусов (Ники Сегнит)(1).pdf: 464, 926</x:v>
      </x:c>
    </x:row>
    <x:row r="219" ht="44" customHeight="1">
      <x:c r="A219" s="28" t="str">
        <x:v>белый шоколад</x:v>
      </x:c>
      <x:c r="B219" s="28" t="n">
        <x:v>10</x:v>
      </x:c>
      <x:c r="C219" s="28" t="str">
        <x:v>перечная мята</x:v>
      </x:c>
      <x:c r="D219" s="28" t="n">
        <x:v>6</x:v>
      </x:c>
      <x:c r="E219" s="28" t="str">
        <x:v>Высокая</x:v>
      </x:c>
      <x:c r="F219" s="28" t="n">
        <x:v>1</x:v>
      </x:c>
      <x:c r="G219" s="28" t="str">
        <x:v>сенсорная комплементарность</x:v>
      </x:c>
      <x:c r="H219" s="28" t="str">
        <x:v>ганаш, плитка, крем, мусс, напиток, глазурь или соус с перечная мята</x:v>
      </x:c>
      <x:c r="I219" s="28" t="str">
        <x:v>The Art &amp; Science of Foodpairing.pdf</x:v>
      </x:c>
      <x:c r="J219" s="28" t="str">
        <x:v>The Art &amp; Science of Foodpairing.pdf: 61</x:v>
      </x:c>
    </x:row>
    <x:row r="220" ht="44" customHeight="1">
      <x:c r="A220" s="28" t="str">
        <x:v>белый шоколад</x:v>
      </x:c>
      <x:c r="B220" s="28" t="n">
        <x:v>11</x:v>
      </x:c>
      <x:c r="C220" s="28" t="str">
        <x:v>ростки пшеницы</x:v>
      </x:c>
      <x:c r="D220" s="28" t="n">
        <x:v>6</x:v>
      </x:c>
      <x:c r="E220" s="28" t="str">
        <x:v>Высокая</x:v>
      </x:c>
      <x:c r="F220" s="28" t="n">
        <x:v>1</x:v>
      </x:c>
      <x:c r="G220" s="28" t="str">
        <x:v>сенсорная комплементарность</x:v>
      </x:c>
      <x:c r="H220" s="28" t="str">
        <x:v>ганаш, плитка, крем, мусс, напиток, глазурь или соус с ростки пшеницы</x:v>
      </x:c>
      <x:c r="I220" s="28" t="str">
        <x:v>The Art &amp; Science of Foodpairing.pdf</x:v>
      </x:c>
      <x:c r="J220" s="28" t="str">
        <x:v>The Art &amp; Science of Foodpairing.pdf: 61</x:v>
      </x:c>
    </x:row>
    <x:row r="221" ht="44" customHeight="1">
      <x:c r="A221" s="28" t="str">
        <x:v>белый шоколад</x:v>
      </x:c>
      <x:c r="B221" s="28" t="n">
        <x:v>12</x:v>
      </x:c>
      <x:c r="C221" s="28" t="str">
        <x:v>черная икра</x:v>
      </x:c>
      <x:c r="D221" s="28" t="n">
        <x:v>6</x:v>
      </x:c>
      <x:c r="E221" s="28" t="str">
        <x:v>Средняя</x:v>
      </x:c>
      <x:c r="F221" s="28" t="n">
        <x:v>1</x:v>
      </x:c>
      <x:c r="G221" s="28" t="str">
        <x:v>солёно-умами контраст</x:v>
      </x:c>
      <x:c r="H221" s="28" t="str">
        <x:v>ганаш, плитка, крем, мусс, напиток, глазурь или соус с черная икра</x:v>
      </x:c>
      <x:c r="I221" s="28" t="str">
        <x:v>Тезариус вкусов (Ники Сегнит)(1).pdf</x:v>
      </x:c>
      <x:c r="J221" s="28" t="str">
        <x:v>Тезариус вкусов (Ники Сегнит)(1).pdf: 405, 926</x:v>
      </x:c>
    </x:row>
    <x:row r="222" ht="44" customHeight="1">
      <x:c r="A222" s="28" t="str">
        <x:v>белый шоколад</x:v>
      </x:c>
      <x:c r="B222" s="28" t="n">
        <x:v>13</x:v>
      </x:c>
      <x:c r="C222" s="28" t="str">
        <x:v>чёрный чай</x:v>
      </x:c>
      <x:c r="D222" s="28" t="n">
        <x:v>6</x:v>
      </x:c>
      <x:c r="E222" s="28" t="str">
        <x:v>Высокая</x:v>
      </x:c>
      <x:c r="F222" s="28" t="n">
        <x:v>1</x:v>
      </x:c>
      <x:c r="G222" s="28" t="str">
        <x:v>сенсорная комплементарность</x:v>
      </x:c>
      <x:c r="H222" s="28" t="str">
        <x:v>ганаш, плитка, крем, мусс, напиток, глазурь или соус с чёрный чай</x:v>
      </x:c>
      <x:c r="I222" s="28" t="str">
        <x:v>The Art &amp; Science of Foodpairing.pdf</x:v>
      </x:c>
      <x:c r="J222" s="28" t="str">
        <x:v>The Art &amp; Science of Foodpairing.pdf: 365</x:v>
      </x:c>
    </x:row>
    <x:row r="223" ht="44" customHeight="1">
      <x:c r="A223" s="28" t="str">
        <x:v>белый шоколад</x:v>
      </x:c>
      <x:c r="B223" s="28" t="n">
        <x:v>14</x:v>
      </x:c>
      <x:c r="C223" s="28" t="str">
        <x:v>шафран</x:v>
      </x:c>
      <x:c r="D223" s="28" t="n">
        <x:v>6</x:v>
      </x:c>
      <x:c r="E223" s="28" t="str">
        <x:v>Средняя</x:v>
      </x:c>
      <x:c r="F223" s="28" t="n">
        <x:v>1</x:v>
      </x:c>
      <x:c r="G223" s="28" t="str">
        <x:v>сенсорная комплементарность</x:v>
      </x:c>
      <x:c r="H223" s="28" t="str">
        <x:v>ганаш, плитка, крем, мусс, напиток, глазурь или соус с шафран</x:v>
      </x:c>
      <x:c r="I223" s="28" t="str">
        <x:v>Тезариус вкусов (Ники Сегнит)(1).pdf</x:v>
      </x:c>
      <x:c r="J223" s="28" t="str">
        <x:v>Тезариус вкусов (Ники Сегнит)(1).pdf: 474, 927</x:v>
      </x:c>
    </x:row>
    <x:row r="224" ht="44" customHeight="1">
      <x:c r="A224" s="28" t="str">
        <x:v>белый шоколад</x:v>
      </x:c>
      <x:c r="B224" s="28" t="n">
        <x:v>15</x:v>
      </x:c>
      <x:c r="C224" s="28" t="str">
        <x:v>baechu kimchi</x:v>
      </x:c>
      <x:c r="D224" s="28" t="n">
        <x:v>5</x:v>
      </x:c>
      <x:c r="E224" s="28" t="str">
        <x:v>Средняя</x:v>
      </x:c>
      <x:c r="F224" s="28" t="n">
        <x:v>1</x:v>
      </x:c>
      <x:c r="G224" s="28" t="str">
        <x:v>солёно-умами контраст</x:v>
      </x:c>
      <x:c r="H224" s="28" t="str">
        <x:v>ганаш, плитка, крем, мусс, напиток, глазурь или соус с baechu kimchi</x:v>
      </x:c>
      <x:c r="I224" s="28" t="str">
        <x:v>The Art &amp; Science of Foodpairing.pdf</x:v>
      </x:c>
      <x:c r="J224" s="28" t="str">
        <x:v>The Art &amp; Science of Foodpairing.pdf: 305</x:v>
      </x:c>
    </x:row>
    <x:row r="225" ht="44" customHeight="1">
      <x:c r="A225" s="28" t="str">
        <x:v>белый шоколад</x:v>
      </x:c>
      <x:c r="B225" s="28" t="n">
        <x:v>16</x:v>
      </x:c>
      <x:c r="C225" s="28" t="str">
        <x:v>balsamic vinegar</x:v>
      </x:c>
      <x:c r="D225" s="28" t="n">
        <x:v>5</x:v>
      </x:c>
      <x:c r="E225" s="28" t="str">
        <x:v>Средняя</x:v>
      </x:c>
      <x:c r="F225" s="28" t="n">
        <x:v>1</x:v>
      </x:c>
      <x:c r="G225" s="28" t="str">
        <x:v>солёно-умами контраст</x:v>
      </x:c>
      <x:c r="H225" s="28" t="str">
        <x:v>ганаш, плитка, крем, мусс, напиток, глазурь или соус с balsamic vinegar</x:v>
      </x:c>
      <x:c r="I225" s="28" t="str">
        <x:v>The Art &amp; Science of Foodpairing.pdf</x:v>
      </x:c>
      <x:c r="J225" s="28" t="str">
        <x:v>The Art &amp; Science of Foodpairing.pdf: 316</x:v>
      </x:c>
    </x:row>
    <x:row r="226" ht="44" customHeight="1">
      <x:c r="A226" s="28" t="str">
        <x:v>белый шоколад</x:v>
      </x:c>
      <x:c r="B226" s="28" t="n">
        <x:v>17</x:v>
      </x:c>
      <x:c r="C226" s="28" t="str">
        <x:v>blue cheese</x:v>
      </x:c>
      <x:c r="D226" s="28" t="n">
        <x:v>5</x:v>
      </x:c>
      <x:c r="E226" s="28" t="str">
        <x:v>Средняя</x:v>
      </x:c>
      <x:c r="F226" s="28" t="n">
        <x:v>1</x:v>
      </x:c>
      <x:c r="G226" s="28" t="str">
        <x:v>общие ароматические соединения, пересечение ароматических семейств, жировая экстракция и связывание полифенолов белком</x:v>
      </x:c>
      <x:c r="H226" s="28" t="str">
        <x:v>ганаш, плитка, крем, мусс, напиток, глазурь или соус с blue cheese</x:v>
      </x:c>
      <x:c r="I226" s="28" t="str">
        <x:v>The Art &amp; Science of Foodpairing.pdf</x:v>
      </x:c>
      <x:c r="J226" s="28" t="str">
        <x:v>The Art &amp; Science of Foodpairing.pdf: 164</x:v>
      </x:c>
    </x:row>
    <x:row r="227" ht="44" customHeight="1">
      <x:c r="A227" s="28" t="str">
        <x:v>белый шоколад</x:v>
      </x:c>
      <x:c r="B227" s="28" t="n">
        <x:v>18</x:v>
      </x:c>
      <x:c r="C227" s="28" t="str">
        <x:v>chilli peppers</x:v>
      </x:c>
      <x:c r="D227" s="28" t="n">
        <x:v>5</x:v>
      </x:c>
      <x:c r="E227" s="28" t="str">
        <x:v>Средняя</x:v>
      </x:c>
      <x:c r="F227" s="28" t="n">
        <x:v>1</x:v>
      </x:c>
      <x:c r="G227" s="28" t="str">
        <x:v>сенсорная комплементарность</x:v>
      </x:c>
      <x:c r="H227" s="28" t="str">
        <x:v>ганаш, плитка, крем, мусс, напиток, глазурь или соус с chilli peppers</x:v>
      </x:c>
      <x:c r="I227" s="28" t="str">
        <x:v>The Art &amp; Science of Foodpairing.pdf</x:v>
      </x:c>
      <x:c r="J227" s="28" t="str">
        <x:v>The Art &amp; Science of Foodpairing.pdf: 94</x:v>
      </x:c>
    </x:row>
    <x:row r="228" ht="44" customHeight="1">
      <x:c r="A228" s="28" t="str">
        <x:v>белый шоколад</x:v>
      </x:c>
      <x:c r="B228" s="28" t="n">
        <x:v>19</x:v>
      </x:c>
      <x:c r="C228" s="28" t="str">
        <x:v>sesame seeds, halva and tahini</x:v>
      </x:c>
      <x:c r="D228" s="28" t="n">
        <x:v>5</x:v>
      </x:c>
      <x:c r="E228" s="28" t="str">
        <x:v>Средняя</x:v>
      </x:c>
      <x:c r="F228" s="28" t="n">
        <x:v>1</x:v>
      </x:c>
      <x:c r="G228" s="28" t="str">
        <x:v>сенсорная комплементарность</x:v>
      </x:c>
      <x:c r="H228" s="28" t="str">
        <x:v>ганаш, плитка, крем, мусс, напиток, глазурь или соус с sesame seeds, halva and tahini</x:v>
      </x:c>
      <x:c r="I228" s="28" t="str">
        <x:v>The Art &amp; Science of Foodpairing.pdf</x:v>
      </x:c>
      <x:c r="J228" s="28" t="str">
        <x:v>The Art &amp; Science of Foodpairing.pdf: 308</x:v>
      </x:c>
    </x:row>
    <x:row r="229" ht="44" customHeight="1">
      <x:c r="A229" s="28" t="str">
        <x:v>белый шоколад</x:v>
      </x:c>
      <x:c r="B229" s="28" t="n">
        <x:v>20</x:v>
      </x:c>
      <x:c r="C229" s="28" t="str">
        <x:v>watermelon</x:v>
      </x:c>
      <x:c r="D229" s="28" t="n">
        <x:v>5</x:v>
      </x:c>
      <x:c r="E229" s="28" t="str">
        <x:v>Средняя</x:v>
      </x:c>
      <x:c r="F229" s="28" t="n">
        <x:v>1</x:v>
      </x:c>
      <x:c r="G229" s="28" t="str">
        <x:v>контраст кислоты и жирной/горькой матрицы</x:v>
      </x:c>
      <x:c r="H229" s="28" t="str">
        <x:v>ганаш, плитка, крем, мусс, напиток, глазурь или соус с watermelon</x:v>
      </x:c>
      <x:c r="I229" s="28" t="str">
        <x:v>The Art &amp; Science of Foodpairing.pdf</x:v>
      </x:c>
      <x:c r="J229" s="28" t="str">
        <x:v>The Art &amp; Science of Foodpairing.pdf: 78</x:v>
      </x:c>
    </x:row>
    <x:row r="230" ht="44" customHeight="1">
      <x:c r="A230" s="28" t="str">
        <x:v>молочный шоколад</x:v>
      </x:c>
      <x:c r="B230" s="28" t="n">
        <x:v>1</x:v>
      </x:c>
      <x:c r="C230" s="28" t="str">
        <x:v>клубника</x:v>
      </x:c>
      <x:c r="D230" s="28" t="n">
        <x:v>6</x:v>
      </x:c>
      <x:c r="E230" s="28" t="str">
        <x:v>Высокая</x:v>
      </x:c>
      <x:c r="F230" s="28" t="n">
        <x:v>1</x:v>
      </x:c>
      <x:c r="G230" s="28" t="str">
        <x:v>пересечение ароматических семейств</x:v>
      </x:c>
      <x:c r="H230" s="28" t="str">
        <x:v>ганаш, плитка, крем, мусс, напиток, глазурь или соус с клубника</x:v>
      </x:c>
      <x:c r="I230" s="28" t="str">
        <x:v>The Art &amp; Science of Foodpairing.pdf</x:v>
      </x:c>
      <x:c r="J230" s="28" t="str">
        <x:v>The Art &amp; Science of Foodpairing.pdf: 60</x:v>
      </x:c>
    </x:row>
    <x:row r="231" ht="44" customHeight="1">
      <x:c r="A231" s="28" t="str">
        <x:v>молочный шоколад</x:v>
      </x:c>
      <x:c r="B231" s="28" t="n">
        <x:v>2</x:v>
      </x:c>
      <x:c r="C231" s="28" t="str">
        <x:v>balsamic vinegar</x:v>
      </x:c>
      <x:c r="D231" s="28" t="n">
        <x:v>5</x:v>
      </x:c>
      <x:c r="E231" s="28" t="str">
        <x:v>Средняя</x:v>
      </x:c>
      <x:c r="F231" s="28" t="n">
        <x:v>1</x:v>
      </x:c>
      <x:c r="G231" s="28" t="str">
        <x:v>общие ароматические соединения, солёно-умами контраст</x:v>
      </x:c>
      <x:c r="H231" s="28" t="str">
        <x:v>ганаш, плитка, крем, мусс, напиток, глазурь или соус с balsamic vinegar</x:v>
      </x:c>
      <x:c r="I231" s="28" t="str">
        <x:v>The Art &amp; Science of Foodpairing.pdf</x:v>
      </x:c>
      <x:c r="J231" s="28" t="str">
        <x:v>The Art &amp; Science of Foodpairing.pdf: 316</x:v>
      </x:c>
    </x:row>
    <x:row r="232" ht="44" customHeight="1">
      <x:c r="A232" s="28" t="str">
        <x:v>молочный шоколад</x:v>
      </x:c>
      <x:c r="B232" s="28" t="n">
        <x:v>3</x:v>
      </x:c>
      <x:c r="C232" s="28" t="str">
        <x:v>lberico ham</x:v>
      </x:c>
      <x:c r="D232" s="28" t="n">
        <x:v>5</x:v>
      </x:c>
      <x:c r="E232" s="28" t="str">
        <x:v>Средняя</x:v>
      </x:c>
      <x:c r="F232" s="28" t="n">
        <x:v>1</x:v>
      </x:c>
      <x:c r="G232" s="28" t="str">
        <x:v>общие ароматические соединения, жареная химия и реакции Майяра, солёно-умами контраст</x:v>
      </x:c>
      <x:c r="H232" s="28" t="str">
        <x:v>ганаш, плитка, крем, мусс, напиток, глазурь или соус с lberico ham</x:v>
      </x:c>
      <x:c r="I232" s="28" t="str">
        <x:v>The Art &amp; Science of Foodpairing.pdf</x:v>
      </x:c>
      <x:c r="J232" s="28" t="str">
        <x:v>The Art &amp; Science of Foodpairing.pdf: 278</x:v>
      </x:c>
    </x:row>
    <x:row r="233" ht="44" customHeight="1">
      <x:c r="A233" s="28" t="str">
        <x:v>молочный шоколад</x:v>
      </x:c>
      <x:c r="B233" s="28" t="n">
        <x:v>4</x:v>
      </x:c>
      <x:c r="C233" s="28" t="str">
        <x:v>tomato and tomato puree</x:v>
      </x:c>
      <x:c r="D233" s="28" t="n">
        <x:v>5</x:v>
      </x:c>
      <x:c r="E233" s="28" t="str">
        <x:v>Средняя</x:v>
      </x:c>
      <x:c r="F233" s="28" t="n">
        <x:v>1</x:v>
      </x:c>
      <x:c r="G233" s="28" t="str">
        <x:v>сенсорная комплементарность</x:v>
      </x:c>
      <x:c r="H233" s="28" t="str">
        <x:v>ганаш, плитка, крем, мусс, напиток, глазурь или соус с tomato and tomato puree</x:v>
      </x:c>
      <x:c r="I233" s="28" t="str">
        <x:v>The Art &amp; Science of Foodpairing.pdf</x:v>
      </x:c>
      <x:c r="J233" s="28" t="str">
        <x:v>The Art &amp; Science of Foodpairing.pdf: 161</x:v>
      </x:c>
    </x:row>
    <x:row r="234" ht="44" customHeight="1">
      <x:c r="A234" s="28" t="str">
        <x:v>молочный шоколад</x:v>
      </x:c>
      <x:c r="B234" s="28" t="n">
        <x:v>5</x:v>
      </x:c>
      <x:c r="C234" s="28" t="str">
        <x:v>кардамон</x:v>
      </x:c>
      <x:c r="D234" s="28" t="n">
        <x:v>5</x:v>
      </x:c>
      <x:c r="E234" s="28" t="str">
        <x:v>Средняя</x:v>
      </x:c>
      <x:c r="F234" s="28" t="n">
        <x:v>1</x:v>
      </x:c>
      <x:c r="G234" s="28" t="str">
        <x:v>сенсорная комплементарность</x:v>
      </x:c>
      <x:c r="H234" s="28" t="str">
        <x:v>ганаш, плитка, крем, мусс, напиток, глазурь или соус с кардамон</x:v>
      </x:c>
      <x:c r="I234" s="28" t="str">
        <x:v>The Art &amp; Science of Foodpairing.pdf</x:v>
      </x:c>
      <x:c r="J234" s="28" t="str">
        <x:v>The Art &amp; Science of Foodpairing.pdf: 256</x:v>
      </x:c>
    </x:row>
    <x:row r="235" ht="44" customHeight="1">
      <x:c r="A235" s="28" t="str">
        <x:v>молочный шоколад</x:v>
      </x:c>
      <x:c r="B235" s="28" t="n">
        <x:v>6</x:v>
      </x:c>
      <x:c r="C235" s="28" t="str">
        <x:v>маниок</x:v>
      </x:c>
      <x:c r="D235" s="28" t="n">
        <x:v>5</x:v>
      </x:c>
      <x:c r="E235" s="28" t="str">
        <x:v>Средняя</x:v>
      </x:c>
      <x:c r="F235" s="28" t="n">
        <x:v>1</x:v>
      </x:c>
      <x:c r="G235" s="28" t="str">
        <x:v>сенсорная комплементарность</x:v>
      </x:c>
      <x:c r="H235" s="28" t="str">
        <x:v>ганаш, плитка, крем, мусс, напиток, глазурь или соус с маниок</x:v>
      </x:c>
      <x:c r="I235" s="28" t="str">
        <x:v>The Art &amp; Science of Foodpairing.pdf</x:v>
      </x:c>
      <x:c r="J235" s="28" t="str">
        <x:v>The Art &amp; Science of Foodpairing.pdf: 251</x:v>
      </x:c>
    </x:row>
    <x:row r="236" ht="44" customHeight="1">
      <x:c r="A236" s="28" t="str">
        <x:v>молочный шоколад</x:v>
      </x:c>
      <x:c r="B236" s="28" t="n">
        <x:v>7</x:v>
      </x:c>
      <x:c r="C236" s="28" t="str">
        <x:v>оливковое масло</x:v>
      </x:c>
      <x:c r="D236" s="28" t="n">
        <x:v>5</x:v>
      </x:c>
      <x:c r="E236" s="28" t="str">
        <x:v>Средняя</x:v>
      </x:c>
      <x:c r="F236" s="28" t="n">
        <x:v>1</x:v>
      </x:c>
      <x:c r="G236" s="28" t="str">
        <x:v>общие ароматические соединения</x:v>
      </x:c>
      <x:c r="H236" s="28" t="str">
        <x:v>ганаш, плитка, крем, мусс, напиток, глазурь или соус с оливковое масло</x:v>
      </x:c>
      <x:c r="I236" s="28" t="str">
        <x:v>The Art &amp; Science of Foodpairing.pdf</x:v>
      </x:c>
      <x:c r="J236" s="28" t="str">
        <x:v>The Art &amp; Science of Foodpairing.pdf: 172</x:v>
      </x:c>
    </x:row>
    <x:row r="237" ht="44" customHeight="1">
      <x:c r="A237" s="28" t="str">
        <x:v>молочный шоколад</x:v>
      </x:c>
      <x:c r="B237" s="28" t="n">
        <x:v>8</x:v>
      </x:c>
      <x:c r="C237" s="28" t="str">
        <x:v>чоризо</x:v>
      </x:c>
      <x:c r="D237" s="28" t="n">
        <x:v>5</x:v>
      </x:c>
      <x:c r="E237" s="28" t="str">
        <x:v>Средняя</x:v>
      </x:c>
      <x:c r="F237" s="28" t="n">
        <x:v>1</x:v>
      </x:c>
      <x:c r="G237" s="28" t="str">
        <x:v>сенсорная комплементарность</x:v>
      </x:c>
      <x:c r="H237" s="28" t="str">
        <x:v>ганаш, плитка, крем, мусс, напиток, глазурь или соус с чоризо</x:v>
      </x:c>
      <x:c r="I237" s="28" t="str">
        <x:v>The Art &amp; Science of Foodpairing.pdf</x:v>
      </x:c>
      <x:c r="J237" s="28" t="str">
        <x:v>The Art &amp; Science of Foodpairing.pdf: 288</x:v>
      </x:c>
    </x:row>
    <x:row r="238" ht="44" customHeight="1">
      <x:c r="A238" s="28" t="str">
        <x:v>кофе</x:v>
      </x:c>
      <x:c r="B238" s="28" t="n">
        <x:v>1</x:v>
      </x:c>
      <x:c r="C238" s="28" t="str">
        <x:v>апельсин</x:v>
      </x:c>
      <x:c r="D238" s="28" t="n">
        <x:v>12</x:v>
      </x:c>
      <x:c r="E238" s="28" t="str">
        <x:v>Высокая</x:v>
      </x:c>
      <x:c r="F238" s="28" t="n">
        <x:v>3</x:v>
      </x:c>
      <x:c r="G238" s="28" t="str">
        <x:v>контраст кислоты и жирной/горькой матрицы</x:v>
      </x:c>
      <x:c r="H238" s="28" t="str">
        <x:v>кофейный напиток, холодный кофе, крем, сироп, десерт или соус с апельсин</x:v>
      </x:c>
      <x:c r="I238" s="28" t="str">
        <x:v>The Art &amp; Science of Foodpairing.pdf | Таблица сочетания(1).pdf | Тезариус вкусов (Ники Сегнит)(1).pdf</x:v>
      </x:c>
      <x:c r="J238" s="28" t="str">
        <x:v>The Art &amp; Science of Foodpairing.pdf: 236; Таблица сочетания(1).pdf: 6; Тезариус вкусов (Ники Сегнит)(1).pdf: 42, 776</x:v>
      </x:c>
    </x:row>
    <x:row r="239" ht="44" customHeight="1">
      <x:c r="A239" s="28" t="str">
        <x:v>кофе</x:v>
      </x:c>
      <x:c r="B239" s="28" t="n">
        <x:v>2</x:v>
      </x:c>
      <x:c r="C239" s="28" t="str">
        <x:v>банан</x:v>
      </x:c>
      <x:c r="D239" s="28" t="n">
        <x:v>10</x:v>
      </x:c>
      <x:c r="E239" s="28" t="str">
        <x:v>Высокая</x:v>
      </x:c>
      <x:c r="F239" s="28" t="n">
        <x:v>2</x:v>
      </x:c>
      <x:c r="G239" s="28" t="str">
        <x:v>контраст кислоты и жирной/горькой матрицы</x:v>
      </x:c>
      <x:c r="H239" s="28" t="str">
        <x:v>кофейный напиток, холодный кофе, крем, сироп, десерт или соус с банан</x:v>
      </x:c>
      <x:c r="I239" s="28" t="str">
        <x:v>Таблица сочетания(1).pdf | Тезариус вкусов (Ники Сегнит)(1).pdf</x:v>
      </x:c>
      <x:c r="J239" s="28" t="str">
        <x:v>Таблица сочетания(1).pdf: 2; Тезариус вкусов (Ники Сегнит)(1).pdf: 43, 733</x:v>
      </x:c>
    </x:row>
    <x:row r="240" ht="44" customHeight="1">
      <x:c r="A240" s="28" t="str">
        <x:v>кофе</x:v>
      </x:c>
      <x:c r="B240" s="28" t="n">
        <x:v>3</x:v>
      </x:c>
      <x:c r="C240" s="28" t="str">
        <x:v>ваниль</x:v>
      </x:c>
      <x:c r="D240" s="28" t="n">
        <x:v>10</x:v>
      </x:c>
      <x:c r="E240" s="28" t="str">
        <x:v>Высокая</x:v>
      </x:c>
      <x:c r="F240" s="28" t="n">
        <x:v>2</x:v>
      </x:c>
      <x:c r="G240" s="28" t="str">
        <x:v>пересечение ароматических семейств</x:v>
      </x:c>
      <x:c r="H240" s="28" t="str">
        <x:v>кофейный напиток, холодный кофе, крем, сироп, десерт или соус с ваниль</x:v>
      </x:c>
      <x:c r="I240" s="28" t="str">
        <x:v>Таблица сочетания(1).pdf | Тезариус вкусов (Ники Сегнит)(1).pdf</x:v>
      </x:c>
      <x:c r="J240" s="28" t="str">
        <x:v>Таблица сочетания(1).pdf: 6, 21; Тезариус вкусов (Ники Сегнит)(1).pdf: 43, 917</x:v>
      </x:c>
    </x:row>
    <x:row r="241" ht="44" customHeight="1">
      <x:c r="A241" s="28" t="str">
        <x:v>кофе</x:v>
      </x:c>
      <x:c r="B241" s="28" t="n">
        <x:v>4</x:v>
      </x:c>
      <x:c r="C241" s="28" t="str">
        <x:v>вишня</x:v>
      </x:c>
      <x:c r="D241" s="28" t="n">
        <x:v>10</x:v>
      </x:c>
      <x:c r="E241" s="28" t="str">
        <x:v>Высокая</x:v>
      </x:c>
      <x:c r="F241" s="28" t="n">
        <x:v>2</x:v>
      </x:c>
      <x:c r="G241" s="28" t="str">
        <x:v>контраст кислоты и жирной/горькой матрицы</x:v>
      </x:c>
      <x:c r="H241" s="28" t="str">
        <x:v>кофейный напиток, холодный кофе, крем, сироп, десерт или соус с вишня</x:v>
      </x:c>
      <x:c r="I241" s="28" t="str">
        <x:v>Таблица сочетания(1).pdf | Тезариус вкусов (Ники Сегнит)(1).pdf</x:v>
      </x:c>
      <x:c r="J241" s="28" t="str">
        <x:v>Таблица сочетания(1).pdf: 6; Тезариус вкусов (Ники Сегнит)(1).pdf: 43, 655</x:v>
      </x:c>
    </x:row>
    <x:row r="242" ht="44" customHeight="1">
      <x:c r="A242" s="28" t="str">
        <x:v>кофе</x:v>
      </x:c>
      <x:c r="B242" s="28" t="n">
        <x:v>5</x:v>
      </x:c>
      <x:c r="C242" s="28" t="str">
        <x:v>гвоздика</x:v>
      </x:c>
      <x:c r="D242" s="28" t="n">
        <x:v>10</x:v>
      </x:c>
      <x:c r="E242" s="28" t="str">
        <x:v>Высокая</x:v>
      </x:c>
      <x:c r="F242" s="28" t="n">
        <x:v>2</x:v>
      </x:c>
      <x:c r="G242" s="28" t="str">
        <x:v>сенсорная комплементарность</x:v>
      </x:c>
      <x:c r="H242" s="28" t="str">
        <x:v>кофейный напиток, холодный кофе, крем, сироп, десерт или соус с гвоздика</x:v>
      </x:c>
      <x:c r="I242" s="28" t="str">
        <x:v>Таблица сочетания(1).pdf | Тезариус вкусов (Ники Сегнит)(1).pdf</x:v>
      </x:c>
      <x:c r="J242" s="28" t="str">
        <x:v>Таблица сочетания(1).pdf: 6; Тезариус вкусов (Ники Сегнит)(1).pdf: 43, 583</x:v>
      </x:c>
    </x:row>
    <x:row r="243" ht="44" customHeight="1">
      <x:c r="A243" s="28" t="str">
        <x:v>кофе</x:v>
      </x:c>
      <x:c r="B243" s="28" t="n">
        <x:v>6</x:v>
      </x:c>
      <x:c r="C243" s="28" t="str">
        <x:v>имбирь</x:v>
      </x:c>
      <x:c r="D243" s="28" t="n">
        <x:v>10</x:v>
      </x:c>
      <x:c r="E243" s="28" t="str">
        <x:v>Высокая</x:v>
      </x:c>
      <x:c r="F243" s="28" t="n">
        <x:v>2</x:v>
      </x:c>
      <x:c r="G243" s="28" t="str">
        <x:v>сенсорная комплементарность</x:v>
      </x:c>
      <x:c r="H243" s="28" t="str">
        <x:v>кофейный напиток, холодный кофе, крем, сироп, десерт или соус с имбирь</x:v>
      </x:c>
      <x:c r="I243" s="28" t="str">
        <x:v>The Art &amp; Science of Foodpairing.pdf | Тезариус вкусов (Ники Сегнит)(1).pdf</x:v>
      </x:c>
      <x:c r="J243" s="28" t="str">
        <x:v>The Art &amp; Science of Foodpairing.pdf: 142; Тезариус вкусов (Ники Сегнит)(1).pdf: 45, 817</x:v>
      </x:c>
    </x:row>
    <x:row r="244" ht="44" customHeight="1">
      <x:c r="A244" s="28" t="str">
        <x:v>кофе</x:v>
      </x:c>
      <x:c r="B244" s="28" t="n">
        <x:v>7</x:v>
      </x:c>
      <x:c r="C244" s="28" t="str">
        <x:v>кардамон</x:v>
      </x:c>
      <x:c r="D244" s="28" t="n">
        <x:v>10</x:v>
      </x:c>
      <x:c r="E244" s="28" t="str">
        <x:v>Высокая</x:v>
      </x:c>
      <x:c r="F244" s="28" t="n">
        <x:v>2</x:v>
      </x:c>
      <x:c r="G244" s="28" t="str">
        <x:v>пересечение ароматических семейств</x:v>
      </x:c>
      <x:c r="H244" s="28" t="str">
        <x:v>кофейный напиток, холодный кофе, крем, сироп, десерт или соус с кардамон</x:v>
      </x:c>
      <x:c r="I244" s="28" t="str">
        <x:v>Таблица сочетания(1).pdf | Тезариус вкусов (Ники Сегнит)(1).pdf</x:v>
      </x:c>
      <x:c r="J244" s="28" t="str">
        <x:v>Таблица сочетания(1).pdf: 6; Тезариус вкусов (Ники Сегнит)(1).pdf: 45, 828</x:v>
      </x:c>
    </x:row>
    <x:row r="245" ht="44" customHeight="1">
      <x:c r="A245" s="28" t="str">
        <x:v>кофе</x:v>
      </x:c>
      <x:c r="B245" s="28" t="n">
        <x:v>8</x:v>
      </x:c>
      <x:c r="C245" s="28" t="str">
        <x:v>корица</x:v>
      </x:c>
      <x:c r="D245" s="28" t="n">
        <x:v>10</x:v>
      </x:c>
      <x:c r="E245" s="28" t="str">
        <x:v>Высокая</x:v>
      </x:c>
      <x:c r="F245" s="28" t="n">
        <x:v>2</x:v>
      </x:c>
      <x:c r="G245" s="28" t="str">
        <x:v>сенсорная комплементарность</x:v>
      </x:c>
      <x:c r="H245" s="28" t="str">
        <x:v>кофейный напиток, холодный кофе, крем, сироп, десерт или соус с корица</x:v>
      </x:c>
      <x:c r="I245" s="28" t="str">
        <x:v>Таблица сочетания(1).pdf | Тезариус вкусов (Ники Сегнит)(1).pdf</x:v>
      </x:c>
      <x:c r="J245" s="28" t="str">
        <x:v>Таблица сочетания(1).pdf: 6; Тезариус вкусов (Ники Сегнит)(1).pdf: 46, 577</x:v>
      </x:c>
    </x:row>
    <x:row r="246" ht="44" customHeight="1">
      <x:c r="A246" s="28" t="str">
        <x:v>кофе</x:v>
      </x:c>
      <x:c r="B246" s="28" t="n">
        <x:v>9</x:v>
      </x:c>
      <x:c r="C246" s="28" t="str">
        <x:v>тыква</x:v>
      </x:c>
      <x:c r="D246" s="28" t="n">
        <x:v>10</x:v>
      </x:c>
      <x:c r="E246" s="28" t="str">
        <x:v>Высокая</x:v>
      </x:c>
      <x:c r="F246" s="28" t="n">
        <x:v>2</x:v>
      </x:c>
      <x:c r="G246" s="28" t="str">
        <x:v>сенсорная комплементарность</x:v>
      </x:c>
      <x:c r="H246" s="28" t="str">
        <x:v>кофейный напиток, холодный кофе, крем, сироп, десерт или соус с тыква</x:v>
      </x:c>
      <x:c r="I246" s="28" t="str">
        <x:v>The Art &amp; Science of Foodpairing.pdf | Таблица сочетания(1).pdf</x:v>
      </x:c>
      <x:c r="J246" s="28" t="str">
        <x:v>The Art &amp; Science of Foodpairing.pdf: 297; Таблица сочетания(1).pdf: 6, 18</x:v>
      </x:c>
    </x:row>
    <x:row r="247" ht="44" customHeight="1">
      <x:c r="A247" s="28" t="str">
        <x:v>кофе</x:v>
      </x:c>
      <x:c r="B247" s="28" t="n">
        <x:v>10</x:v>
      </x:c>
      <x:c r="C247" s="28" t="str">
        <x:v>мёд</x:v>
      </x:c>
      <x:c r="D247" s="28" t="n">
        <x:v>9</x:v>
      </x:c>
      <x:c r="E247" s="28" t="str">
        <x:v>Высокая</x:v>
      </x:c>
      <x:c r="F247" s="28" t="n">
        <x:v>2</x:v>
      </x:c>
      <x:c r="G247" s="28" t="str">
        <x:v>пересечение ароматических семейств, жареная химия и реакции Майяра</x:v>
      </x:c>
      <x:c r="H247" s="28" t="str">
        <x:v>кофейный напиток, холодный кофе, крем, сироп, десерт или соус с мёд</x:v>
      </x:c>
      <x:c r="I247" s="28" t="str">
        <x:v>The Art &amp; Science of Foodpairing.pdf | Таблица сочетания(1).pdf</x:v>
      </x:c>
      <x:c r="J247" s="28" t="str">
        <x:v>The Art &amp; Science of Foodpairing.pdf: 297; Таблица сочетания(1).pdf: 6</x:v>
      </x:c>
    </x:row>
    <x:row r="248" ht="44" customHeight="1">
      <x:c r="A248" s="28" t="str">
        <x:v>кофе</x:v>
      </x:c>
      <x:c r="B248" s="28" t="n">
        <x:v>11</x:v>
      </x:c>
      <x:c r="C248" s="28" t="str">
        <x:v>акациевый мёд</x:v>
      </x:c>
      <x:c r="D248" s="28" t="n">
        <x:v>7</x:v>
      </x:c>
      <x:c r="E248" s="28" t="str">
        <x:v>Высокая</x:v>
      </x:c>
      <x:c r="F248" s="28" t="n">
        <x:v>1</x:v>
      </x:c>
      <x:c r="G248" s="28" t="str">
        <x:v>пересечение ароматических семейств, жареная химия и реакции Майяра</x:v>
      </x:c>
      <x:c r="H248" s="28" t="str">
        <x:v>кофейный напиток, холодный кофе, крем, сироп, десерт или соус с акациевый мёд</x:v>
      </x:c>
      <x:c r="I248" s="28" t="str">
        <x:v>The Art &amp; Science of Foodpairing.pdf</x:v>
      </x:c>
      <x:c r="J248" s="28" t="str">
        <x:v>The Art &amp; Science of Foodpairing.pdf: 297</x:v>
      </x:c>
    </x:row>
    <x:row r="249" ht="44" customHeight="1">
      <x:c r="A249" s="28" t="str">
        <x:v>кофе</x:v>
      </x:c>
      <x:c r="B249" s="28" t="n">
        <x:v>12</x:v>
      </x:c>
      <x:c r="C249" s="28" t="str">
        <x:v>isot pepper (urfa chilli flakes)</x:v>
      </x:c>
      <x:c r="D249" s="28" t="n">
        <x:v>6</x:v>
      </x:c>
      <x:c r="E249" s="28" t="str">
        <x:v>Средняя</x:v>
      </x:c>
      <x:c r="F249" s="28" t="n">
        <x:v>1</x:v>
      </x:c>
      <x:c r="G249" s="28" t="str">
        <x:v>сенсорная комплементарность</x:v>
      </x:c>
      <x:c r="H249" s="28" t="str">
        <x:v>кофейный напиток, холодный кофе, крем, сироп, десерт или соус с isot pepper (urfa chilli flakes)</x:v>
      </x:c>
      <x:c r="I249" s="28" t="str">
        <x:v>The Art &amp; Science of Foodpairing.pdf</x:v>
      </x:c>
      <x:c r="J249" s="28" t="str">
        <x:v>The Art &amp; Science of Foodpairing.pdf: 297</x:v>
      </x:c>
    </x:row>
    <x:row r="250" ht="44" customHeight="1">
      <x:c r="A250" s="28" t="str">
        <x:v>кофе</x:v>
      </x:c>
      <x:c r="B250" s="28" t="n">
        <x:v>13</x:v>
      </x:c>
      <x:c r="C250" s="28" t="str">
        <x:v>lobster</x:v>
      </x:c>
      <x:c r="D250" s="28" t="n">
        <x:v>6</x:v>
      </x:c>
      <x:c r="E250" s="28" t="str">
        <x:v>Высокая</x:v>
      </x:c>
      <x:c r="F250" s="28" t="n">
        <x:v>1</x:v>
      </x:c>
      <x:c r="G250" s="28" t="str">
        <x:v>солёно-умами контраст</x:v>
      </x:c>
      <x:c r="H250" s="28" t="str">
        <x:v>кофейный напиток, холодный кофе, крем, сироп, десерт или соус с lobster</x:v>
      </x:c>
      <x:c r="I250" s="28" t="str">
        <x:v>The Art &amp; Science of Foodpairing.pdf</x:v>
      </x:c>
      <x:c r="J250" s="28" t="str">
        <x:v>The Art &amp; Science of Foodpairing.pdf: 296</x:v>
      </x:c>
    </x:row>
    <x:row r="251" ht="44" customHeight="1">
      <x:c r="A251" s="28" t="str">
        <x:v>кофе</x:v>
      </x:c>
      <x:c r="B251" s="28" t="n">
        <x:v>14</x:v>
      </x:c>
      <x:c r="C251" s="28" t="str">
        <x:v>авокадо</x:v>
      </x:c>
      <x:c r="D251" s="28" t="n">
        <x:v>6</x:v>
      </x:c>
      <x:c r="E251" s="28" t="str">
        <x:v>Средняя</x:v>
      </x:c>
      <x:c r="F251" s="28" t="n">
        <x:v>1</x:v>
      </x:c>
      <x:c r="G251" s="28" t="str">
        <x:v>сенсорная комплементарность</x:v>
      </x:c>
      <x:c r="H251" s="28" t="str">
        <x:v>кофейный напиток, холодный кофе, крем, сироп, десерт или соус с авокадо</x:v>
      </x:c>
      <x:c r="I251" s="28" t="str">
        <x:v>Тезариус вкусов (Ники Сегнит)(1).pdf</x:v>
      </x:c>
      <x:c r="J251" s="28" t="str">
        <x:v>Тезариус вкусов (Ники Сегнит)(1).pdf: 42, 527</x:v>
      </x:c>
    </x:row>
    <x:row r="252" ht="44" customHeight="1">
      <x:c r="A252" s="28" t="str">
        <x:v>кофе</x:v>
      </x:c>
      <x:c r="B252" s="28" t="n">
        <x:v>15</x:v>
      </x:c>
      <x:c r="C252" s="28" t="str">
        <x:v>говядина</x:v>
      </x:c>
      <x:c r="D252" s="28" t="n">
        <x:v>6</x:v>
      </x:c>
      <x:c r="E252" s="28" t="str">
        <x:v>Средняя</x:v>
      </x:c>
      <x:c r="F252" s="28" t="n">
        <x:v>1</x:v>
      </x:c>
      <x:c r="G252" s="28" t="str">
        <x:v>общие ароматические соединения, пересечение ароматических семейств, жареная химия и реакции Майяра, солёно-умами контраст</x:v>
      </x:c>
      <x:c r="H252" s="28" t="str">
        <x:v>кофейный напиток, холодный кофе, крем, сироп, десерт или соус с говядина</x:v>
      </x:c>
      <x:c r="I252" s="28" t="str">
        <x:v>Тезариус вкусов (Ники Сегнит)(1).pdf</x:v>
      </x:c>
      <x:c r="J252" s="28" t="str">
        <x:v>Тезариус вкусов (Ники Сегнит)(1).pdf: 43, 113</x:v>
      </x:c>
    </x:row>
    <x:row r="253" ht="44" customHeight="1">
      <x:c r="A253" s="28" t="str">
        <x:v>кофе</x:v>
      </x:c>
      <x:c r="B253" s="28" t="n">
        <x:v>16</x:v>
      </x:c>
      <x:c r="C253" s="28" t="str">
        <x:v>козий сыр</x:v>
      </x:c>
      <x:c r="D253" s="28" t="n">
        <x:v>6</x:v>
      </x:c>
      <x:c r="E253" s="28" t="str">
        <x:v>Средняя</x:v>
      </x:c>
      <x:c r="F253" s="28" t="n">
        <x:v>1</x:v>
      </x:c>
      <x:c r="G253" s="28" t="str">
        <x:v>общие ароматические соединения, жировая экстракция и связывание полифенолов белком</x:v>
      </x:c>
      <x:c r="H253" s="28" t="str">
        <x:v>кофейный напиток, холодный кофе, крем, сироп, десерт или соус с козий сыр</x:v>
      </x:c>
      <x:c r="I253" s="28" t="str">
        <x:v>Тезариус вкусов (Ники Сегнит)(1).pdf</x:v>
      </x:c>
      <x:c r="J253" s="28" t="str">
        <x:v>Тезариус вкусов (Ники Сегнит)(1).pdf: 46, 140</x:v>
      </x:c>
    </x:row>
    <x:row r="254" ht="44" customHeight="1">
      <x:c r="A254" s="28" t="str">
        <x:v>кофе</x:v>
      </x:c>
      <x:c r="B254" s="28" t="n">
        <x:v>17</x:v>
      </x:c>
      <x:c r="C254" s="28" t="str">
        <x:v>лангустин</x:v>
      </x:c>
      <x:c r="D254" s="28" t="n">
        <x:v>6</x:v>
      </x:c>
      <x:c r="E254" s="28" t="str">
        <x:v>Высокая</x:v>
      </x:c>
      <x:c r="F254" s="28" t="n">
        <x:v>1</x:v>
      </x:c>
      <x:c r="G254" s="28" t="str">
        <x:v>сенсорная комплементарность</x:v>
      </x:c>
      <x:c r="H254" s="28" t="str">
        <x:v>кофейный напиток, холодный кофе, крем, сироп, десерт или соус с лангустин</x:v>
      </x:c>
      <x:c r="I254" s="28" t="str">
        <x:v>The Art &amp; Science of Foodpairing.pdf</x:v>
      </x:c>
      <x:c r="J254" s="28" t="str">
        <x:v>The Art &amp; Science of Foodpairing.pdf: 151</x:v>
      </x:c>
    </x:row>
    <x:row r="255" ht="44" customHeight="1">
      <x:c r="A255" s="28" t="str">
        <x:v>кофе</x:v>
      </x:c>
      <x:c r="B255" s="28" t="n">
        <x:v>18</x:v>
      </x:c>
      <x:c r="C255" s="28" t="str">
        <x:v>роза</x:v>
      </x:c>
      <x:c r="D255" s="28" t="n">
        <x:v>6</x:v>
      </x:c>
      <x:c r="E255" s="28" t="str">
        <x:v>Средняя</x:v>
      </x:c>
      <x:c r="F255" s="28" t="n">
        <x:v>1</x:v>
      </x:c>
      <x:c r="G255" s="28" t="str">
        <x:v>пересечение ароматических семейств</x:v>
      </x:c>
      <x:c r="H255" s="28" t="str">
        <x:v>кофейный напиток, холодный кофе, крем, сироп, десерт или соус с роза</x:v>
      </x:c>
      <x:c r="I255" s="28" t="str">
        <x:v>Тезариус вкусов (Ники Сегнит)(1).pdf</x:v>
      </x:c>
      <x:c r="J255" s="28" t="str">
        <x:v>Тезариус вкусов (Ники Сегнит)(1).pdf: 47, 899</x:v>
      </x:c>
    </x:row>
    <x:row r="256" ht="44" customHeight="1">
      <x:c r="A256" s="28" t="str">
        <x:v>кофе</x:v>
      </x:c>
      <x:c r="B256" s="28" t="n">
        <x:v>19</x:v>
      </x:c>
      <x:c r="C256" s="28" t="str">
        <x:v>семена кориандра</x:v>
      </x:c>
      <x:c r="D256" s="28" t="n">
        <x:v>6</x:v>
      </x:c>
      <x:c r="E256" s="28" t="str">
        <x:v>Средняя</x:v>
      </x:c>
      <x:c r="F256" s="28" t="n">
        <x:v>1</x:v>
      </x:c>
      <x:c r="G256" s="28" t="str">
        <x:v>пересечение ароматических семейств</x:v>
      </x:c>
      <x:c r="H256" s="28" t="str">
        <x:v>кофейный напиток, холодный кофе, крем, сироп, десерт или соус с семена кориандра</x:v>
      </x:c>
      <x:c r="I256" s="28" t="str">
        <x:v>Тезариус вкусов (Ники Сегнит)(1).pdf</x:v>
      </x:c>
      <x:c r="J256" s="28" t="str">
        <x:v>Тезариус вкусов (Ники Сегнит)(1).pdf: 47, 907</x:v>
      </x:c>
    </x:row>
    <x:row r="257" ht="44" customHeight="1">
      <x:c r="A257" s="28" t="str">
        <x:v>кофе</x:v>
      </x:c>
      <x:c r="B257" s="28" t="n">
        <x:v>20</x:v>
      </x:c>
      <x:c r="C257" s="28" t="str">
        <x:v>соевый соус</x:v>
      </x:c>
      <x:c r="D257" s="28" t="n">
        <x:v>6</x:v>
      </x:c>
      <x:c r="E257" s="28" t="str">
        <x:v>Высокая</x:v>
      </x:c>
      <x:c r="F257" s="28" t="n">
        <x:v>1</x:v>
      </x:c>
      <x:c r="G257" s="28" t="str">
        <x:v>общие ароматические соединения, пересечение ароматических семейств, солёно-умами контраст</x:v>
      </x:c>
      <x:c r="H257" s="28" t="str">
        <x:v>кофейный напиток, холодный кофе, крем, сироп, десерт или соус с соевый соус</x:v>
      </x:c>
      <x:c r="I257" s="28" t="str">
        <x:v>The Art &amp; Science of Foodpairing.pdf</x:v>
      </x:c>
      <x:c r="J257" s="28" t="str">
        <x:v>The Art &amp; Science of Foodpairing.pdf: 297</x:v>
      </x:c>
    </x:row>
    <x:row r="258" ht="44" customHeight="1">
      <x:c r="A258" s="28" t="str">
        <x:v>чёрный чай</x:v>
      </x:c>
      <x:c r="B258" s="28" t="n">
        <x:v>1</x:v>
      </x:c>
      <x:c r="C258" s="28" t="str">
        <x:v>bacon</x:v>
      </x:c>
      <x:c r="D258" s="28" t="n">
        <x:v>6</x:v>
      </x:c>
      <x:c r="E258" s="28" t="str">
        <x:v>Высокая</x:v>
      </x:c>
      <x:c r="F258" s="28" t="n">
        <x:v>1</x:v>
      </x:c>
      <x:c r="G258" s="28" t="str">
        <x:v>жареная химия и реакции Майяра, солёно-умами контраст</x:v>
      </x:c>
      <x:c r="H258" s="28" t="str">
        <x:v>чайный настой, холодный чай, кордиал, молочный пунш, десерт или соус с bacon</x:v>
      </x:c>
      <x:c r="I258" s="28" t="str">
        <x:v>The Art &amp; Science of Foodpairing.pdf</x:v>
      </x:c>
      <x:c r="J258" s="28" t="str">
        <x:v>The Art &amp; Science of Foodpairing.pdf: 362</x:v>
      </x:c>
    </x:row>
    <x:row r="259" ht="44" customHeight="1">
      <x:c r="A259" s="28" t="str">
        <x:v>чёрный чай</x:v>
      </x:c>
      <x:c r="B259" s="28" t="n">
        <x:v>2</x:v>
      </x:c>
      <x:c r="C259" s="28" t="str">
        <x:v>myrtle berry</x:v>
      </x:c>
      <x:c r="D259" s="28" t="n">
        <x:v>6</x:v>
      </x:c>
      <x:c r="E259" s="28" t="str">
        <x:v>Высокая</x:v>
      </x:c>
      <x:c r="F259" s="28" t="n">
        <x:v>1</x:v>
      </x:c>
      <x:c r="G259" s="28" t="str">
        <x:v>пересечение ароматических семейств, контраст кислоты и жирной/горькой матрицы</x:v>
      </x:c>
      <x:c r="H259" s="28" t="str">
        <x:v>чайный настой, холодный чай, кордиал, молочный пунш, десерт или соус с myrtle berry</x:v>
      </x:c>
      <x:c r="I259" s="28" t="str">
        <x:v>The Art &amp; Science of Foodpairing.pdf</x:v>
      </x:c>
      <x:c r="J259" s="28" t="str">
        <x:v>The Art &amp; Science of Foodpairing.pdf: 364</x:v>
      </x:c>
    </x:row>
    <x:row r="260" ht="44" customHeight="1">
      <x:c r="A260" s="28" t="str">
        <x:v>чёрный чай</x:v>
      </x:c>
      <x:c r="B260" s="28" t="n">
        <x:v>3</x:v>
      </x:c>
      <x:c r="C260" s="28" t="str">
        <x:v>грейпфрут</x:v>
      </x:c>
      <x:c r="D260" s="28" t="n">
        <x:v>6</x:v>
      </x:c>
      <x:c r="E260" s="28" t="str">
        <x:v>Высокая</x:v>
      </x:c>
      <x:c r="F260" s="28" t="n">
        <x:v>1</x:v>
      </x:c>
      <x:c r="G260" s="28" t="str">
        <x:v>пересечение ароматических семейств, контраст кислоты и жирной/горькой матрицы</x:v>
      </x:c>
      <x:c r="H260" s="28" t="str">
        <x:v>чайный настой, холодный чай, кордиал, молочный пунш, десерт или соус с грейпфрут</x:v>
      </x:c>
      <x:c r="I260" s="28" t="str">
        <x:v>The Art &amp; Science of Foodpairing.pdf</x:v>
      </x:c>
      <x:c r="J260" s="28" t="str">
        <x:v>The Art &amp; Science of Foodpairing.pdf: 359</x:v>
      </x:c>
    </x:row>
    <x:row r="261" ht="44" customHeight="1">
      <x:c r="A261" s="28" t="str">
        <x:v>чёрный чай</x:v>
      </x:c>
      <x:c r="B261" s="28" t="n">
        <x:v>4</x:v>
      </x:c>
      <x:c r="C261" s="28" t="str">
        <x:v>картофель фри</x:v>
      </x:c>
      <x:c r="D261" s="28" t="n">
        <x:v>6</x:v>
      </x:c>
      <x:c r="E261" s="28" t="str">
        <x:v>Средняя</x:v>
      </x:c>
      <x:c r="F261" s="28" t="n">
        <x:v>1</x:v>
      </x:c>
      <x:c r="G261" s="28" t="str">
        <x:v>сенсорная комплементарность</x:v>
      </x:c>
      <x:c r="H261" s="28" t="str">
        <x:v>чайный настой, холодный чай, кордиал, молочный пунш, десерт или соус с картофель фри</x:v>
      </x:c>
      <x:c r="I261" s="28" t="str">
        <x:v>The Art &amp; Science of Foodpairing.pdf</x:v>
      </x:c>
      <x:c r="J261" s="28" t="str">
        <x:v>The Art &amp; Science of Foodpairing.pdf: 196</x:v>
      </x:c>
    </x:row>
    <x:row r="262" ht="44" customHeight="1">
      <x:c r="A262" s="28" t="str">
        <x:v>чёрный чай</x:v>
      </x:c>
      <x:c r="B262" s="28" t="n">
        <x:v>5</x:v>
      </x:c>
      <x:c r="C262" s="28" t="str">
        <x:v>цветы бузины</x:v>
      </x:c>
      <x:c r="D262" s="28" t="n">
        <x:v>6</x:v>
      </x:c>
      <x:c r="E262" s="28" t="str">
        <x:v>Высокая</x:v>
      </x:c>
      <x:c r="F262" s="28" t="n">
        <x:v>1</x:v>
      </x:c>
      <x:c r="G262" s="28" t="str">
        <x:v>пересечение ароматических семейств</x:v>
      </x:c>
      <x:c r="H262" s="28" t="str">
        <x:v>чайный настой, холодный чай, кордиал, молочный пунш, десерт или соус с цветы бузины</x:v>
      </x:c>
      <x:c r="I262" s="28" t="str">
        <x:v>The Art &amp; Science of Foodpairing.pdf</x:v>
      </x:c>
      <x:c r="J262" s="28" t="str">
        <x:v>The Art &amp; Science of Foodpairing.pdf: 365</x:v>
      </x:c>
    </x:row>
    <x:row r="263" ht="44" customHeight="1">
      <x:c r="A263" s="28" t="str">
        <x:v>чёрный чай</x:v>
      </x:c>
      <x:c r="B263" s="28" t="n">
        <x:v>6</x:v>
      </x:c>
      <x:c r="C263" s="28" t="str">
        <x:v>balsamic vinegar</x:v>
      </x:c>
      <x:c r="D263" s="28" t="n">
        <x:v>5</x:v>
      </x:c>
      <x:c r="E263" s="28" t="str">
        <x:v>Средняя</x:v>
      </x:c>
      <x:c r="F263" s="28" t="n">
        <x:v>1</x:v>
      </x:c>
      <x:c r="G263" s="28" t="str">
        <x:v>солёно-умами контраст</x:v>
      </x:c>
      <x:c r="H263" s="28" t="str">
        <x:v>чайный настой, холодный чай, кордиал, молочный пунш, десерт или соус с balsamic vinegar</x:v>
      </x:c>
      <x:c r="I263" s="28" t="str">
        <x:v>The Art &amp; Science of Foodpairing.pdf</x:v>
      </x:c>
      <x:c r="J263" s="28" t="str">
        <x:v>The Art &amp; Science of Foodpairing.pdf: 316</x:v>
      </x:c>
    </x:row>
    <x:row r="264" ht="44" customHeight="1">
      <x:c r="A264" s="28" t="str">
        <x:v>чёрный чай</x:v>
      </x:c>
      <x:c r="B264" s="28" t="n">
        <x:v>7</x:v>
      </x:c>
      <x:c r="C264" s="28" t="str">
        <x:v>blue cheese</x:v>
      </x:c>
      <x:c r="D264" s="28" t="n">
        <x:v>5</x:v>
      </x:c>
      <x:c r="E264" s="28" t="str">
        <x:v>Средняя</x:v>
      </x:c>
      <x:c r="F264" s="28" t="n">
        <x:v>1</x:v>
      </x:c>
      <x:c r="G264" s="28" t="str">
        <x:v>жировая экстракция и связывание полифенолов белком</x:v>
      </x:c>
      <x:c r="H264" s="28" t="str">
        <x:v>чайный настой, холодный чай, кордиал, молочный пунш, десерт или соус с blue cheese</x:v>
      </x:c>
      <x:c r="I264" s="28" t="str">
        <x:v>The Art &amp; Science of Foodpairing.pdf</x:v>
      </x:c>
      <x:c r="J264" s="28" t="str">
        <x:v>The Art &amp; Science of Foodpairing.pdf: 164</x:v>
      </x:c>
    </x:row>
    <x:row r="265" ht="44" customHeight="1">
      <x:c r="A265" s="28" t="str">
        <x:v>чёрный чай</x:v>
      </x:c>
      <x:c r="B265" s="28" t="n">
        <x:v>8</x:v>
      </x:c>
      <x:c r="C265" s="28" t="str">
        <x:v>cognac</x:v>
      </x:c>
      <x:c r="D265" s="28" t="n">
        <x:v>5</x:v>
      </x:c>
      <x:c r="E265" s="28" t="str">
        <x:v>Средняя</x:v>
      </x:c>
      <x:c r="F265" s="28" t="n">
        <x:v>1</x:v>
      </x:c>
      <x:c r="G265" s="28" t="str">
        <x:v>пересечение ароматических семейств</x:v>
      </x:c>
      <x:c r="H265" s="28" t="str">
        <x:v>чайный настой, холодный чай, кордиал, молочный пунш, десерт или соус с cognac</x:v>
      </x:c>
      <x:c r="I265" s="28" t="str">
        <x:v>The Art &amp; Science of Foodpairing.pdf</x:v>
      </x:c>
      <x:c r="J265" s="28" t="str">
        <x:v>The Art &amp; Science of Foodpairing.pdf: 123</x:v>
      </x:c>
    </x:row>
    <x:row r="266" ht="44" customHeight="1">
      <x:c r="A266" s="28" t="str">
        <x:v>чёрный чай</x:v>
      </x:c>
      <x:c r="B266" s="28" t="n">
        <x:v>9</x:v>
      </x:c>
      <x:c r="C266" s="28" t="str">
        <x:v>garlic</x:v>
      </x:c>
      <x:c r="D266" s="28" t="n">
        <x:v>5</x:v>
      </x:c>
      <x:c r="E266" s="28" t="str">
        <x:v>Средняя</x:v>
      </x:c>
      <x:c r="F266" s="28" t="n">
        <x:v>1</x:v>
      </x:c>
      <x:c r="G266" s="28" t="str">
        <x:v>сенсорная комплементарность</x:v>
      </x:c>
      <x:c r="H266" s="28" t="str">
        <x:v>чайный настой, холодный чай, кордиал, молочный пунш, десерт или соус с garlic</x:v>
      </x:c>
      <x:c r="I266" s="28" t="str">
        <x:v>The Art &amp; Science of Foodpairing.pdf</x:v>
      </x:c>
      <x:c r="J266" s="28" t="str">
        <x:v>The Art &amp; Science of Foodpairing.pdf: 113</x:v>
      </x:c>
    </x:row>
    <x:row r="267" ht="44" customHeight="1">
      <x:c r="A267" s="28" t="str">
        <x:v>чёрный чай</x:v>
      </x:c>
      <x:c r="B267" s="28" t="n">
        <x:v>10</x:v>
      </x:c>
      <x:c r="C267" s="28" t="str">
        <x:v>lberico ham</x:v>
      </x:c>
      <x:c r="D267" s="28" t="n">
        <x:v>5</x:v>
      </x:c>
      <x:c r="E267" s="28" t="str">
        <x:v>Средняя</x:v>
      </x:c>
      <x:c r="F267" s="28" t="n">
        <x:v>1</x:v>
      </x:c>
      <x:c r="G267" s="28" t="str">
        <x:v>жареная химия и реакции Майяра, солёно-умами контраст</x:v>
      </x:c>
      <x:c r="H267" s="28" t="str">
        <x:v>чайный настой, холодный чай, кордиал, молочный пунш, десерт или соус с lberico ham</x:v>
      </x:c>
      <x:c r="I267" s="28" t="str">
        <x:v>The Art &amp; Science of Foodpairing.pdf</x:v>
      </x:c>
      <x:c r="J267" s="28" t="str">
        <x:v>The Art &amp; Science of Foodpairing.pdf: 278</x:v>
      </x:c>
    </x:row>
    <x:row r="268" ht="44" customHeight="1">
      <x:c r="A268" s="28" t="str">
        <x:v>чёрный чай</x:v>
      </x:c>
      <x:c r="B268" s="28" t="n">
        <x:v>11</x:v>
      </x:c>
      <x:c r="C268" s="28" t="str">
        <x:v>meat</x:v>
      </x:c>
      <x:c r="D268" s="28" t="n">
        <x:v>5</x:v>
      </x:c>
      <x:c r="E268" s="28" t="str">
        <x:v>Средняя</x:v>
      </x:c>
      <x:c r="F268" s="28" t="n">
        <x:v>1</x:v>
      </x:c>
      <x:c r="G268" s="28" t="str">
        <x:v>жареная химия и реакции Майяра, солёно-умами контраст</x:v>
      </x:c>
      <x:c r="H268" s="28" t="str">
        <x:v>чайный настой, холодный чай, кордиал, молочный пунш, десерт или соус с meat</x:v>
      </x:c>
      <x:c r="I268" s="28" t="str">
        <x:v>The Art &amp; Science of Foodpairing.pdf</x:v>
      </x:c>
      <x:c r="J268" s="28" t="str">
        <x:v>The Art &amp; Science of Foodpairing.pdf: 186</x:v>
      </x:c>
    </x:row>
    <x:row r="269" ht="44" customHeight="1">
      <x:c r="A269" s="28" t="str">
        <x:v>чёрный чай</x:v>
      </x:c>
      <x:c r="B269" s="28" t="n">
        <x:v>12</x:v>
      </x:c>
      <x:c r="C269" s="28" t="str">
        <x:v>tea</x:v>
      </x:c>
      <x:c r="D269" s="28" t="n">
        <x:v>5</x:v>
      </x:c>
      <x:c r="E269" s="28" t="str">
        <x:v>Средняя</x:v>
      </x:c>
      <x:c r="F269" s="28" t="n">
        <x:v>1</x:v>
      </x:c>
      <x:c r="G269" s="28" t="str">
        <x:v>пересечение ароматических семейств</x:v>
      </x:c>
      <x:c r="H269" s="28" t="str">
        <x:v>чайный настой, холодный чай, кордиал, молочный пунш, десерт или соус с tea</x:v>
      </x:c>
      <x:c r="I269" s="28" t="str">
        <x:v>The Art &amp; Science of Foodpairing.pdf</x:v>
      </x:c>
      <x:c r="J269" s="28" t="str">
        <x:v>The Art &amp; Science of Foodpairing.pdf: 365</x:v>
      </x:c>
    </x:row>
    <x:row r="270" ht="44" customHeight="1">
      <x:c r="A270" s="28" t="str">
        <x:v>чёрный чай</x:v>
      </x:c>
      <x:c r="B270" s="28" t="n">
        <x:v>13</x:v>
      </x:c>
      <x:c r="C270" s="28" t="str">
        <x:v>жасмин</x:v>
      </x:c>
      <x:c r="D270" s="28" t="n">
        <x:v>5</x:v>
      </x:c>
      <x:c r="E270" s="28" t="str">
        <x:v>Средняя</x:v>
      </x:c>
      <x:c r="F270" s="28" t="n">
        <x:v>1</x:v>
      </x:c>
      <x:c r="G270" s="28" t="str">
        <x:v>пересечение ароматических семейств</x:v>
      </x:c>
      <x:c r="H270" s="28" t="str">
        <x:v>чайный настой, холодный чай, кордиал, молочный пунш, десерт или соус с жасмин</x:v>
      </x:c>
      <x:c r="I270" s="28" t="str">
        <x:v>The Art &amp; Science of Foodpairing.pdf</x:v>
      </x:c>
      <x:c r="J270" s="28" t="str">
        <x:v>The Art &amp; Science of Foodpairing.pdf: 210</x:v>
      </x:c>
    </x:row>
    <x:row r="271" ht="44" customHeight="1">
      <x:c r="A271" s="28" t="str">
        <x:v>чёрный чай</x:v>
      </x:c>
      <x:c r="B271" s="28" t="n">
        <x:v>14</x:v>
      </x:c>
      <x:c r="C271" s="28" t="str">
        <x:v>кардамон</x:v>
      </x:c>
      <x:c r="D271" s="28" t="n">
        <x:v>5</x:v>
      </x:c>
      <x:c r="E271" s="28" t="str">
        <x:v>Средняя</x:v>
      </x:c>
      <x:c r="F271" s="28" t="n">
        <x:v>1</x:v>
      </x:c>
      <x:c r="G271" s="28" t="str">
        <x:v>пересечение ароматических семейств</x:v>
      </x:c>
      <x:c r="H271" s="28" t="str">
        <x:v>чайный настой, холодный чай, кордиал, молочный пунш, десерт или соус с кардамон</x:v>
      </x:c>
      <x:c r="I271" s="28" t="str">
        <x:v>The Art &amp; Science of Foodpairing.pdf</x:v>
      </x:c>
      <x:c r="J271" s="28" t="str">
        <x:v>The Art &amp; Science of Foodpairing.pdf: 256</x:v>
      </x:c>
    </x:row>
    <x:row r="272" ht="44" customHeight="1">
      <x:c r="A272" s="28" t="str">
        <x:v>чёрный чай</x:v>
      </x:c>
      <x:c r="B272" s="28" t="n">
        <x:v>15</x:v>
      </x:c>
      <x:c r="C272" s="28" t="str">
        <x:v>кокос</x:v>
      </x:c>
      <x:c r="D272" s="28" t="n">
        <x:v>5</x:v>
      </x:c>
      <x:c r="E272" s="28" t="str">
        <x:v>Средняя</x:v>
      </x:c>
      <x:c r="F272" s="28" t="n">
        <x:v>1</x:v>
      </x:c>
      <x:c r="G272" s="28" t="str">
        <x:v>сенсорная комплементарность</x:v>
      </x:c>
      <x:c r="H272" s="28" t="str">
        <x:v>чайный настой, холодный чай, кордиал, молочный пунш, десерт или соус с кокос</x:v>
      </x:c>
      <x:c r="I272" s="28" t="str">
        <x:v>The Art &amp; Science of Foodpairing.pdf</x:v>
      </x:c>
      <x:c r="J272" s="28" t="str">
        <x:v>The Art &amp; Science of Foodpairing.pdf: 135</x:v>
      </x:c>
    </x:row>
    <x:row r="273" ht="44" customHeight="1">
      <x:c r="A273" s="28" t="str">
        <x:v>чёрный чай</x:v>
      </x:c>
      <x:c r="B273" s="28" t="n">
        <x:v>16</x:v>
      </x:c>
      <x:c r="C273" s="28" t="str">
        <x:v>манго</x:v>
      </x:c>
      <x:c r="D273" s="28" t="n">
        <x:v>5</x:v>
      </x:c>
      <x:c r="E273" s="28" t="str">
        <x:v>Средняя</x:v>
      </x:c>
      <x:c r="F273" s="28" t="n">
        <x:v>1</x:v>
      </x:c>
      <x:c r="G273" s="28" t="str">
        <x:v>пересечение ароматических семейств, контраст кислоты и жирной/горькой матрицы</x:v>
      </x:c>
      <x:c r="H273" s="28" t="str">
        <x:v>чайный настой, холодный чай, кордиал, молочный пунш, десерт или соус с манго</x:v>
      </x:c>
      <x:c r="I273" s="28" t="str">
        <x:v>The Art &amp; Science of Foodpairing.pdf</x:v>
      </x:c>
      <x:c r="J273" s="28" t="str">
        <x:v>The Art &amp; Science of Foodpairing.pdf: 312</x:v>
      </x:c>
    </x:row>
    <x:row r="274" ht="44" customHeight="1">
      <x:c r="A274" s="28" t="str">
        <x:v>чёрный чай</x:v>
      </x:c>
      <x:c r="B274" s="28" t="n">
        <x:v>17</x:v>
      </x:c>
      <x:c r="C274" s="28" t="str">
        <x:v>маниок</x:v>
      </x:c>
      <x:c r="D274" s="28" t="n">
        <x:v>5</x:v>
      </x:c>
      <x:c r="E274" s="28" t="str">
        <x:v>Средняя</x:v>
      </x:c>
      <x:c r="F274" s="28" t="n">
        <x:v>1</x:v>
      </x:c>
      <x:c r="G274" s="28" t="str">
        <x:v>сенсорная комплементарность</x:v>
      </x:c>
      <x:c r="H274" s="28" t="str">
        <x:v>чайный настой, холодный чай, кордиал, молочный пунш, десерт или соус с маниок</x:v>
      </x:c>
      <x:c r="I274" s="28" t="str">
        <x:v>The Art &amp; Science of Foodpairing.pdf</x:v>
      </x:c>
      <x:c r="J274" s="28" t="str">
        <x:v>The Art &amp; Science of Foodpairing.pdf: 251</x:v>
      </x:c>
    </x:row>
    <x:row r="275" ht="44" customHeight="1">
      <x:c r="A275" s="28" t="str">
        <x:v>чёрный чай</x:v>
      </x:c>
      <x:c r="B275" s="28" t="n">
        <x:v>18</x:v>
      </x:c>
      <x:c r="C275" s="28" t="str">
        <x:v>оливковое масло</x:v>
      </x:c>
      <x:c r="D275" s="28" t="n">
        <x:v>5</x:v>
      </x:c>
      <x:c r="E275" s="28" t="str">
        <x:v>Средняя</x:v>
      </x:c>
      <x:c r="F275" s="28" t="n">
        <x:v>1</x:v>
      </x:c>
      <x:c r="G275" s="28" t="str">
        <x:v>сенсорная комплементарность</x:v>
      </x:c>
      <x:c r="H275" s="28" t="str">
        <x:v>чайный настой, холодный чай, кордиал, молочный пунш, десерт или соус с оливковое масло</x:v>
      </x:c>
      <x:c r="I275" s="28" t="str">
        <x:v>The Art &amp; Science of Foodpairing.pdf</x:v>
      </x:c>
      <x:c r="J275" s="28" t="str">
        <x:v>The Art &amp; Science of Foodpairing.pdf: 172</x:v>
      </x:c>
    </x:row>
    <x:row r="276" ht="44" customHeight="1">
      <x:c r="A276" s="28" t="str">
        <x:v>зелёный чай</x:v>
      </x:c>
      <x:c r="B276" s="28" t="n">
        <x:v>1</x:v>
      </x:c>
      <x:c r="C276" s="28" t="str">
        <x:v>garlic</x:v>
      </x:c>
      <x:c r="D276" s="28" t="n">
        <x:v>7</x:v>
      </x:c>
      <x:c r="E276" s="28" t="str">
        <x:v>Средняя</x:v>
      </x:c>
      <x:c r="F276" s="28" t="n">
        <x:v>1</x:v>
      </x:c>
      <x:c r="G276" s="28" t="str">
        <x:v>пересечение ароматических семейств</x:v>
      </x:c>
      <x:c r="H276" s="28" t="str">
        <x:v>чайный настой, холодный чай, кордиал, молочный пунш, десерт или соус с garlic</x:v>
      </x:c>
      <x:c r="I276" s="28" t="str">
        <x:v>The Art &amp; Science of Foodpairing.pdf</x:v>
      </x:c>
      <x:c r="J276" s="28" t="str">
        <x:v>The Art &amp; Science of Foodpairing.pdf: 113</x:v>
      </x:c>
    </x:row>
    <x:row r="277" ht="44" customHeight="1">
      <x:c r="A277" s="28" t="str">
        <x:v>зелёный чай</x:v>
      </x:c>
      <x:c r="B277" s="28" t="n">
        <x:v>2</x:v>
      </x:c>
      <x:c r="C277" s="28" t="str">
        <x:v>apple and apple sauce</x:v>
      </x:c>
      <x:c r="D277" s="28" t="n">
        <x:v>6</x:v>
      </x:c>
      <x:c r="E277" s="28" t="str">
        <x:v>Средняя</x:v>
      </x:c>
      <x:c r="F277" s="28" t="n">
        <x:v>1</x:v>
      </x:c>
      <x:c r="G277" s="28" t="str">
        <x:v>пересечение ароматических семейств, контраст кислоты и жирной/горькой матрицы</x:v>
      </x:c>
      <x:c r="H277" s="28" t="str">
        <x:v>чайный настой, холодный чай, кордиал, молочный пунш, десерт или соус с apple and apple sauce</x:v>
      </x:c>
      <x:c r="I277" s="28" t="str">
        <x:v>The Art &amp; Science of Foodpairing.pdf</x:v>
      </x:c>
      <x:c r="J277" s="28" t="str">
        <x:v>The Art &amp; Science of Foodpairing.pdf: 47</x:v>
      </x:c>
    </x:row>
    <x:row r="278" ht="44" customHeight="1">
      <x:c r="A278" s="28" t="str">
        <x:v>зелёный чай</x:v>
      </x:c>
      <x:c r="B278" s="28" t="n">
        <x:v>3</x:v>
      </x:c>
      <x:c r="C278" s="28" t="str">
        <x:v>tequila, buckwheat honey</x:v>
      </x:c>
      <x:c r="D278" s="28" t="n">
        <x:v>6</x:v>
      </x:c>
      <x:c r="E278" s="28" t="str">
        <x:v>Высокая</x:v>
      </x:c>
      <x:c r="F278" s="28" t="n">
        <x:v>1</x:v>
      </x:c>
      <x:c r="G278" s="28" t="str">
        <x:v>жареная химия и реакции Майяра</x:v>
      </x:c>
      <x:c r="H278" s="28" t="str">
        <x:v>чайный настой, холодный чай, кордиал, молочный пунш, десерт или соус с tequila, buckwheat honey</x:v>
      </x:c>
      <x:c r="I278" s="28" t="str">
        <x:v>The Art &amp; Science of Foodpairing.pdf</x:v>
      </x:c>
      <x:c r="J278" s="28" t="str">
        <x:v>The Art &amp; Science of Foodpairing.pdf: 82</x:v>
      </x:c>
    </x:row>
    <x:row r="279" ht="44" customHeight="1">
      <x:c r="A279" s="28" t="str">
        <x:v>зелёный чай</x:v>
      </x:c>
      <x:c r="B279" s="28" t="n">
        <x:v>4</x:v>
      </x:c>
      <x:c r="C279" s="28" t="str">
        <x:v>корица и кассия</x:v>
      </x:c>
      <x:c r="D279" s="28" t="n">
        <x:v>6</x:v>
      </x:c>
      <x:c r="E279" s="28" t="str">
        <x:v>Средняя</x:v>
      </x:c>
      <x:c r="F279" s="28" t="n">
        <x:v>1</x:v>
      </x:c>
      <x:c r="G279" s="28" t="str">
        <x:v>сенсорная комплементарность</x:v>
      </x:c>
      <x:c r="H279" s="28" t="str">
        <x:v>чайный настой, холодный чай, кордиал, молочный пунш, десерт или соус с корица и кассия</x:v>
      </x:c>
      <x:c r="I279" s="28" t="str">
        <x:v>The Art &amp; Science of Foodpairing.pdf</x:v>
      </x:c>
      <x:c r="J279" s="28" t="str">
        <x:v>The Art &amp; Science of Foodpairing.pdf: 130</x:v>
      </x:c>
    </x:row>
    <x:row r="280" ht="44" customHeight="1">
      <x:c r="A280" s="28" t="str">
        <x:v>зелёный чай</x:v>
      </x:c>
      <x:c r="B280" s="28" t="n">
        <x:v>5</x:v>
      </x:c>
      <x:c r="C280" s="28" t="str">
        <x:v>brie and camembert</x:v>
      </x:c>
      <x:c r="D280" s="28" t="n">
        <x:v>5</x:v>
      </x:c>
      <x:c r="E280" s="28" t="str">
        <x:v>Средняя</x:v>
      </x:c>
      <x:c r="F280" s="28" t="n">
        <x:v>1</x:v>
      </x:c>
      <x:c r="G280" s="28" t="str">
        <x:v>жировая экстракция и связывание полифенолов белком</x:v>
      </x:c>
      <x:c r="H280" s="28" t="str">
        <x:v>чайный настой, холодный чай, кордиал, молочный пунш, десерт или соус с brie and camembert</x:v>
      </x:c>
      <x:c r="I280" s="28" t="str">
        <x:v>The Art &amp; Science of Foodpairing.pdf</x:v>
      </x:c>
      <x:c r="J280" s="28" t="str">
        <x:v>The Art &amp; Science of Foodpairing.pdf: 336</x:v>
      </x:c>
    </x:row>
    <x:row r="281" ht="44" customHeight="1">
      <x:c r="A281" s="28" t="str">
        <x:v>зелёный чай</x:v>
      </x:c>
      <x:c r="B281" s="28" t="n">
        <x:v>6</x:v>
      </x:c>
      <x:c r="C281" s="28" t="str">
        <x:v>fish</x:v>
      </x:c>
      <x:c r="D281" s="28" t="n">
        <x:v>5</x:v>
      </x:c>
      <x:c r="E281" s="28" t="str">
        <x:v>Средняя</x:v>
      </x:c>
      <x:c r="F281" s="28" t="n">
        <x:v>1</x:v>
      </x:c>
      <x:c r="G281" s="28" t="str">
        <x:v>пересечение ароматических семейств, солёно-умами контраст</x:v>
      </x:c>
      <x:c r="H281" s="28" t="str">
        <x:v>чайный настой, холодный чай, кордиал, молочный пунш, десерт или соус с fish</x:v>
      </x:c>
      <x:c r="I281" s="28" t="str">
        <x:v>The Art &amp; Science of Foodpairing.pdf</x:v>
      </x:c>
      <x:c r="J281" s="28" t="str">
        <x:v>The Art &amp; Science of Foodpairing.pdf: 104</x:v>
      </x:c>
    </x:row>
    <x:row r="282" ht="44" customHeight="1">
      <x:c r="A282" s="28" t="str">
        <x:v>зелёный чай</x:v>
      </x:c>
      <x:c r="B282" s="28" t="n">
        <x:v>7</x:v>
      </x:c>
      <x:c r="C282" s="28" t="str">
        <x:v>meat</x:v>
      </x:c>
      <x:c r="D282" s="28" t="n">
        <x:v>5</x:v>
      </x:c>
      <x:c r="E282" s="28" t="str">
        <x:v>Средняя</x:v>
      </x:c>
      <x:c r="F282" s="28" t="n">
        <x:v>1</x:v>
      </x:c>
      <x:c r="G282" s="28" t="str">
        <x:v>жареная химия и реакции Майяра, солёно-умами контраст</x:v>
      </x:c>
      <x:c r="H282" s="28" t="str">
        <x:v>чайный настой, холодный чай, кордиал, молочный пунш, десерт или соус с meat</x:v>
      </x:c>
      <x:c r="I282" s="28" t="str">
        <x:v>The Art &amp; Science of Foodpairing.pdf</x:v>
      </x:c>
      <x:c r="J282" s="28" t="str">
        <x:v>The Art &amp; Science of Foodpairing.pdf: 186</x:v>
      </x:c>
    </x:row>
    <x:row r="283" ht="44" customHeight="1">
      <x:c r="A283" s="28" t="str">
        <x:v>зелёный чай</x:v>
      </x:c>
      <x:c r="B283" s="28" t="n">
        <x:v>8</x:v>
      </x:c>
      <x:c r="C283" s="28" t="str">
        <x:v>peppercorns</x:v>
      </x:c>
      <x:c r="D283" s="28" t="n">
        <x:v>5</x:v>
      </x:c>
      <x:c r="E283" s="28" t="str">
        <x:v>Средняя</x:v>
      </x:c>
      <x:c r="F283" s="28" t="n">
        <x:v>1</x:v>
      </x:c>
      <x:c r="G283" s="28" t="str">
        <x:v>сенсорная комплементарность</x:v>
      </x:c>
      <x:c r="H283" s="28" t="str">
        <x:v>чайный настой, холодный чай, кордиал, молочный пунш, десерт или соус с peppercorns</x:v>
      </x:c>
      <x:c r="I283" s="28" t="str">
        <x:v>The Art &amp; Science of Foodpairing.pdf</x:v>
      </x:c>
      <x:c r="J283" s="28" t="str">
        <x:v>The Art &amp; Science of Foodpairing.pdf: 274</x:v>
      </x:c>
    </x:row>
    <x:row r="284" ht="44" customHeight="1">
      <x:c r="A284" s="28" t="str">
        <x:v>зелёный чай</x:v>
      </x:c>
      <x:c r="B284" s="28" t="n">
        <x:v>9</x:v>
      </x:c>
      <x:c r="C284" s="28" t="str">
        <x:v>red bell pepper and paprika</x:v>
      </x:c>
      <x:c r="D284" s="28" t="n">
        <x:v>5</x:v>
      </x:c>
      <x:c r="E284" s="28" t="str">
        <x:v>Средняя</x:v>
      </x:c>
      <x:c r="F284" s="28" t="n">
        <x:v>1</x:v>
      </x:c>
      <x:c r="G284" s="28" t="str">
        <x:v>сенсорная комплементарность</x:v>
      </x:c>
      <x:c r="H284" s="28" t="str">
        <x:v>чайный настой, холодный чай, кордиал, молочный пунш, десерт или соус с red bell pepper and paprika</x:v>
      </x:c>
      <x:c r="I284" s="28" t="str">
        <x:v>The Art &amp; Science of Foodpairing.pdf</x:v>
      </x:c>
      <x:c r="J284" s="28" t="str">
        <x:v>The Art &amp; Science of Foodpairing.pdf: 108</x:v>
      </x:c>
    </x:row>
    <x:row r="285" ht="44" customHeight="1">
      <x:c r="A285" s="28" t="str">
        <x:v>зелёный чай</x:v>
      </x:c>
      <x:c r="B285" s="28" t="n">
        <x:v>10</x:v>
      </x:c>
      <x:c r="C285" s="28" t="str">
        <x:v>sesame seeds, halva and tahini</x:v>
      </x:c>
      <x:c r="D285" s="28" t="n">
        <x:v>5</x:v>
      </x:c>
      <x:c r="E285" s="28" t="str">
        <x:v>Средняя</x:v>
      </x:c>
      <x:c r="F285" s="28" t="n">
        <x:v>1</x:v>
      </x:c>
      <x:c r="G285" s="28" t="str">
        <x:v>сенсорная комплементарность</x:v>
      </x:c>
      <x:c r="H285" s="28" t="str">
        <x:v>чайный настой, холодный чай, кордиал, молочный пунш, десерт или соус с sesame seeds, halva and tahini</x:v>
      </x:c>
      <x:c r="I285" s="28" t="str">
        <x:v>The Art &amp; Science of Foodpairing.pdf</x:v>
      </x:c>
      <x:c r="J285" s="28" t="str">
        <x:v>The Art &amp; Science of Foodpairing.pdf: 308</x:v>
      </x:c>
    </x:row>
    <x:row r="286" ht="44" customHeight="1">
      <x:c r="A286" s="28" t="str">
        <x:v>зелёный чай</x:v>
      </x:c>
      <x:c r="B286" s="28" t="n">
        <x:v>11</x:v>
      </x:c>
      <x:c r="C286" s="28" t="str">
        <x:v>банан</x:v>
      </x:c>
      <x:c r="D286" s="28" t="n">
        <x:v>5</x:v>
      </x:c>
      <x:c r="E286" s="28" t="str">
        <x:v>Средняя</x:v>
      </x:c>
      <x:c r="F286" s="28" t="n">
        <x:v>1</x:v>
      </x:c>
      <x:c r="G286" s="28" t="str">
        <x:v>контраст кислоты и жирной/горькой матрицы</x:v>
      </x:c>
      <x:c r="H286" s="28" t="str">
        <x:v>чайный настой, холодный чай, кордиал, молочный пунш, десерт или соус с банан</x:v>
      </x:c>
      <x:c r="I286" s="28" t="str">
        <x:v>The Art &amp; Science of Foodpairing.pdf</x:v>
      </x:c>
      <x:c r="J286" s="28" t="str">
        <x:v>The Art &amp; Science of Foodpairing.pdf: 342</x:v>
      </x:c>
    </x:row>
    <x:row r="287" ht="44" customHeight="1">
      <x:c r="A287" s="28" t="str">
        <x:v>зелёный чай</x:v>
      </x:c>
      <x:c r="B287" s="28" t="n">
        <x:v>12</x:v>
      </x:c>
      <x:c r="C287" s="28" t="str">
        <x:v>груша</x:v>
      </x:c>
      <x:c r="D287" s="28" t="n">
        <x:v>5</x:v>
      </x:c>
      <x:c r="E287" s="28" t="str">
        <x:v>Средняя</x:v>
      </x:c>
      <x:c r="F287" s="28" t="n">
        <x:v>1</x:v>
      </x:c>
      <x:c r="G287" s="28" t="str">
        <x:v>пересечение ароматических семейств, контраст кислоты и жирной/горькой матрицы</x:v>
      </x:c>
      <x:c r="H287" s="28" t="str">
        <x:v>чайный настой, холодный чай, кордиал, молочный пунш, десерт или соус с груша</x:v>
      </x:c>
      <x:c r="I287" s="28" t="str">
        <x:v>The Art &amp; Science of Foodpairing.pdf</x:v>
      </x:c>
      <x:c r="J287" s="28" t="str">
        <x:v>The Art &amp; Science of Foodpairing.pdf: 350</x:v>
      </x:c>
    </x:row>
    <x:row r="288" ht="44" customHeight="1">
      <x:c r="A288" s="28" t="str">
        <x:v>зелёный чай</x:v>
      </x:c>
      <x:c r="B288" s="28" t="n">
        <x:v>13</x:v>
      </x:c>
      <x:c r="C288" s="28" t="str">
        <x:v>имбирь</x:v>
      </x:c>
      <x:c r="D288" s="28" t="n">
        <x:v>5</x:v>
      </x:c>
      <x:c r="E288" s="28" t="str">
        <x:v>Средняя</x:v>
      </x:c>
      <x:c r="F288" s="28" t="n">
        <x:v>1</x:v>
      </x:c>
      <x:c r="G288" s="28" t="str">
        <x:v>сенсорная комплементарность</x:v>
      </x:c>
      <x:c r="H288" s="28" t="str">
        <x:v>чайный настой, холодный чай, кордиал, молочный пунш, десерт или соус с имбирь</x:v>
      </x:c>
      <x:c r="I288" s="28" t="str">
        <x:v>The Art &amp; Science of Foodpairing.pdf</x:v>
      </x:c>
      <x:c r="J288" s="28" t="str">
        <x:v>The Art &amp; Science of Foodpairing.pdf: 142</x:v>
      </x:c>
    </x:row>
    <x:row r="289" ht="44" customHeight="1">
      <x:c r="A289" s="28" t="str">
        <x:v>зелёный чай</x:v>
      </x:c>
      <x:c r="B289" s="28" t="n">
        <x:v>14</x:v>
      </x:c>
      <x:c r="C289" s="28" t="str">
        <x:v>кардамон</x:v>
      </x:c>
      <x:c r="D289" s="28" t="n">
        <x:v>5</x:v>
      </x:c>
      <x:c r="E289" s="28" t="str">
        <x:v>Средняя</x:v>
      </x:c>
      <x:c r="F289" s="28" t="n">
        <x:v>1</x:v>
      </x:c>
      <x:c r="G289" s="28" t="str">
        <x:v>общие ароматические соединения, пересечение ароматических семейств</x:v>
      </x:c>
      <x:c r="H289" s="28" t="str">
        <x:v>чайный настой, холодный чай, кордиал, молочный пунш, десерт или соус с кардамон</x:v>
      </x:c>
      <x:c r="I289" s="28" t="str">
        <x:v>The Art &amp; Science of Foodpairing.pdf</x:v>
      </x:c>
      <x:c r="J289" s="28" t="str">
        <x:v>The Art &amp; Science of Foodpairing.pdf: 256</x:v>
      </x:c>
    </x:row>
    <x:row r="290" ht="44" customHeight="1">
      <x:c r="A290" s="28" t="str">
        <x:v>зелёный чай</x:v>
      </x:c>
      <x:c r="B290" s="28" t="n">
        <x:v>15</x:v>
      </x:c>
      <x:c r="C290" s="28" t="str">
        <x:v>трюфель</x:v>
      </x:c>
      <x:c r="D290" s="28" t="n">
        <x:v>5</x:v>
      </x:c>
      <x:c r="E290" s="28" t="str">
        <x:v>Средняя</x:v>
      </x:c>
      <x:c r="F290" s="28" t="n">
        <x:v>1</x:v>
      </x:c>
      <x:c r="G290" s="28" t="str">
        <x:v>сенсорная комплементарность</x:v>
      </x:c>
      <x:c r="H290" s="28" t="str">
        <x:v>чайный настой, холодный чай, кордиал, молочный пунш, десерт или соус с трюфель</x:v>
      </x:c>
      <x:c r="I290" s="28" t="str">
        <x:v>The Art &amp; Science of Foodpairing.pdf</x:v>
      </x:c>
      <x:c r="J290" s="28" t="str">
        <x:v>The Art &amp; Science of Foodpairing.pdf: 192</x:v>
      </x:c>
    </x:row>
    <x:row r="291" ht="44" customHeight="1">
      <x:c r="A291" s="28" t="str">
        <x:v>зелёный чай</x:v>
      </x:c>
      <x:c r="B291" s="28" t="n">
        <x:v>16</x:v>
      </x:c>
      <x:c r="C291" s="28" t="str">
        <x:v>авокадо</x:v>
      </x:c>
      <x:c r="D291" s="28" t="n">
        <x:v>4</x:v>
      </x:c>
      <x:c r="E291" s="28" t="str">
        <x:v>Гипотеза / практическая</x:v>
      </x:c>
      <x:c r="F291" s="28" t="n">
        <x:v>1</x:v>
      </x:c>
      <x:c r="G291" s="28" t="str">
        <x:v>сенсорная комплементарность</x:v>
      </x:c>
      <x:c r="H291" s="28" t="str">
        <x:v>чайный настой, холодный чай, кордиал, молочный пунш, десерт или соус с авокадо</x:v>
      </x:c>
      <x:c r="I291" s="28" t="str">
        <x:v>Таблица сочетания(1).pdf</x:v>
      </x:c>
      <x:c r="J291" s="28" t="str">
        <x:v>Таблица сочетания(1).pdf: 2</x:v>
      </x:c>
    </x:row>
    <x:row r="292" ht="44" customHeight="1">
      <x:c r="A292" s="28" t="str">
        <x:v>ройбуш</x:v>
      </x:c>
      <x:c r="B292" s="28" t="n">
        <x:v>1</x:v>
      </x:c>
      <x:c r="C292" s="28" t="str">
        <x:v>банан</x:v>
      </x:c>
      <x:c r="D292" s="28" t="n">
        <x:v>5</x:v>
      </x:c>
      <x:c r="E292" s="28" t="str">
        <x:v>Средняя</x:v>
      </x:c>
      <x:c r="F292" s="28" t="n">
        <x:v>1</x:v>
      </x:c>
      <x:c r="G292" s="28" t="str">
        <x:v>контраст кислоты и жирной/горькой матрицы</x:v>
      </x:c>
      <x:c r="H292" s="28" t="str">
        <x:v>чайный настой, холодный чай, кордиал, молочный пунш, десерт или соус с банан</x:v>
      </x:c>
      <x:c r="I292" s="28" t="str">
        <x:v>The Art &amp; Science of Foodpairing.pdf</x:v>
      </x:c>
      <x:c r="J292" s="28" t="str">
        <x:v>The Art &amp; Science of Foodpairing.pdf: 342</x:v>
      </x:c>
    </x:row>
    <x:row r="293" ht="44" customHeight="1">
      <x:c r="A293" s="28" t="str">
        <x:v>ройбуш</x:v>
      </x:c>
      <x:c r="B293" s="28" t="n">
        <x:v>2</x:v>
      </x:c>
      <x:c r="C293" s="28" t="str">
        <x:v>свёкла</x:v>
      </x:c>
      <x:c r="D293" s="28" t="n">
        <x:v>5</x:v>
      </x:c>
      <x:c r="E293" s="28" t="str">
        <x:v>Средняя</x:v>
      </x:c>
      <x:c r="F293" s="28" t="n">
        <x:v>1</x:v>
      </x:c>
      <x:c r="G293" s="28" t="str">
        <x:v>сенсорная комплементарность</x:v>
      </x:c>
      <x:c r="H293" s="28" t="str">
        <x:v>чайный настой, холодный чай, кордиал, молочный пунш, десерт или соус с свёкла</x:v>
      </x:c>
      <x:c r="I293" s="28" t="str">
        <x:v>The Art &amp; Science of Foodpairing.pdf</x:v>
      </x:c>
      <x:c r="J293" s="28" t="str">
        <x:v>The Art &amp; Science of Foodpairing.pdf: 224</x:v>
      </x:c>
    </x:row>
  </x:sheetData>
  <x:conditionalFormatting sqref="D2:D293">
    <x:cfRule type="dataBar" priority="1">
      <x:dataBar>
        <x:cfvo type="min"/>
        <x:cfvo type="max"/>
        <x:color rgb="FFB07843"/>
      </x:dataBar>
      <x:extLst>
        <x:ext xmlns:x14="http://schemas.microsoft.com/office/spreadsheetml/2009/9/main" uri="{B025F937-C7B1-47D3-B67F-A62EFF666E3E}">
          <x14:id>{0499DC2D-F20A-CAD6-A6CD-B0A714ABEFF8}</x14:id>
        </x:ext>
      </x:extLst>
    </x:cfRule>
  </x:conditionalFormatting>
  <x:conditionalFormatting sqref="E2:E293">
    <x:cfRule type="expression" dxfId="27" priority="2">
      <x:formula>E2="Высокая"</x:formula>
    </x:cfRule>
    <x:cfRule type="expression" dxfId="28" priority="3">
      <x:formula>E2="Средняя"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dd7b5c8e76407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499DC2D-F20A-CAD6-A6CD-B0A714ABEFF8}">
            <x14:dataBar gradient="1">
              <x14:cfvo type="min"/>
              <x14:cfvo type="max"/>
              <x14:fillColor rgb="FFB07843"/>
            </x14:dataBar>
          </x14:cfRule>
          <xm:sqref>D2:D293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3" hidden="0" customWidth="1"/>
    <x:col min="3" max="3" width="52" hidden="0" customWidth="1"/>
    <x:col min="4" max="4" width="55" hidden="0" customWidth="1"/>
    <x:col min="5" max="5" width="50" hidden="0" customWidth="1"/>
    <x:col min="6" max="6" width="49" hidden="0" customWidth="1"/>
    <x:col min="7" max="7" width="52" hidden="0" customWidth="1"/>
    <x:col min="8" max="8" width="38" hidden="0" customWidth="1"/>
  </x:cols>
  <x:sheetData>
    <x:row r="1" ht="34" customHeight="1">
      <x:c r="A1" s="4" t="str">
        <x:v>ОБЖАРКА, ЗАВАРИВАНИЕ И ЭКСТРАКЦИЯ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20" t="str">
        <x:v>Технология</x:v>
      </x:c>
      <x:c r="B4" s="20" t="str">
        <x:v>Подходит для</x:v>
      </x:c>
      <x:c r="C4" s="20" t="str">
        <x:v>Основной механизм</x:v>
      </x:c>
      <x:c r="D4" s="20" t="str">
        <x:v>Рабочий подход</x:v>
      </x:c>
      <x:c r="E4" s="20" t="str">
        <x:v>Что раскрывается</x:v>
      </x:c>
      <x:c r="F4" s="20" t="str">
        <x:v>Главный риск</x:v>
      </x:c>
      <x:c r="G4" s="20" t="str">
        <x:v>Как контролировать</x:v>
      </x:c>
      <x:c r="H4" s="20" t="str">
        <x:v>Пример применения</x:v>
      </x:c>
    </x:row>
    <x:row r="5" ht="78" customHeight="1">
      <x:c r="A5" s="28" t="str">
        <x:v>Умеренная обжарка орехов</x:v>
      </x:c>
      <x:c r="B5" s="28" t="str">
        <x:v>миндаль, фундук, арахис, кешью, пекан, фисташка</x:v>
      </x:c>
      <x:c r="C5" s="28" t="str">
        <x:v>реакции Майяра формируют пиразины, фураны и жареные альдегиды</x:v>
      </x:c>
      <x:c r="D5" s="28" t="str">
        <x:v>обжаривать равномерно до выраженного аромата без дыма; быстро охлаждать</x:v>
      </x:c>
      <x:c r="E5" s="28" t="str">
        <x:v>пралиновые, хлебные, какаовые и карамельные ноты</x:v>
      </x:c>
      <x:c r="F5" s="28" t="str">
        <x:v>обугливание, горечь и ускоренное окисление масла</x:v>
      </x:c>
      <x:c r="G5" s="28" t="str">
        <x:v>контролировать температуру, цвет и аромат; хранить после полного охлаждения</x:v>
      </x:c>
      <x:c r="H5" s="28" t="str">
        <x:v>пралине, ореховое молоко, сироп, гарнир</x:v>
      </x:c>
    </x:row>
    <x:row r="6" ht="78" customHeight="1">
      <x:c r="A6" s="28" t="str">
        <x:v>Свежий помол кофе</x:v>
      </x:c>
      <x:c r="B6" s="28" t="str">
        <x:v>зерновой кофе всех способов обжарки</x:v>
      </x:c>
      <x:c r="C6" s="28" t="str">
        <x:v>разрушение зерна резко увеличивает выход летучих молекул</x:v>
      </x:c>
      <x:c r="D6" s="28" t="str">
        <x:v>молоть непосредственно перед завариванием</x:v>
      </x:c>
      <x:c r="E6" s="28" t="str">
        <x:v>фруктовые, цветочные, ореховые и сернистые верхние ноты</x:v>
      </x:c>
      <x:c r="F6" s="28" t="str">
        <x:v>потеря аромата и окисление за минуты и часы</x:v>
      </x:c>
      <x:c r="G6" s="28" t="str">
        <x:v>готовить порцию под конкретный метод; хранить зерно герметично</x:v>
      </x:c>
      <x:c r="H6" s="28" t="str">
        <x:v>эспрессо, фильтр, кофе для соуса</x:v>
      </x:c>
    </x:row>
    <x:row r="7" ht="78" customHeight="1">
      <x:c r="A7" s="28" t="str">
        <x:v>Холодная экстракция кофе</x:v>
      </x:c>
      <x:c r="B7" s="28" t="str">
        <x:v>светлая и средняя обжарка</x:v>
      </x:c>
      <x:c r="C7" s="28" t="str">
        <x:v>медленная диффузия при ограниченном извлечении части горьких компонентов</x:v>
      </x:c>
      <x:c r="D7" s="28" t="str">
        <x:v>низкая температура, крупный помол, контролируемое время</x:v>
      </x:c>
      <x:c r="E7" s="28" t="str">
        <x:v>мягкая сладость, шоколадные и фруктовые ноты</x:v>
      </x:c>
      <x:c r="F7" s="28" t="str">
        <x:v>плоский вкус, окисление и микробиологическая нестабильность</x:v>
      </x:c>
      <x:c r="G7" s="28" t="str">
        <x:v>охлаждать, фильтровать и ограничивать срок хранения</x:v>
      </x:c>
      <x:c r="H7" s="28" t="str">
        <x:v>cold brew, кофейный кордиал, пунш</x:v>
      </x:c>
    </x:row>
    <x:row r="8" ht="78" customHeight="1">
      <x:c r="A8" s="28" t="str">
        <x:v>Чайный настой</x:v>
      </x:c>
      <x:c r="B8" s="28" t="str">
        <x:v>чёрный чай, зелёный чай, улун и ройбуш</x:v>
      </x:c>
      <x:c r="C8" s="28" t="str">
        <x:v>вода извлекает летучие вещества, аминокислоты, кофеин и полифенолы с разной скоростью</x:v>
      </x:c>
      <x:c r="D8" s="28" t="str">
        <x:v>подбирать температуру, время и соотношение листа к воде под тип чая</x:v>
      </x:c>
      <x:c r="E8" s="28" t="str">
        <x:v>цветочность, зелёные ноты, умами, мальт и древесность</x:v>
      </x:c>
      <x:c r="F8" s="28" t="str">
        <x:v>переэкстракция, сухость и горечь</x:v>
      </x:c>
      <x:c r="G8" s="28" t="str">
        <x:v>короткие проливы или холодный настой; быстро отделять лист</x:v>
      </x:c>
      <x:c r="H8" s="28" t="str">
        <x:v>чай, кордиал, молочный пунш, соус</x:v>
      </x:c>
    </x:row>
    <x:row r="9" ht="78" customHeight="1">
      <x:c r="A9" s="28" t="str">
        <x:v>Жировая инфузия</x:v>
      </x:c>
      <x:c r="B9" s="28" t="str">
        <x:v>орехи, какао-крупка, кофе и чай</x:v>
      </x:c>
      <x:c r="C9" s="28" t="str">
        <x:v>липофильные молекулы переходят в сливки, масло или какао-масло</x:v>
      </x:c>
      <x:c r="D9" s="28" t="str">
        <x:v>мягкий нагрев или холодная выдержка без воды и кислорода</x:v>
      </x:c>
      <x:c r="E9" s="28" t="str">
        <x:v>ореховые, сливочные, терпеновые и какаовые ноты</x:v>
      </x:c>
      <x:c r="F9" s="28" t="str">
        <x:v>окисление жира и тяжёлая восковая текстура</x:v>
      </x:c>
      <x:c r="G9" s="28" t="str">
        <x:v>низкая температура, короткое время и немедленное охлаждение</x:v>
      </x:c>
      <x:c r="H9" s="28" t="str">
        <x:v>ганаш, сливки, масло, мороженое</x:v>
      </x:c>
    </x:row>
    <x:row r="10" ht="78" customHeight="1">
      <x:c r="A10" s="28" t="str">
        <x:v>Спиртовая мацерация</x:v>
      </x:c>
      <x:c r="B10" s="28" t="str">
        <x:v>кофе, какао-крупка, орехи, чай и специи</x:v>
      </x:c>
      <x:c r="C10" s="28" t="str">
        <x:v>этанол извлекает гидрофобные одоранты и часть горьких веществ</x:v>
      </x:c>
      <x:c r="D10" s="28" t="str">
        <x:v>низкая загрузка, регулярная дегустация, ранняя фильтрация</x:v>
      </x:c>
      <x:c r="E10" s="28" t="str">
        <x:v>терпены, фенолы, ванильные и жареные ноты</x:v>
      </x:c>
      <x:c r="F10" s="28" t="str">
        <x:v>грубая горечь, танины и чрезмерная острота</x:v>
      </x:c>
      <x:c r="G10" s="28" t="str">
        <x:v>разделять компоненты и собирать финальный профиль из концентратов</x:v>
      </x:c>
      <x:c r="H10" s="28" t="str">
        <x:v>биттер, ликёр, настойка, коктейльный спрей</x:v>
      </x:c>
    </x:row>
    <x:row r="11" ht="78" customHeight="1">
      <x:c r="A11" s="28" t="str">
        <x:v>Темперирование шоколада</x:v>
      </x:c>
      <x:c r="B11" s="28" t="str">
        <x:v>тёмный, молочный и белый шоколад</x:v>
      </x:c>
      <x:c r="C11" s="28" t="str">
        <x:v>управляемая кристаллизация какао-масла создаёт блеск, хруст и стабильность</x:v>
      </x:c>
      <x:c r="D11" s="28" t="str">
        <x:v>плавить мягко и соблюдать рабочую температурную кривую конкретного шоколада</x:v>
      </x:c>
      <x:c r="E11" s="28" t="str">
        <x:v>чистое плавление и контролируемое высвобождение аромата</x:v>
      </x:c>
      <x:c r="F11" s="28" t="str">
        <x:v>жировой налёт, зернистость и расслоение</x:v>
      </x:c>
      <x:c r="G11" s="28" t="str">
        <x:v>не допускать воды и перегрева; работать чистым сухим инструментом</x:v>
      </x:c>
      <x:c r="H11" s="28" t="str">
        <x:v>плитка, корпус конфеты, декор</x:v>
      </x:c>
    </x:row>
    <x:row r="12" ht="78" customHeight="1">
      <x:c r="A12" s="28" t="str">
        <x:v>Ганаш и эмульсия</x:v>
      </x:c>
      <x:c r="B12" s="28" t="str">
        <x:v>шоколад с молоком, сливками, фруктовым пюре или чаем</x:v>
      </x:c>
      <x:c r="C12" s="28" t="str">
        <x:v>диспергирование водной фазы в какао-масле и молочном жире</x:v>
      </x:c>
      <x:c r="D12" s="28" t="str">
        <x:v>вводить жидкость порциями и поддерживать однородную эмульсию</x:v>
      </x:c>
      <x:c r="E12" s="28" t="str">
        <x:v>сливочность и равномерное распределение аромата</x:v>
      </x:c>
      <x:c r="F12" s="28" t="str">
        <x:v>расслоение, чрезмерная сладость и подавление кислоты</x:v>
      </x:c>
      <x:c r="G12" s="28" t="str">
        <x:v>контролировать температуру, водную активность и пропорции</x:v>
      </x:c>
      <x:c r="H12" s="28" t="str">
        <x:v>ганаш, крем, глазурь, начинка</x:v>
      </x:c>
    </x:row>
    <x:row r="13" ht="78" customHeight="1">
      <x:c r="A13" s="28" t="str">
        <x:v>Осмотическая экстракция сахаром</x:v>
      </x:c>
      <x:c r="B13" s="28" t="str">
        <x:v>ореховая паста, чай, кофе и какао</x:v>
      </x:c>
      <x:c r="C13" s="28" t="str">
        <x:v>сахар связывает воду и округляет горечь</x:v>
      </x:c>
      <x:c r="D13" s="28" t="str">
        <x:v>оценивать концентрат только после рабочего разбавления</x:v>
      </x:c>
      <x:c r="E13" s="28" t="str">
        <x:v>карамельность, сладко-жареный профиль и вязкость</x:v>
      </x:c>
      <x:c r="F13" s="28" t="str">
        <x:v>сладость скрывает передозировку и прогорклость</x:v>
      </x:c>
      <x:c r="G13" s="28" t="str">
        <x:v>сравнивать с несладким контрольным образцом</x:v>
      </x:c>
      <x:c r="H13" s="28" t="str">
        <x:v>сироп, кордиал, пралине, десертный соус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4a43c922bee44d8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5" hidden="0" customWidth="1"/>
    <x:col min="3" max="3" width="57" hidden="0" customWidth="1"/>
    <x:col min="4" max="4" width="58" hidden="0" customWidth="1"/>
    <x:col min="5" max="5" width="50" hidden="0" customWidth="1"/>
    <x:col min="6" max="6" width="62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АЛЛЕРГЕНЫ, ХРАНЕНИЕ И СТИМУЛИРУЮЩИЕ ВЕЩЕСТВА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36" t="str">
        <x:v>ПРАКТИЧЕСКОЕ ПРАВИЛО</x:v>
      </x:c>
      <x:c r="B4" s="36"/>
      <x:c r="C4" s="36"/>
      <x:c r="D4" s="36"/>
      <x:c r="E4" s="36"/>
      <x:c r="F4" s="36"/>
      <x:c r="G4" s="36"/>
      <x:c r="H4" s="36"/>
    </x:row>
    <x:row r="5" ht="92" customHeight="1">
      <x:c r="A5" s="43" t="str">
        <x:v>Для ресторанной и барной работы орехи, арахис, молочные компоненты, соя и кунжут требуют отдельного контроля аллергенов и перекрёстного контакта. Использовать сырьё от проверенного поставщика, хранить герметично и прохладно, маркировать заготовки и не маскировать признаки прогоркания сахаром, шоколадом или сильными специями. Кофеин учитывать суммарно из кофе, чая, какао и других источников.</x:v>
      </x:c>
      <x:c r="B5" s="43"/>
      <x:c r="C5" s="43"/>
      <x:c r="D5" s="43"/>
      <x:c r="E5" s="43"/>
      <x:c r="F5" s="43"/>
      <x:c r="G5" s="43"/>
      <x:c r="H5" s="43"/>
    </x:row>
    <x:row r="6" ht="92" customHeight="1">
      <x:c r="A6" s="43"/>
      <x:c r="B6" s="43"/>
      <x:c r="C6" s="43"/>
      <x:c r="D6" s="43"/>
      <x:c r="E6" s="43"/>
      <x:c r="F6" s="43"/>
      <x:c r="G6" s="43"/>
      <x:c r="H6" s="43"/>
    </x:row>
    <x:row r="7" ht="92" customHeight="1">
      <x:c r="A7" s="43"/>
      <x:c r="B7" s="43"/>
      <x:c r="C7" s="43"/>
      <x:c r="D7" s="43"/>
      <x:c r="E7" s="43"/>
      <x:c r="F7" s="43"/>
      <x:c r="G7" s="43"/>
      <x:c r="H7" s="43"/>
    </x:row>
    <x:row r="8" ht="92" customHeight="1">
      <x:c r="A8" s="43"/>
      <x:c r="B8" s="43"/>
      <x:c r="C8" s="43"/>
      <x:c r="D8" s="43"/>
      <x:c r="E8" s="43"/>
      <x:c r="F8" s="43"/>
      <x:c r="G8" s="43"/>
      <x:c r="H8" s="43"/>
    </x:row>
    <x:row r="9" ht="92" customHeight="1">
      <x:c r="A9" s="43"/>
      <x:c r="B9" s="43"/>
      <x:c r="C9" s="43"/>
      <x:c r="D9" s="43"/>
      <x:c r="E9" s="43"/>
      <x:c r="F9" s="43"/>
      <x:c r="G9" s="43"/>
      <x:c r="H9" s="43"/>
    </x:row>
    <x:row r="11">
      <x:c r="A11" s="20" t="str">
        <x:v>Риск</x:v>
      </x:c>
      <x:c r="B11" s="20" t="str">
        <x:v>Где актуален</x:v>
      </x:c>
      <x:c r="C11" s="20" t="str">
        <x:v>Почему это важно</x:v>
      </x:c>
      <x:c r="D11" s="20" t="str">
        <x:v>Контроль на производстве</x:v>
      </x:c>
      <x:c r="E11" s="20" t="str">
        <x:v>Сенсорный признак</x:v>
      </x:c>
      <x:c r="F11" s="20" t="str">
        <x:v>Официальный источник</x:v>
      </x:c>
    </x:row>
    <x:row r="12" ht="82" customHeight="1">
      <x:c r="A12" s="28" t="str">
        <x:v>Пищевые аллергены</x:v>
      </x:c>
      <x:c r="B12" s="28" t="str">
        <x:v>арахис, древесные орехи, молоко, соя и кунжут</x:v>
      </x:c>
      <x:c r="C12" s="28" t="str">
        <x:v>аллергическая реакция может быть тяжёлой; в США арахис и древесные орехи относятся к основным аллергенам</x:v>
      </x:c>
      <x:c r="D12" s="28" t="str">
        <x:v>раздельный инвентарь, маркировка, контроль перекрёстного контакта и полный состав</x:v>
      </x:c>
      <x:c r="E12" s="28" t="str">
        <x:v>сенсорного теста безопасности не существует</x:v>
      </x:c>
      <x:c r="F12" s="28" t="str">
        <x:v>https://www.fda.gov/food/nutrition-food-labeling-and-critical-foods/food-allergies</x:v>
      </x:c>
    </x:row>
    <x:row r="13" ht="82" customHeight="1">
      <x:c r="A13" s="28" t="str">
        <x:v>Афлатоксины</x:v>
      </x:c>
      <x:c r="B13" s="28" t="str">
        <x:v>арахис, фисташки, бразильский орех и другие восприимчивые продукты</x:v>
      </x:c>
      <x:c r="C13" s="28" t="str">
        <x:v>токсины плесени не обязательно заметны по вкусу или запаху</x:v>
      </x:c>
      <x:c r="D13" s="28" t="str">
        <x:v>закупать у поставщиков с контролем партий; не использовать отсыревшее или заплесневелое сырьё</x:v>
      </x:c>
      <x:c r="E13" s="28" t="str">
        <x:v>плесень и затхлость являются причиной выбраковки, но их отсутствие не гарантирует безопасность</x:v>
      </x:c>
      <x:c r="F13" s="28" t="str">
        <x:v>https://www.fda.gov/food/natural-toxins-food/mycotoxins</x:v>
      </x:c>
    </x:row>
    <x:row r="14" ht="82" customHeight="1">
      <x:c r="A14" s="28" t="str">
        <x:v>Прогоркание</x:v>
      </x:c>
      <x:c r="B14" s="28" t="str">
        <x:v>грецкий орех, пекан, кедровый орех, фундук, пасты и масла</x:v>
      </x:c>
      <x:c r="C14" s="28" t="str">
        <x:v>окисление липидов создаёт картонные, лакокрасочные и горькие ноты</x:v>
      </x:c>
      <x:c r="D14" s="28" t="str">
        <x:v>хранить без света, тепла и кислорода; измельчать небольшими партиями</x:v>
      </x:c>
      <x:c r="E14" s="28" t="str">
        <x:v>картон, краска, старое масло и стойкая горечь</x:v>
      </x:c>
      <x:c r="F14" s="28" t="str">
        <x:v>Контроль качества сырья и внутренний регламент предприятия</x:v>
      </x:c>
    </x:row>
    <x:row r="15" ht="82" customHeight="1">
      <x:c r="A15" s="28" t="str">
        <x:v>Кофеин</x:v>
      </x:c>
      <x:c r="B15" s="28" t="str">
        <x:v>кофе, чай, матча, шоколад и какао</x:v>
      </x:c>
      <x:c r="C15" s="28" t="str">
        <x:v>содержание складывается из всех источников и зависит от рецептуры и порции</x:v>
      </x:c>
      <x:c r="D15" s="28" t="str">
        <x:v>рассчитывать кофеин для концентратов и больших порций; отдельно учитывать уязвимые группы</x:v>
      </x:c>
      <x:c r="E15" s="28" t="str">
        <x:v>сенсорная горечь не позволяет точно оценить дозу</x:v>
      </x:c>
      <x:c r="F15" s="28" t="str">
        <x:v>https://www.efsa.europa.eu/en/topics/topic/caffeine</x:v>
      </x:c>
    </x:row>
    <x:row r="16" ht="82" customHeight="1">
      <x:c r="A16" s="28" t="str">
        <x:v>Селен</x:v>
      </x:c>
      <x:c r="B16" s="28" t="str">
        <x:v>бразильский орех</x:v>
      </x:c>
      <x:c r="C16" s="28" t="str">
        <x:v>содержание селена очень высокое и значительно меняется по происхождению</x:v>
      </x:c>
      <x:c r="D16" s="28" t="str">
        <x:v>не использовать большие количества как нейтральную ореховую базу; учитывать размер порции</x:v>
      </x:c>
      <x:c r="E16" s="28" t="str">
        <x:v>сенсорного признака избытка селена нет</x:v>
      </x:c>
      <x:c r="F16" s="28" t="str">
        <x:v>https://ods.od.nih.gov/factsheets/Selenium-HealthProfessional/</x:v>
      </x:c>
    </x:row>
    <x:row r="17" ht="82" customHeight="1">
      <x:c r="A17" s="28" t="str">
        <x:v>Сырые ядра косточковых</x:v>
      </x:c>
      <x:c r="B17" s="28" t="str">
        <x:v>ароматизация миндалём, марципаном и косточковыми нотами</x:v>
      </x:c>
      <x:c r="C17" s="28" t="str">
        <x:v>ядра абрикоса, персика и сливы могут содержать цианогенные гликозиды и не заменяют пищевой миндаль</x:v>
      </x:c>
      <x:c r="D17" s="28" t="str">
        <x:v>использовать пищевой сладкий миндаль, сертифицированные экстракты и готовые ингредиенты</x:v>
      </x:c>
      <x:c r="E17" s="28" t="str">
        <x:v>миндальный запах не является признаком безопасности</x:v>
      </x:c>
      <x:c r="F17" s="28" t="str">
        <x:v>См. отдельный лист безопасности в части 2 «Косточковые»</x:v>
      </x:c>
    </x:row>
    <x:row r="18" ht="82" customHeight="1">
      <x:c r="A18" s="28" t="str">
        <x:v>Скорлупа кешью</x:v>
      </x:c>
      <x:c r="B18" s="28" t="str">
        <x:v>необработанные орехи кешью</x:v>
      </x:c>
      <x:c r="C18" s="28" t="str">
        <x:v>наружная оболочка содержит раздражающие соединения; пищевой кешью поступает после промышленной обработки</x:v>
      </x:c>
      <x:c r="D18" s="28" t="str">
        <x:v>не использовать самостоятельно очищенное неизвестное сырьё</x:v>
      </x:c>
      <x:c r="E18" s="28" t="str">
        <x:v>раздражение кожи и слизистых</x:v>
      </x:c>
      <x:c r="F18" s="28" t="str">
        <x:v>Спецификация и документы поставщика</x:v>
      </x:c>
    </x:row>
    <x:row r="19" ht="82" customHeight="1">
      <x:c r="A19" s="28" t="str">
        <x:v>Теобромин и горечь</x:v>
      </x:c>
      <x:c r="B19" s="28" t="str">
        <x:v>какао и тёмный шоколад</x:v>
      </x:c>
      <x:c r="C19" s="28" t="str">
        <x:v>теобромин участвует в горечи и стимулирующем эффекте, но почти не формирует аромат</x:v>
      </x:c>
      <x:c r="D19" s="28" t="str">
        <x:v>не оценивать содержание стимуляторов только по вкусу; учитывать процент какао и порцию</x:v>
      </x:c>
      <x:c r="E19" s="28" t="str">
        <x:v>долгое горькое послевкусие не является количественным тестом</x:v>
      </x:c>
      <x:c r="F19" s="28" t="str">
        <x:v>Технологическая спецификация шоколада и маркировка производителя</x:v>
      </x:c>
    </x:row>
  </x:sheetData>
  <x:mergeCells>
    <x:mergeCell ref="A1:H2"/>
    <x:mergeCell ref="A4:H4"/>
    <x:mergeCell ref="A5:H9"/>
  </x:mergeCells>
  <x:pageMargins left="0.7" right="0.7" top="0.75" bottom="0.75" header="0.3" footer="0.3"/>
  <x:tableParts count="1">
    <x:tablePart xmlns:r="http://schemas.openxmlformats.org/officeDocument/2006/relationships" r:id="Rde939e0ad6a8487d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1" hidden="0" customWidth="1"/>
    <x:col min="3" max="3" width="39" hidden="0" customWidth="1"/>
    <x:col min="4" max="4" width="48" hidden="0" customWidth="1"/>
    <x:col min="5" max="5" width="38" hidden="0" customWidth="1"/>
    <x:col min="6" max="6" width="46" hidden="0" customWidth="1"/>
    <x:col min="7" max="7" width="52" hidden="0" customWidth="1"/>
    <x:col min="8" max="8" width="57" hidden="0" customWidth="1"/>
    <x:col min="9" max="9" width="15" hidden="0" customWidth="1"/>
  </x:cols>
  <x:sheetData>
    <x:row r="1">
      <x:c r="A1" s="20" t="str">
        <x:v>Ингредиент</x:v>
      </x:c>
      <x:c r="B1" s="20" t="str">
        <x:v>Группа</x:v>
      </x:c>
      <x:c r="C1" s="20" t="str">
        <x:v>Аромапрофиль</x:v>
      </x:c>
      <x:c r="D1" s="20" t="str">
        <x:v>Характерные соединения</x:v>
      </x:c>
      <x:c r="E1" s="20" t="str">
        <x:v>Вкус</x:v>
      </x:c>
      <x:c r="F1" s="20" t="str">
        <x:v>Тройничный эффект</x:v>
      </x:c>
      <x:c r="G1" s="20" t="str">
        <x:v>Матрица</x:v>
      </x:c>
      <x:c r="H1" s="20" t="str">
        <x:v>Комментарий по обработке</x:v>
      </x:c>
      <x:c r="I1" s="20" t="str">
        <x:v>Количество пар</x:v>
      </x:c>
    </x:row>
    <x:row r="2" ht="50" customHeight="1">
      <x:c r="A2" s="28" t="str">
        <x:v>allspice</x:v>
      </x:c>
      <x:c r="B2" s="28" t="str">
        <x:v>Специи</x:v>
      </x:c>
      <x:c r="C2" s="28" t="str">
        <x:v>пряный и древесный</x:v>
      </x:c>
      <x:c r="D2" s="28" t="str">
        <x:v>терпены, фенилпропаноиды</x:v>
      </x:c>
      <x:c r="E2" s="28" t="str">
        <x:v>вкусовой баланс зависит от сорта, обработки и рецептуры</x:v>
      </x:c>
      <x:c r="F2" s="28" t="str">
        <x:v>обычно минимальный; острые специи и алкоголь могут давать выраженный тройничный эффект</x:v>
      </x:c>
      <x:c r="G2" s="28" t="str">
        <x:v>матрица определяется содержанием воды, жира, белка, сахара и полифенолов</x:v>
      </x:c>
      <x:c r="H2" s="28" t="str">
        <x:v>профиль необходимо проверять после рабочей обработки и при температуре подачи</x:v>
      </x:c>
      <x:c r="I2" s="28" t="n">
        <x:v>1</x:v>
      </x:c>
    </x:row>
    <x:row r="3" ht="50" customHeight="1">
      <x:c r="A3" s="28" t="str">
        <x:v>alphonso mango</x:v>
      </x:c>
      <x:c r="B3" s="28" t="str">
        <x:v>Фрукты и ягоды</x:v>
      </x:c>
      <x:c r="C3" s="28" t="str">
        <x:v>фруктовый, цветочный и свежий</x:v>
      </x:c>
      <x:c r="D3" s="28" t="str">
        <x:v>альдегиды, эфиры</x:v>
      </x:c>
      <x:c r="E3" s="28" t="str">
        <x:v>вкусовой баланс зависит от сорта, обработки и рецептуры</x:v>
      </x:c>
      <x:c r="F3" s="28" t="str">
        <x:v>обычно минимальный; острые специи и алкоголь могут давать выраженный тройничный эффект</x:v>
      </x:c>
      <x:c r="G3" s="28" t="str">
        <x:v>матрица определяется содержанием воды, жира, белка, сахара и полифенолов</x:v>
      </x:c>
      <x:c r="H3" s="28" t="str">
        <x:v>профиль необходимо проверять после рабочей обработки и при температуре подачи</x:v>
      </x:c>
      <x:c r="I3" s="28" t="n">
        <x:v>1</x:v>
      </x:c>
    </x:row>
    <x:row r="4" ht="50" customHeight="1">
      <x:c r="A4" s="28" t="str">
        <x:v>apple and apple sauce</x:v>
      </x:c>
      <x:c r="B4" s="28" t="str">
        <x:v>Фрукты и ягоды</x:v>
      </x:c>
      <x:c r="C4" s="28" t="str">
        <x:v>фруктовый, цветочный и свежий</x:v>
      </x:c>
      <x:c r="D4" s="28" t="str">
        <x:v>альдегиды, эфиры</x:v>
      </x:c>
      <x:c r="E4" s="28" t="str">
        <x:v>вкусовой баланс зависит от сорта, обработки и рецептуры</x:v>
      </x:c>
      <x:c r="F4" s="28" t="str">
        <x:v>обычно минимальный; острые специи и алкоголь могут давать выраженный тройничный эффект</x:v>
      </x:c>
      <x:c r="G4" s="28" t="str">
        <x:v>матрица определяется содержанием воды, жира, белка, сахара и полифенолов</x:v>
      </x:c>
      <x:c r="H4" s="28" t="str">
        <x:v>профиль необходимо проверять после рабочей обработки и при температуре подачи</x:v>
      </x:c>
      <x:c r="I4" s="28" t="n">
        <x:v>4</x:v>
      </x:c>
    </x:row>
    <x:row r="5" ht="50" customHeight="1">
      <x:c r="A5" s="28" t="str">
        <x:v>arbequina extra-virgin olive oil</x:v>
      </x:c>
      <x:c r="B5" s="28" t="str">
        <x:v>Масла и жиры</x:v>
      </x:c>
      <x:c r="C5" s="28" t="str">
        <x:v>жирный и мягкий</x:v>
      </x:c>
      <x:c r="D5" s="28" t="str">
        <x:v>альдегиды, лактоны</x:v>
      </x:c>
      <x:c r="E5" s="28" t="str">
        <x:v>вкусовой баланс зависит от сорта, обработки и рецептуры</x:v>
      </x:c>
      <x:c r="F5" s="28" t="str">
        <x:v>обычно минимальный; острые специи и алкоголь могут давать выраженный тройничный эффект</x:v>
      </x:c>
      <x:c r="G5" s="28" t="str">
        <x:v>матрица определяется содержанием воды, жира, белка, сахара и полифенолов</x:v>
      </x:c>
      <x:c r="H5" s="28" t="str">
        <x:v>профиль необходимо проверять после рабочей обработки и при температуре подачи</x:v>
      </x:c>
      <x:c r="I5" s="28" t="n">
        <x:v>1</x:v>
      </x:c>
    </x:row>
    <x:row r="6" ht="50" customHeight="1">
      <x:c r="A6" s="28" t="str">
        <x:v>artichoke, ray wing</x:v>
      </x:c>
      <x:c r="B6" s="28" t="str">
        <x:v>Овощи, бобовые и грибы</x:v>
      </x:c>
      <x:c r="C6" s="28" t="str">
        <x:v>зелёный, землистый или умами</x:v>
      </x:c>
      <x:c r="D6" s="28" t="str">
        <x:v>альдегиды, сернистые соединения</x:v>
      </x:c>
      <x:c r="E6" s="28" t="str">
        <x:v>вкусовой баланс зависит от сорта, обработки и рецептуры</x:v>
      </x:c>
      <x:c r="F6" s="28" t="str">
        <x:v>обычно минимальный; острые специи и алкоголь могут давать выраженный тройничный эффект</x:v>
      </x:c>
      <x:c r="G6" s="28" t="str">
        <x:v>матрица определяется содержанием воды, жира, белка, сахара и полифенолов</x:v>
      </x:c>
      <x:c r="H6" s="28" t="str">
        <x:v>профиль необходимо проверять после рабочей обработки и при температуре подачи</x:v>
      </x:c>
      <x:c r="I6" s="28" t="n">
        <x:v>1</x:v>
      </x:c>
    </x:row>
    <x:row r="7" ht="50" customHeight="1">
      <x:c r="A7" s="28" t="str">
        <x:v>atlantic salmon fillet</x:v>
      </x:c>
      <x:c r="B7" s="28" t="str">
        <x:v>Рыба и морепродукты</x:v>
      </x:c>
      <x:c r="C7" s="28" t="str">
        <x:v>морской, солоноватый и умами</x:v>
      </x:c>
      <x:c r="D7" s="28" t="str">
        <x:v>альдегиды, амины</x:v>
      </x:c>
      <x:c r="E7" s="28" t="str">
        <x:v>вкусовой баланс зависит от сорта, обработки и рецептуры</x:v>
      </x:c>
      <x:c r="F7" s="28" t="str">
        <x:v>обычно минимальный; острые специи и алкоголь могут давать выраженный тройничный эффект</x:v>
      </x:c>
      <x:c r="G7" s="28" t="str">
        <x:v>матрица определяется содержанием воды, жира, белка, сахара и полифенолов</x:v>
      </x:c>
      <x:c r="H7" s="28" t="str">
        <x:v>профиль необходимо проверять после рабочей обработки и при температуре подачи</x:v>
      </x:c>
      <x:c r="I7" s="28" t="n">
        <x:v>1</x:v>
      </x:c>
    </x:row>
    <x:row r="8" ht="50" customHeight="1">
      <x:c r="A8" s="28" t="str">
        <x:v>bacon</x:v>
      </x:c>
      <x:c r="B8" s="28" t="str">
        <x:v>Мясо и птица</x:v>
      </x:c>
      <x:c r="C8" s="28" t="str">
        <x:v>жареный, мясной и умами</x:v>
      </x:c>
      <x:c r="D8" s="28" t="str">
        <x:v>пиразины, сернистые соединения</x:v>
      </x:c>
      <x:c r="E8" s="28" t="str">
        <x:v>вкусовой баланс зависит от сорта, обработки и рецептуры</x:v>
      </x:c>
      <x:c r="F8" s="28" t="str">
        <x:v>обычно минимальный; острые специи и алкоголь могут давать выраженный тройничный эффект</x:v>
      </x:c>
      <x:c r="G8" s="28" t="str">
        <x:v>матрица определяется содержанием воды, жира, белка, сахара и полифенолов</x:v>
      </x:c>
      <x:c r="H8" s="28" t="str">
        <x:v>профиль необходимо проверять после рабочей обработки и при температуре подачи</x:v>
      </x:c>
      <x:c r="I8" s="28" t="n">
        <x:v>3</x:v>
      </x:c>
    </x:row>
    <x:row r="9" ht="50" customHeight="1">
      <x:c r="A9" s="28" t="str">
        <x:v>baechu kimchi</x:v>
      </x:c>
      <x:c r="B9" s="28" t="str">
        <x:v>Ферментированные продукты и соусы</x:v>
      </x:c>
      <x:c r="C9" s="28" t="str">
        <x:v>ферментированный, умами и сложный</x:v>
      </x:c>
      <x:c r="D9" s="28" t="str">
        <x:v>пиразины, фураны, эфиры</x:v>
      </x:c>
      <x:c r="E9" s="28" t="str">
        <x:v>вкусовой баланс зависит от сорта, обработки и рецептуры</x:v>
      </x:c>
      <x:c r="F9" s="28" t="str">
        <x:v>обычно минимальный; острые специи и алкоголь могут давать выраженный тройничный эффект</x:v>
      </x:c>
      <x:c r="G9" s="28" t="str">
        <x:v>матрица определяется содержанием воды, жира, белка, сахара и полифенолов</x:v>
      </x:c>
      <x:c r="H9" s="28" t="str">
        <x:v>профиль необходимо проверять после рабочей обработки и при температуре подачи</x:v>
      </x:c>
      <x:c r="I9" s="28" t="n">
        <x:v>3</x:v>
      </x:c>
    </x:row>
    <x:row r="10" ht="50" customHeight="1">
      <x:c r="A10" s="28" t="str">
        <x:v>balsamic vinegar</x:v>
      </x:c>
      <x:c r="B10" s="28" t="str">
        <x:v>Ферментированные продукты и соусы</x:v>
      </x:c>
      <x:c r="C10" s="28" t="str">
        <x:v>ферментированный, умами и сложный</x:v>
      </x:c>
      <x:c r="D10" s="28" t="str">
        <x:v>пиразины, фураны, эфиры</x:v>
      </x:c>
      <x:c r="E10" s="28" t="str">
        <x:v>вкусовой баланс зависит от сорта, обработки и рецептуры</x:v>
      </x:c>
      <x:c r="F10" s="28" t="str">
        <x:v>обычно минимальный; острые специи и алкоголь могут давать выраженный тройничный эффект</x:v>
      </x:c>
      <x:c r="G10" s="28" t="str">
        <x:v>матрица определяется содержанием воды, жира, белка, сахара и полифенолов</x:v>
      </x:c>
      <x:c r="H10" s="28" t="str">
        <x:v>профиль необходимо проверять после рабочей обработки и при температуре подачи</x:v>
      </x:c>
      <x:c r="I10" s="28" t="n">
        <x:v>4</x:v>
      </x:c>
    </x:row>
    <x:row r="11" ht="50" customHeight="1">
      <x:c r="A11" s="28" t="str">
        <x:v>bayonne ham</x:v>
      </x:c>
      <x:c r="B11" s="28" t="str">
        <x:v>Мясо и птица</x:v>
      </x:c>
      <x:c r="C11" s="28" t="str">
        <x:v>жареный, мясной и умами</x:v>
      </x:c>
      <x:c r="D11" s="28" t="str">
        <x:v>пиразины, сернистые соединения</x:v>
      </x:c>
      <x:c r="E11" s="28" t="str">
        <x:v>вкусовой баланс зависит от сорта, обработки и рецептуры</x:v>
      </x:c>
      <x:c r="F11" s="28" t="str">
        <x:v>обычно минимальный; острые специи и алкоголь могут давать выраженный тройничный эффект</x:v>
      </x:c>
      <x:c r="G11" s="28" t="str">
        <x:v>матрица определяется содержанием воды, жира, белка, сахара и полифенолов</x:v>
      </x:c>
      <x:c r="H11" s="28" t="str">
        <x:v>профиль необходимо проверять после рабочей обработки и при температуре подачи</x:v>
      </x:c>
      <x:c r="I11" s="28" t="n">
        <x:v>3</x:v>
      </x:c>
    </x:row>
    <x:row r="12" ht="50" customHeight="1">
      <x:c r="A12" s="28" t="str">
        <x:v>black garlic</x:v>
      </x:c>
      <x:c r="B12" s="28" t="str">
        <x:v>Овощи, бобовые и грибы</x:v>
      </x:c>
      <x:c r="C12" s="28" t="str">
        <x:v>зелёный, землистый или умами</x:v>
      </x:c>
      <x:c r="D12" s="28" t="str">
        <x:v>альдегиды, сернистые соединения</x:v>
      </x:c>
      <x:c r="E12" s="28" t="str">
        <x:v>вкусовой баланс зависит от сорта, обработки и рецептуры</x:v>
      </x:c>
      <x:c r="F12" s="28" t="str">
        <x:v>обычно минимальный; острые специи и алкоголь могут давать выраженный тройничный эффект</x:v>
      </x:c>
      <x:c r="G12" s="28" t="str">
        <x:v>матрица определяется содержанием воды, жира, белка, сахара и полифенолов</x:v>
      </x:c>
      <x:c r="H12" s="28" t="str">
        <x:v>профиль необходимо проверять после рабочей обработки и при температуре подачи</x:v>
      </x:c>
      <x:c r="I12" s="28" t="n">
        <x:v>1</x:v>
      </x:c>
    </x:row>
    <x:row r="13" ht="50" customHeight="1">
      <x:c r="A13" s="28" t="str">
        <x:v>blue cheese</x:v>
      </x:c>
      <x:c r="B13" s="28" t="str">
        <x:v>Молочные продукты и сыры</x:v>
      </x:c>
      <x:c r="C13" s="28" t="str">
        <x:v>молочный, сливочный и ферментированный</x:v>
      </x:c>
      <x:c r="D13" s="28" t="str">
        <x:v>диацетил, жирные кислоты, лактоны</x:v>
      </x:c>
      <x:c r="E13" s="28" t="str">
        <x:v>вкусовой баланс зависит от сорта, обработки и рецептуры</x:v>
      </x:c>
      <x:c r="F13" s="28" t="str">
        <x:v>обычно минимальный; острые специи и алкоголь могут давать выраженный тройничный эффект</x:v>
      </x:c>
      <x:c r="G13" s="28" t="str">
        <x:v>матрица определяется содержанием воды, жира, белка, сахара и полифенолов</x:v>
      </x:c>
      <x:c r="H13" s="28" t="str">
        <x:v>профиль необходимо проверять после рабочей обработки и при температуре подачи</x:v>
      </x:c>
      <x:c r="I13" s="28" t="n">
        <x:v>5</x:v>
      </x:c>
    </x:row>
    <x:row r="14" ht="50" customHeight="1">
      <x:c r="A14" s="28" t="str">
        <x:v>boiled butternut squash</x:v>
      </x:c>
      <x:c r="B14" s="28" t="str">
        <x:v>Молочные продукты и сыры</x:v>
      </x:c>
      <x:c r="C14" s="28" t="str">
        <x:v>молочный, сливочный и ферментированный</x:v>
      </x:c>
      <x:c r="D14" s="28" t="str">
        <x:v>диацетил, жирные кислоты, лактоны</x:v>
      </x:c>
      <x:c r="E14" s="28" t="str">
        <x:v>вкусовой баланс зависит от сорта, обработки и рецептуры</x:v>
      </x:c>
      <x:c r="F14" s="28" t="str">
        <x:v>обычно минимальный; острые специи и алкоголь могут давать выраженный тройничный эффект</x:v>
      </x:c>
      <x:c r="G14" s="28" t="str">
        <x:v>матрица определяется содержанием воды, жира, белка, сахара и полифенолов</x:v>
      </x:c>
      <x:c r="H14" s="28" t="str">
        <x:v>профиль необходимо проверять после рабочей обработки и при температуре подачи</x:v>
      </x:c>
      <x:c r="I14" s="28" t="n">
        <x:v>1</x:v>
      </x:c>
    </x:row>
    <x:row r="15" ht="50" customHeight="1">
      <x:c r="A15" s="28" t="str">
        <x:v>boiled carrot</x:v>
      </x:c>
      <x:c r="B15" s="28" t="str">
        <x:v>Овощи, бобовые и грибы</x:v>
      </x:c>
      <x:c r="C15" s="28" t="str">
        <x:v>зелёный, землистый или умами</x:v>
      </x:c>
      <x:c r="D15" s="28" t="str">
        <x:v>альдегиды, сернистые соединения</x:v>
      </x:c>
      <x:c r="E15" s="28" t="str">
        <x:v>вкусовой баланс зависит от сорта, обработки и рецептуры</x:v>
      </x:c>
      <x:c r="F15" s="28" t="str">
        <x:v>обычно минимальный; острые специи и алкоголь могут давать выраженный тройничный эффект</x:v>
      </x:c>
      <x:c r="G15" s="28" t="str">
        <x:v>матрица определяется содержанием воды, жира, белка, сахара и полифенолов</x:v>
      </x:c>
      <x:c r="H15" s="28" t="str">
        <x:v>профиль необходимо проверять после рабочей обработки и при температуре подачи</x:v>
      </x:c>
      <x:c r="I15" s="28" t="n">
        <x:v>1</x:v>
      </x:c>
    </x:row>
    <x:row r="16" ht="50" customHeight="1">
      <x:c r="A16" s="28" t="str">
        <x:v>boiled potato</x:v>
      </x:c>
      <x:c r="B16" s="28" t="str">
        <x:v>Овощи, бобовые и грибы</x:v>
      </x:c>
      <x:c r="C16" s="28" t="str">
        <x:v>зелёный, землистый или умами</x:v>
      </x:c>
      <x:c r="D16" s="28" t="str">
        <x:v>альдегиды, сернистые соединения</x:v>
      </x:c>
      <x:c r="E16" s="28" t="str">
        <x:v>вкусовой баланс зависит от сорта, обработки и рецептуры</x:v>
      </x:c>
      <x:c r="F16" s="28" t="str">
        <x:v>обычно минимальный; острые специи и алкоголь могут давать выраженный тройничный эффект</x:v>
      </x:c>
      <x:c r="G16" s="28" t="str">
        <x:v>матрица определяется содержанием воды, жира, белка, сахара и полифенолов</x:v>
      </x:c>
      <x:c r="H16" s="28" t="str">
        <x:v>профиль необходимо проверять после рабочей обработки и при температуре подачи</x:v>
      </x:c>
      <x:c r="I16" s="28" t="n">
        <x:v>1</x:v>
      </x:c>
    </x:row>
    <x:row r="17" ht="50" customHeight="1">
      <x:c r="A17" s="28" t="str">
        <x:v>boiled purple sweet potato</x:v>
      </x:c>
      <x:c r="B17" s="28" t="str">
        <x:v>Овощи, бобовые и грибы</x:v>
      </x:c>
      <x:c r="C17" s="28" t="str">
        <x:v>зелёный, землистый или умами</x:v>
      </x:c>
      <x:c r="D17" s="28" t="str">
        <x:v>альдегиды, сернистые соединения</x:v>
      </x:c>
      <x:c r="E17" s="28" t="str">
        <x:v>вкусовой баланс зависит от сорта, обработки и рецептуры</x:v>
      </x:c>
      <x:c r="F17" s="28" t="str">
        <x:v>обычно минимальный; острые специи и алкоголь могут давать выраженный тройничный эффект</x:v>
      </x:c>
      <x:c r="G17" s="28" t="str">
        <x:v>матрица определяется содержанием воды, жира, белка, сахара и полифенолов</x:v>
      </x:c>
      <x:c r="H17" s="28" t="str">
        <x:v>профиль необходимо проверять после рабочей обработки и при температуре подачи</x:v>
      </x:c>
      <x:c r="I17" s="28" t="n">
        <x:v>1</x:v>
      </x:c>
    </x:row>
    <x:row r="18" ht="50" customHeight="1">
      <x:c r="A18" s="28" t="str">
        <x:v>boiled tomatillo</x:v>
      </x:c>
      <x:c r="B18" s="28" t="str">
        <x:v>Масла и жиры</x:v>
      </x:c>
      <x:c r="C18" s="28" t="str">
        <x:v>жирный и мягкий</x:v>
      </x:c>
      <x:c r="D18" s="28" t="str">
        <x:v>альдегиды, лактоны</x:v>
      </x:c>
      <x:c r="E18" s="28" t="str">
        <x:v>вкусовой баланс зависит от сорта, обработки и рецептуры</x:v>
      </x:c>
      <x:c r="F18" s="28" t="str">
        <x:v>обычно минимальный; острые специи и алкоголь могут давать выраженный тройничный эффект</x:v>
      </x:c>
      <x:c r="G18" s="28" t="str">
        <x:v>матрица определяется содержанием воды, жира, белка, сахара и полифенолов</x:v>
      </x:c>
      <x:c r="H18" s="28" t="str">
        <x:v>профиль необходимо проверять после рабочей обработки и при температуре подачи</x:v>
      </x:c>
      <x:c r="I18" s="28" t="n">
        <x:v>1</x:v>
      </x:c>
    </x:row>
    <x:row r="19" ht="50" customHeight="1">
      <x:c r="A19" s="28" t="str">
        <x:v>boiledcourgette</x:v>
      </x:c>
      <x:c r="B19" s="28" t="str">
        <x:v>Овощи, бобовые и грибы</x:v>
      </x:c>
      <x:c r="C19" s="28" t="str">
        <x:v>зелёный, землистый или умами</x:v>
      </x:c>
      <x:c r="D19" s="28" t="str">
        <x:v>альдегиды, сернистые соединения</x:v>
      </x:c>
      <x:c r="E19" s="28" t="str">
        <x:v>вкусовой баланс зависит от сорта, обработки и рецептуры</x:v>
      </x:c>
      <x:c r="F19" s="28" t="str">
        <x:v>обычно минимальный; острые специи и алкоголь могут давать выраженный тройничный эффект</x:v>
      </x:c>
      <x:c r="G19" s="28" t="str">
        <x:v>матрица определяется содержанием воды, жира, белка, сахара и полифенолов</x:v>
      </x:c>
      <x:c r="H19" s="28" t="str">
        <x:v>профиль необходимо проверять после рабочей обработки и при температуре подачи</x:v>
      </x:c>
      <x:c r="I19" s="28" t="n">
        <x:v>1</x:v>
      </x:c>
    </x:row>
    <x:row r="20" ht="50" customHeight="1">
      <x:c r="A20" s="28" t="str">
        <x:v>boiledlobster</x:v>
      </x:c>
      <x:c r="B20" s="28" t="str">
        <x:v>Рыба и морепродукты</x:v>
      </x:c>
      <x:c r="C20" s="28" t="str">
        <x:v>морской, солоноватый и умами</x:v>
      </x:c>
      <x:c r="D20" s="28" t="str">
        <x:v>альдегиды, амины</x:v>
      </x:c>
      <x:c r="E20" s="28" t="str">
        <x:v>вкусовой баланс зависит от сорта, обработки и рецептуры</x:v>
      </x:c>
      <x:c r="F20" s="28" t="str">
        <x:v>обычно минимальный; острые специи и алкоголь могут давать выраженный тройничный эффект</x:v>
      </x:c>
      <x:c r="G20" s="28" t="str">
        <x:v>матрица определяется содержанием воды, жира, белка, сахара и полифенолов</x:v>
      </x:c>
      <x:c r="H20" s="28" t="str">
        <x:v>профиль необходимо проверять после рабочей обработки и при температуре подачи</x:v>
      </x:c>
      <x:c r="I20" s="28" t="n">
        <x:v>1</x:v>
      </x:c>
    </x:row>
    <x:row r="21" ht="50" customHeight="1">
      <x:c r="A21" s="28" t="str">
        <x:v>brie and camembert</x:v>
      </x:c>
      <x:c r="B21" s="28" t="str">
        <x:v>Молочные продукты и сыры</x:v>
      </x:c>
      <x:c r="C21" s="28" t="str">
        <x:v>молочный, сливочный и ферментированный</x:v>
      </x:c>
      <x:c r="D21" s="28" t="str">
        <x:v>диацетил, жирные кислоты, лактоны</x:v>
      </x:c>
      <x:c r="E21" s="28" t="str">
        <x:v>вкусовой баланс зависит от сорта, обработки и рецептуры</x:v>
      </x:c>
      <x:c r="F21" s="28" t="str">
        <x:v>обычно минимальный; острые специи и алкоголь могут давать выраженный тройничный эффект</x:v>
      </x:c>
      <x:c r="G21" s="28" t="str">
        <x:v>матрица определяется содержанием воды, жира, белка, сахара и полифенолов</x:v>
      </x:c>
      <x:c r="H21" s="28" t="str">
        <x:v>профиль необходимо проверять после рабочей обработки и при температуре подачи</x:v>
      </x:c>
      <x:c r="I21" s="28" t="n">
        <x:v>4</x:v>
      </x:c>
    </x:row>
    <x:row r="22" ht="50" customHeight="1">
      <x:c r="A22" s="28" t="str">
        <x:v>buckwheat bread</x:v>
      </x:c>
      <x:c r="B22" s="28" t="str">
        <x:v>Выпечка, сахара и десерты</x:v>
      </x:c>
      <x:c r="C22" s="28" t="str">
        <x:v>сладкий, карамельный и жареный</x:v>
      </x:c>
      <x:c r="D22" s="28" t="str">
        <x:v>мальтол, пиразины, фураны</x:v>
      </x:c>
      <x:c r="E22" s="28" t="str">
        <x:v>вкусовой баланс зависит от сорта, обработки и рецептуры</x:v>
      </x:c>
      <x:c r="F22" s="28" t="str">
        <x:v>обычно минимальный; острые специи и алкоголь могут давать выраженный тройничный эффект</x:v>
      </x:c>
      <x:c r="G22" s="28" t="str">
        <x:v>матрица определяется содержанием воды, жира, белка, сахара и полифенолов</x:v>
      </x:c>
      <x:c r="H22" s="28" t="str">
        <x:v>профиль необходимо проверять после рабочей обработки и при температуре подачи</x:v>
      </x:c>
      <x:c r="I22" s="28" t="n">
        <x:v>1</x:v>
      </x:c>
    </x:row>
    <x:row r="23" ht="50" customHeight="1">
      <x:c r="A23" s="28" t="str">
        <x:v>buffalo mozzarella</x:v>
      </x:c>
      <x:c r="B23" s="28" t="str">
        <x:v>Молочные продукты и сыры</x:v>
      </x:c>
      <x:c r="C23" s="28" t="str">
        <x:v>молочный, сливочный и ферментированный</x:v>
      </x:c>
      <x:c r="D23" s="28" t="str">
        <x:v>диацетил, жирные кислоты, лактоны</x:v>
      </x:c>
      <x:c r="E23" s="28" t="str">
        <x:v>вкусовой баланс зависит от сорта, обработки и рецептуры</x:v>
      </x:c>
      <x:c r="F23" s="28" t="str">
        <x:v>обычно минимальный; острые специи и алкоголь могут давать выраженный тройничный эффект</x:v>
      </x:c>
      <x:c r="G23" s="28" t="str">
        <x:v>матрица определяется содержанием воды, жира, белка, сахара и полифенолов</x:v>
      </x:c>
      <x:c r="H23" s="28" t="str">
        <x:v>профиль необходимо проверять после рабочей обработки и при температуре подачи</x:v>
      </x:c>
      <x:c r="I23" s="28" t="n">
        <x:v>3</x:v>
      </x:c>
    </x:row>
    <x:row r="24" ht="50" customHeight="1">
      <x:c r="A24" s="28" t="str">
        <x:v>camembert</x:v>
      </x:c>
      <x:c r="B24" s="28" t="str">
        <x:v>Молочные продукты и сыры</x:v>
      </x:c>
      <x:c r="C24" s="28" t="str">
        <x:v>молочный, сливочный и ферментированный</x:v>
      </x:c>
      <x:c r="D24" s="28" t="str">
        <x:v>диацетил, жирные кислоты, лактоны</x:v>
      </x:c>
      <x:c r="E24" s="28" t="str">
        <x:v>вкусовой баланс зависит от сорта, обработки и рецептуры</x:v>
      </x:c>
      <x:c r="F24" s="28" t="str">
        <x:v>обычно минимальный; острые специи и алкоголь могут давать выраженный тройничный эффект</x:v>
      </x:c>
      <x:c r="G24" s="28" t="str">
        <x:v>матрица определяется содержанием воды, жира, белка, сахара и полифенолов</x:v>
      </x:c>
      <x:c r="H24" s="28" t="str">
        <x:v>профиль необходимо проверять после рабочей обработки и при температуре подачи</x:v>
      </x:c>
      <x:c r="I24" s="28" t="n">
        <x:v>2</x:v>
      </x:c>
    </x:row>
    <x:row r="25" ht="50" customHeight="1">
      <x:c r="A25" s="28" t="str">
        <x:v>carrot</x:v>
      </x:c>
      <x:c r="B25" s="28" t="str">
        <x:v>Овощи, бобовые и грибы</x:v>
      </x:c>
      <x:c r="C25" s="28" t="str">
        <x:v>зелёный, землистый или умами</x:v>
      </x:c>
      <x:c r="D25" s="28" t="str">
        <x:v>альдегиды, сернистые соединения</x:v>
      </x:c>
      <x:c r="E25" s="28" t="str">
        <x:v>вкусовой баланс зависит от сорта, обработки и рецептуры</x:v>
      </x:c>
      <x:c r="F25" s="28" t="str">
        <x:v>обычно минимальный; острые специи и алкоголь могут давать выраженный тройничный эффект</x:v>
      </x:c>
      <x:c r="G25" s="28" t="str">
        <x:v>матрица определяется содержанием воды, жира, белка, сахара и полифенолов</x:v>
      </x:c>
      <x:c r="H25" s="28" t="str">
        <x:v>профиль необходимо проверять после рабочей обработки и при температуре подачи</x:v>
      </x:c>
      <x:c r="I25" s="28" t="n">
        <x:v>3</x:v>
      </x:c>
    </x:row>
    <x:row r="26" ht="50" customHeight="1">
      <x:c r="A26" s="28" t="str">
        <x:v>chilli peppers</x:v>
      </x:c>
      <x:c r="B26" s="28" t="str">
        <x:v>Специи</x:v>
      </x:c>
      <x:c r="C26" s="28" t="str">
        <x:v>пряный и древесный</x:v>
      </x:c>
      <x:c r="D26" s="28" t="str">
        <x:v>терпены, фенилпропаноиды</x:v>
      </x:c>
      <x:c r="E26" s="28" t="str">
        <x:v>вкусовой баланс зависит от сорта, обработки и рецептуры</x:v>
      </x:c>
      <x:c r="F26" s="28" t="str">
        <x:v>обычно минимальный; острые специи и алкоголь могут давать выраженный тройничный эффект</x:v>
      </x:c>
      <x:c r="G26" s="28" t="str">
        <x:v>матрица определяется содержанием воды, жира, белка, сахара и полифенолов</x:v>
      </x:c>
      <x:c r="H26" s="28" t="str">
        <x:v>профиль необходимо проверять после рабочей обработки и при температуре подачи</x:v>
      </x:c>
      <x:c r="I26" s="28" t="n">
        <x:v>4</x:v>
      </x:c>
    </x:row>
    <x:row r="27" ht="50" customHeight="1">
      <x:c r="A27" s="28" t="str">
        <x:v>cognac</x:v>
      </x:c>
      <x:c r="B27" s="28" t="str">
        <x:v>Алкогольные напитки</x:v>
      </x:c>
      <x:c r="C27" s="28" t="str">
        <x:v>спиртовой, фруктовый или древесный</x:v>
      </x:c>
      <x:c r="D27" s="28" t="str">
        <x:v>альдегиды, эфиры</x:v>
      </x:c>
      <x:c r="E27" s="28" t="str">
        <x:v>вкусовой баланс зависит от сорта, обработки и рецептуры</x:v>
      </x:c>
      <x:c r="F27" s="28" t="str">
        <x:v>обычно минимальный; острые специи и алкоголь могут давать выраженный тройничный эффект</x:v>
      </x:c>
      <x:c r="G27" s="28" t="str">
        <x:v>матрица определяется содержанием воды, жира, белка, сахара и полифенолов</x:v>
      </x:c>
      <x:c r="H27" s="28" t="str">
        <x:v>профиль необходимо проверять после рабочей обработки и при температуре подачи</x:v>
      </x:c>
      <x:c r="I27" s="28" t="n">
        <x:v>2</x:v>
      </x:c>
    </x:row>
    <x:row r="28" ht="50" customHeight="1">
      <x:c r="A28" s="28" t="str">
        <x:v>cooked mussels</x:v>
      </x:c>
      <x:c r="B28" s="28" t="str">
        <x:v>Рыба и морепродукты</x:v>
      </x:c>
      <x:c r="C28" s="28" t="str">
        <x:v>морской, солоноватый и умами</x:v>
      </x:c>
      <x:c r="D28" s="28" t="str">
        <x:v>альдегиды, амины</x:v>
      </x:c>
      <x:c r="E28" s="28" t="str">
        <x:v>вкусовой баланс зависит от сорта, обработки и рецептуры</x:v>
      </x:c>
      <x:c r="F28" s="28" t="str">
        <x:v>обычно минимальный; острые специи и алкоголь могут давать выраженный тройничный эффект</x:v>
      </x:c>
      <x:c r="G28" s="28" t="str">
        <x:v>матрица определяется содержанием воды, жира, белка, сахара и полифенолов</x:v>
      </x:c>
      <x:c r="H28" s="28" t="str">
        <x:v>профиль необходимо проверять после рабочей обработки и при температуре подачи</x:v>
      </x:c>
      <x:c r="I28" s="28" t="n">
        <x:v>1</x:v>
      </x:c>
    </x:row>
    <x:row r="29" ht="50" customHeight="1">
      <x:c r="A29" s="28" t="str">
        <x:v>cottage cheese</x:v>
      </x:c>
      <x:c r="B29" s="28" t="str">
        <x:v>Молочные продукты и сыры</x:v>
      </x:c>
      <x:c r="C29" s="28" t="str">
        <x:v>молочный, сливочный и ферментированный</x:v>
      </x:c>
      <x:c r="D29" s="28" t="str">
        <x:v>диацетил, жирные кислоты, лактоны</x:v>
      </x:c>
      <x:c r="E29" s="28" t="str">
        <x:v>вкусовой баланс зависит от сорта, обработки и рецептуры</x:v>
      </x:c>
      <x:c r="F29" s="28" t="str">
        <x:v>обычно минимальный; острые специи и алкоголь могут давать выраженный тройничный эффект</x:v>
      </x:c>
      <x:c r="G29" s="28" t="str">
        <x:v>матрица определяется содержанием воды, жира, белка, сахара и полифенолов</x:v>
      </x:c>
      <x:c r="H29" s="28" t="str">
        <x:v>профиль необходимо проверять после рабочей обработки и при температуре подачи</x:v>
      </x:c>
      <x:c r="I29" s="28" t="n">
        <x:v>1</x:v>
      </x:c>
    </x:row>
    <x:row r="30" ht="50" customHeight="1">
      <x:c r="A30" s="28" t="str">
        <x:v>cow's milk mozzarella</x:v>
      </x:c>
      <x:c r="B30" s="28" t="str">
        <x:v>Молочные продукты и сыры</x:v>
      </x:c>
      <x:c r="C30" s="28" t="str">
        <x:v>молочный, сливочный и ферментированный</x:v>
      </x:c>
      <x:c r="D30" s="28" t="str">
        <x:v>диацетил, жирные кислоты, лактоны</x:v>
      </x:c>
      <x:c r="E30" s="28" t="str">
        <x:v>вкусовой баланс зависит от сорта, обработки и рецептуры</x:v>
      </x:c>
      <x:c r="F30" s="28" t="str">
        <x:v>обычно минимальный; острые специи и алкоголь могут давать выраженный тройничный эффект</x:v>
      </x:c>
      <x:c r="G30" s="28" t="str">
        <x:v>матрица определяется содержанием воды, жира, белка, сахара и полифенолов</x:v>
      </x:c>
      <x:c r="H30" s="28" t="str">
        <x:v>профиль необходимо проверять после рабочей обработки и при температуре подачи</x:v>
      </x:c>
      <x:c r="I30" s="28" t="n">
        <x:v>1</x:v>
      </x:c>
    </x:row>
    <x:row r="31" ht="50" customHeight="1">
      <x:c r="A31" s="28" t="str">
        <x:v>crayfish</x:v>
      </x:c>
      <x:c r="B31" s="28" t="str">
        <x:v>Рыба и морепродукты</x:v>
      </x:c>
      <x:c r="C31" s="28" t="str">
        <x:v>морской, солоноватый и умами</x:v>
      </x:c>
      <x:c r="D31" s="28" t="str">
        <x:v>альдегиды, амины</x:v>
      </x:c>
      <x:c r="E31" s="28" t="str">
        <x:v>вкусовой баланс зависит от сорта, обработки и рецептуры</x:v>
      </x:c>
      <x:c r="F31" s="28" t="str">
        <x:v>обычно минимальный; острые специи и алкоголь могут давать выраженный тройничный эффект</x:v>
      </x:c>
      <x:c r="G31" s="28" t="str">
        <x:v>матрица определяется содержанием воды, жира, белка, сахара и полифенолов</x:v>
      </x:c>
      <x:c r="H31" s="28" t="str">
        <x:v>профиль необходимо проверять после рабочей обработки и при температуре подачи</x:v>
      </x:c>
      <x:c r="I31" s="28" t="n">
        <x:v>1</x:v>
      </x:c>
    </x:row>
    <x:row r="32" ht="50" customHeight="1">
      <x:c r="A32" s="28" t="str">
        <x:v>cucumber</x:v>
      </x:c>
      <x:c r="B32" s="28" t="str">
        <x:v>Овощи, бобовые и грибы</x:v>
      </x:c>
      <x:c r="C32" s="28" t="str">
        <x:v>зелёный, землистый или умами</x:v>
      </x:c>
      <x:c r="D32" s="28" t="str">
        <x:v>альдегиды, сернистые соединения</x:v>
      </x:c>
      <x:c r="E32" s="28" t="str">
        <x:v>вкусовой баланс зависит от сорта, обработки и рецептуры</x:v>
      </x:c>
      <x:c r="F32" s="28" t="str">
        <x:v>обычно минимальный; острые специи и алкоголь могут давать выраженный тройничный эффект</x:v>
      </x:c>
      <x:c r="G32" s="28" t="str">
        <x:v>матрица определяется содержанием воды, жира, белка, сахара и полифенолов</x:v>
      </x:c>
      <x:c r="H32" s="28" t="str">
        <x:v>профиль необходимо проверять после рабочей обработки и при температуре подачи</x:v>
      </x:c>
      <x:c r="I32" s="28" t="n">
        <x:v>1</x:v>
      </x:c>
    </x:row>
    <x:row r="33" ht="50" customHeight="1">
      <x:c r="A33" s="28" t="str">
        <x:v>darkchocolate</x:v>
      </x:c>
      <x:c r="B33" s="28" t="str">
        <x:v>Какао и шоколад</x:v>
      </x:c>
      <x:c r="C33" s="28" t="str">
        <x:v>какаовый, жареный и горько-сладкий</x:v>
      </x:c>
      <x:c r="D33" s="28" t="str">
        <x:v>альдегиды, пиразины, фураны</x:v>
      </x:c>
      <x:c r="E33" s="28" t="str">
        <x:v>вкусовой баланс зависит от сорта, обработки и рецептуры</x:v>
      </x:c>
      <x:c r="F33" s="28" t="str">
        <x:v>обычно минимальный; острые специи и алкоголь могут давать выраженный тройничный эффект</x:v>
      </x:c>
      <x:c r="G33" s="28" t="str">
        <x:v>матрица определяется содержанием воды, жира, белка, сахара и полифенолов</x:v>
      </x:c>
      <x:c r="H33" s="28" t="str">
        <x:v>профиль необходимо проверять после рабочей обработки и при температуре подачи</x:v>
      </x:c>
      <x:c r="I33" s="28" t="n">
        <x:v>1</x:v>
      </x:c>
    </x:row>
    <x:row r="34" ht="50" customHeight="1">
      <x:c r="A34" s="28" t="str">
        <x:v>douchi</x:v>
      </x:c>
      <x:c r="B34" s="28" t="str">
        <x:v>Ферментированные продукты и соусы</x:v>
      </x:c>
      <x:c r="C34" s="28" t="str">
        <x:v>ферментированный, умами и сложный</x:v>
      </x:c>
      <x:c r="D34" s="28" t="str">
        <x:v>пиразины, фураны, эфиры</x:v>
      </x:c>
      <x:c r="E34" s="28" t="str">
        <x:v>вкусовой баланс зависит от сорта, обработки и рецептуры</x:v>
      </x:c>
      <x:c r="F34" s="28" t="str">
        <x:v>обычно минимальный; острые специи и алкоголь могут давать выраженный тройничный эффект</x:v>
      </x:c>
      <x:c r="G34" s="28" t="str">
        <x:v>матрица определяется содержанием воды, жира, белка, сахара и полифенолов</x:v>
      </x:c>
      <x:c r="H34" s="28" t="str">
        <x:v>профиль необходимо проверять после рабочей обработки и при температуре подачи</x:v>
      </x:c>
      <x:c r="I34" s="28" t="n">
        <x:v>1</x:v>
      </x:c>
    </x:row>
    <x:row r="35" ht="50" customHeight="1">
      <x:c r="A35" s="28" t="str">
        <x:v>dry-aged beef</x:v>
      </x:c>
      <x:c r="B35" s="28" t="str">
        <x:v>Мясо и птица</x:v>
      </x:c>
      <x:c r="C35" s="28" t="str">
        <x:v>жареный, мясной и умами</x:v>
      </x:c>
      <x:c r="D35" s="28" t="str">
        <x:v>пиразины, сернистые соединения</x:v>
      </x:c>
      <x:c r="E35" s="28" t="str">
        <x:v>вкусовой баланс зависит от сорта, обработки и рецептуры</x:v>
      </x:c>
      <x:c r="F35" s="28" t="str">
        <x:v>обычно минимальный; острые специи и алкоголь могут давать выраженный тройничный эффект</x:v>
      </x:c>
      <x:c r="G35" s="28" t="str">
        <x:v>матрица определяется содержанием воды, жира, белка, сахара и полифенолов</x:v>
      </x:c>
      <x:c r="H35" s="28" t="str">
        <x:v>профиль необходимо проверять после рабочей обработки и при температуре подачи</x:v>
      </x:c>
      <x:c r="I35" s="28" t="n">
        <x:v>2</x:v>
      </x:c>
    </x:row>
    <x:row r="36" ht="50" customHeight="1">
      <x:c r="A36" s="28" t="str">
        <x:v>dry-agedbeef</x:v>
      </x:c>
      <x:c r="B36" s="28" t="str">
        <x:v>Мясо и птица</x:v>
      </x:c>
      <x:c r="C36" s="28" t="str">
        <x:v>жареный, мясной и умами</x:v>
      </x:c>
      <x:c r="D36" s="28" t="str">
        <x:v>пиразины, сернистые соединения</x:v>
      </x:c>
      <x:c r="E36" s="28" t="str">
        <x:v>вкусовой баланс зависит от сорта, обработки и рецептуры</x:v>
      </x:c>
      <x:c r="F36" s="28" t="str">
        <x:v>обычно минимальный; острые специи и алкоголь могут давать выраженный тройничный эффект</x:v>
      </x:c>
      <x:c r="G36" s="28" t="str">
        <x:v>матрица определяется содержанием воды, жира, белка, сахара и полифенолов</x:v>
      </x:c>
      <x:c r="H36" s="28" t="str">
        <x:v>профиль необходимо проверять после рабочей обработки и при температуре подачи</x:v>
      </x:c>
      <x:c r="I36" s="28" t="n">
        <x:v>1</x:v>
      </x:c>
    </x:row>
    <x:row r="37" ht="50" customHeight="1">
      <x:c r="A37" s="28" t="str">
        <x:v>duck</x:v>
      </x:c>
      <x:c r="B37" s="28" t="str">
        <x:v>Мясо и птица</x:v>
      </x:c>
      <x:c r="C37" s="28" t="str">
        <x:v>жареный, мясной и умами</x:v>
      </x:c>
      <x:c r="D37" s="28" t="str">
        <x:v>пиразины, сернистые соединения</x:v>
      </x:c>
      <x:c r="E37" s="28" t="str">
        <x:v>вкусовой баланс зависит от сорта, обработки и рецептуры</x:v>
      </x:c>
      <x:c r="F37" s="28" t="str">
        <x:v>обычно минимальный; острые специи и алкоголь могут давать выраженный тройничный эффект</x:v>
      </x:c>
      <x:c r="G37" s="28" t="str">
        <x:v>матрица определяется содержанием воды, жира, белка, сахара и полифенолов</x:v>
      </x:c>
      <x:c r="H37" s="28" t="str">
        <x:v>профиль необходимо проверять после рабочей обработки и при температуре подачи</x:v>
      </x:c>
      <x:c r="I37" s="28" t="n">
        <x:v>1</x:v>
      </x:c>
    </x:row>
    <x:row r="38" ht="50" customHeight="1">
      <x:c r="A38" s="28" t="str">
        <x:v>elderberryjuice</x:v>
      </x:c>
      <x:c r="B38" s="28" t="str">
        <x:v>Фрукты и ягоды</x:v>
      </x:c>
      <x:c r="C38" s="28" t="str">
        <x:v>фруктовый, цветочный и свежий</x:v>
      </x:c>
      <x:c r="D38" s="28" t="str">
        <x:v>альдегиды, эфиры</x:v>
      </x:c>
      <x:c r="E38" s="28" t="str">
        <x:v>вкусовой баланс зависит от сорта, обработки и рецептуры</x:v>
      </x:c>
      <x:c r="F38" s="28" t="str">
        <x:v>обычно минимальный; острые специи и алкоголь могут давать выраженный тройничный эффект</x:v>
      </x:c>
      <x:c r="G38" s="28" t="str">
        <x:v>матрица определяется содержанием воды, жира, белка, сахара и полифенолов</x:v>
      </x:c>
      <x:c r="H38" s="28" t="str">
        <x:v>профиль необходимо проверять после рабочей обработки и при температуре подачи</x:v>
      </x:c>
      <x:c r="I38" s="28" t="n">
        <x:v>1</x:v>
      </x:c>
    </x:row>
    <x:row r="39" ht="50" customHeight="1">
      <x:c r="A39" s="28" t="str">
        <x:v>features an eel-flavoured ganache with green herbs</x:v>
      </x:c>
      <x:c r="B39" s="28" t="str">
        <x:v>Травы, цветы и листья</x:v>
      </x:c>
      <x:c r="C39" s="28" t="str">
        <x:v>зелёный, цветочный и терпеновый</x:v>
      </x:c>
      <x:c r="D39" s="28" t="str">
        <x:v>линалоол, терпены</x:v>
      </x:c>
      <x:c r="E39" s="28" t="str">
        <x:v>вкусовой баланс зависит от сорта, обработки и рецептуры</x:v>
      </x:c>
      <x:c r="F39" s="28" t="str">
        <x:v>обычно минимальный; острые специи и алкоголь могут давать выраженный тройничный эффект</x:v>
      </x:c>
      <x:c r="G39" s="28" t="str">
        <x:v>матрица определяется содержанием воды, жира, белка, сахара и полифенолов</x:v>
      </x:c>
      <x:c r="H39" s="28" t="str">
        <x:v>профиль необходимо проверять после рабочей обработки и при температуре подачи</x:v>
      </x:c>
      <x:c r="I39" s="28" t="n">
        <x:v>1</x:v>
      </x:c>
    </x:row>
    <x:row r="40" ht="50" customHeight="1">
      <x:c r="A40" s="28" t="str">
        <x:v>finger lime</x:v>
      </x:c>
      <x:c r="B40" s="28" t="str">
        <x:v>Фрукты и ягоды</x:v>
      </x:c>
      <x:c r="C40" s="28" t="str">
        <x:v>фруктовый, цветочный и свежий</x:v>
      </x:c>
      <x:c r="D40" s="28" t="str">
        <x:v>альдегиды, эфиры</x:v>
      </x:c>
      <x:c r="E40" s="28" t="str">
        <x:v>вкусовой баланс зависит от сорта, обработки и рецептуры</x:v>
      </x:c>
      <x:c r="F40" s="28" t="str">
        <x:v>обычно минимальный; острые специи и алкоголь могут давать выраженный тройничный эффект</x:v>
      </x:c>
      <x:c r="G40" s="28" t="str">
        <x:v>матрица определяется содержанием воды, жира, белка, сахара и полифенолов</x:v>
      </x:c>
      <x:c r="H40" s="28" t="str">
        <x:v>профиль необходимо проверять после рабочей обработки и при температуре подачи</x:v>
      </x:c>
      <x:c r="I40" s="28" t="n">
        <x:v>1</x:v>
      </x:c>
    </x:row>
    <x:row r="41" ht="50" customHeight="1">
      <x:c r="A41" s="28" t="str">
        <x:v>fish</x:v>
      </x:c>
      <x:c r="B41" s="28" t="str">
        <x:v>Рыба и морепродукты</x:v>
      </x:c>
      <x:c r="C41" s="28" t="str">
        <x:v>морской, солоноватый и умами</x:v>
      </x:c>
      <x:c r="D41" s="28" t="str">
        <x:v>альдегиды, амины</x:v>
      </x:c>
      <x:c r="E41" s="28" t="str">
        <x:v>вкусовой баланс зависит от сорта, обработки и рецептуры</x:v>
      </x:c>
      <x:c r="F41" s="28" t="str">
        <x:v>обычно минимальный; острые специи и алкоголь могут давать выраженный тройничный эффект</x:v>
      </x:c>
      <x:c r="G41" s="28" t="str">
        <x:v>матрица определяется содержанием воды, жира, белка, сахара и полифенолов</x:v>
      </x:c>
      <x:c r="H41" s="28" t="str">
        <x:v>профиль необходимо проверять после рабочей обработки и при температуре подачи</x:v>
      </x:c>
      <x:c r="I41" s="28" t="n">
        <x:v>5</x:v>
      </x:c>
    </x:row>
    <x:row r="42" ht="50" customHeight="1">
      <x:c r="A42" s="28" t="str">
        <x:v>flat-leaf parsley</x:v>
      </x:c>
      <x:c r="B42" s="28" t="str">
        <x:v>Травы, цветы и листья</x:v>
      </x:c>
      <x:c r="C42" s="28" t="str">
        <x:v>зелёный, цветочный и терпеновый</x:v>
      </x:c>
      <x:c r="D42" s="28" t="str">
        <x:v>линалоол, терпены</x:v>
      </x:c>
      <x:c r="E42" s="28" t="str">
        <x:v>вкусовой баланс зависит от сорта, обработки и рецептуры</x:v>
      </x:c>
      <x:c r="F42" s="28" t="str">
        <x:v>обычно минимальный; острые специи и алкоголь могут давать выраженный тройничный эффект</x:v>
      </x:c>
      <x:c r="G42" s="28" t="str">
        <x:v>матрица определяется содержанием воды, жира, белка, сахара и полифенолов</x:v>
      </x:c>
      <x:c r="H42" s="28" t="str">
        <x:v>профиль необходимо проверять после рабочей обработки и при температуре подачи</x:v>
      </x:c>
      <x:c r="I42" s="28" t="n">
        <x:v>1</x:v>
      </x:c>
    </x:row>
    <x:row r="43" ht="50" customHeight="1">
      <x:c r="A43" s="28" t="str">
        <x:v>fresh cream cheese</x:v>
      </x:c>
      <x:c r="B43" s="28" t="str">
        <x:v>Молочные продукты и сыры</x:v>
      </x:c>
      <x:c r="C43" s="28" t="str">
        <x:v>молочный, сливочный и ферментированный</x:v>
      </x:c>
      <x:c r="D43" s="28" t="str">
        <x:v>диацетил, жирные кислоты, лактоны</x:v>
      </x:c>
      <x:c r="E43" s="28" t="str">
        <x:v>вкусовой баланс зависит от сорта, обработки и рецептуры</x:v>
      </x:c>
      <x:c r="F43" s="28" t="str">
        <x:v>обычно минимальный; острые специи и алкоголь могут давать выраженный тройничный эффект</x:v>
      </x:c>
      <x:c r="G43" s="28" t="str">
        <x:v>матрица определяется содержанием воды, жира, белка, сахара и полифенолов</x:v>
      </x:c>
      <x:c r="H43" s="28" t="str">
        <x:v>профиль необходимо проверять после рабочей обработки и при температуре подачи</x:v>
      </x:c>
      <x:c r="I43" s="28" t="n">
        <x:v>1</x:v>
      </x:c>
    </x:row>
    <x:row r="44" ht="50" customHeight="1">
      <x:c r="A44" s="28" t="str">
        <x:v>fried chilli paste</x:v>
      </x:c>
      <x:c r="B44" s="28" t="str">
        <x:v>Специи</x:v>
      </x:c>
      <x:c r="C44" s="28" t="str">
        <x:v>пряный и древесный</x:v>
      </x:c>
      <x:c r="D44" s="28" t="str">
        <x:v>терпены, фенилпропаноиды</x:v>
      </x:c>
      <x:c r="E44" s="28" t="str">
        <x:v>вкусовой баланс зависит от сорта, обработки и рецептуры</x:v>
      </x:c>
      <x:c r="F44" s="28" t="str">
        <x:v>обычно минимальный; острые специи и алкоголь могут давать выраженный тройничный эффект</x:v>
      </x:c>
      <x:c r="G44" s="28" t="str">
        <x:v>матрица определяется содержанием воды, жира, белка, сахара и полифенолов</x:v>
      </x:c>
      <x:c r="H44" s="28" t="str">
        <x:v>профиль необходимо проверять после рабочей обработки и при температуре подачи</x:v>
      </x:c>
      <x:c r="I44" s="28" t="n">
        <x:v>1</x:v>
      </x:c>
    </x:row>
    <x:row r="45" ht="50" customHeight="1">
      <x:c r="A45" s="28" t="str">
        <x:v>gandaham</x:v>
      </x:c>
      <x:c r="B45" s="28" t="str">
        <x:v>Мясо и птица</x:v>
      </x:c>
      <x:c r="C45" s="28" t="str">
        <x:v>жареный, мясной и умами</x:v>
      </x:c>
      <x:c r="D45" s="28" t="str">
        <x:v>пиразины, сернистые соединения</x:v>
      </x:c>
      <x:c r="E45" s="28" t="str">
        <x:v>вкусовой баланс зависит от сорта, обработки и рецептуры</x:v>
      </x:c>
      <x:c r="F45" s="28" t="str">
        <x:v>обычно минимальный; острые специи и алкоголь могут давать выраженный тройничный эффект</x:v>
      </x:c>
      <x:c r="G45" s="28" t="str">
        <x:v>матрица определяется содержанием воды, жира, белка, сахара и полифенолов</x:v>
      </x:c>
      <x:c r="H45" s="28" t="str">
        <x:v>профиль необходимо проверять после рабочей обработки и при температуре подачи</x:v>
      </x:c>
      <x:c r="I45" s="28" t="n">
        <x:v>1</x:v>
      </x:c>
    </x:row>
    <x:row r="46" ht="50" customHeight="1">
      <x:c r="A46" s="28" t="str">
        <x:v>garlic</x:v>
      </x:c>
      <x:c r="B46" s="28" t="str">
        <x:v>Овощи, бобовые и грибы</x:v>
      </x:c>
      <x:c r="C46" s="28" t="str">
        <x:v>зелёный, землистый или умами</x:v>
      </x:c>
      <x:c r="D46" s="28" t="str">
        <x:v>альдегиды, сернистые соединения</x:v>
      </x:c>
      <x:c r="E46" s="28" t="str">
        <x:v>вкусовой баланс зависит от сорта, обработки и рецептуры</x:v>
      </x:c>
      <x:c r="F46" s="28" t="str">
        <x:v>обычно минимальный; острые специи и алкоголь могут давать выраженный тройничный эффект</x:v>
      </x:c>
      <x:c r="G46" s="28" t="str">
        <x:v>матрица определяется содержанием воды, жира, белка, сахара и полифенолов</x:v>
      </x:c>
      <x:c r="H46" s="28" t="str">
        <x:v>профиль необходимо проверять после рабочей обработки и при температуре подачи</x:v>
      </x:c>
      <x:c r="I46" s="28" t="n">
        <x:v>5</x:v>
      </x:c>
    </x:row>
    <x:row r="47" ht="50" customHeight="1">
      <x:c r="A47" s="28" t="str">
        <x:v>goats' cheese and milk</x:v>
      </x:c>
      <x:c r="B47" s="28" t="str">
        <x:v>Молочные продукты и сыры</x:v>
      </x:c>
      <x:c r="C47" s="28" t="str">
        <x:v>молочный, сливочный и ферментированный</x:v>
      </x:c>
      <x:c r="D47" s="28" t="str">
        <x:v>диацетил, жирные кислоты, лактоны</x:v>
      </x:c>
      <x:c r="E47" s="28" t="str">
        <x:v>вкусовой баланс зависит от сорта, обработки и рецептуры</x:v>
      </x:c>
      <x:c r="F47" s="28" t="str">
        <x:v>обычно минимальный; острые специи и алкоголь могут давать выраженный тройничный эффект</x:v>
      </x:c>
      <x:c r="G47" s="28" t="str">
        <x:v>матрица определяется содержанием воды, жира, белка, сахара и полифенолов</x:v>
      </x:c>
      <x:c r="H47" s="28" t="str">
        <x:v>профиль необходимо проверять после рабочей обработки и при температуре подачи</x:v>
      </x:c>
      <x:c r="I47" s="28" t="n">
        <x:v>2</x:v>
      </x:c>
    </x:row>
    <x:row r="48" ht="50" customHeight="1">
      <x:c r="A48" s="28" t="str">
        <x:v>gorgonzola</x:v>
      </x:c>
      <x:c r="B48" s="28" t="str">
        <x:v>Молочные продукты и сыры</x:v>
      </x:c>
      <x:c r="C48" s="28" t="str">
        <x:v>молочный, сливочный и ферментированный</x:v>
      </x:c>
      <x:c r="D48" s="28" t="str">
        <x:v>диацетил, жирные кислоты, лактоны</x:v>
      </x:c>
      <x:c r="E48" s="28" t="str">
        <x:v>вкусовой баланс зависит от сорта, обработки и рецептуры</x:v>
      </x:c>
      <x:c r="F48" s="28" t="str">
        <x:v>обычно минимальный; острые специи и алкоголь могут давать выраженный тройничный эффект</x:v>
      </x:c>
      <x:c r="G48" s="28" t="str">
        <x:v>матрица определяется содержанием воды, жира, белка, сахара и полифенолов</x:v>
      </x:c>
      <x:c r="H48" s="28" t="str">
        <x:v>профиль необходимо проверять после рабочей обработки и при температуре подачи</x:v>
      </x:c>
      <x:c r="I48" s="28" t="n">
        <x:v>1</x:v>
      </x:c>
    </x:row>
    <x:row r="49" ht="50" customHeight="1">
      <x:c r="A49" s="28" t="str">
        <x:v>grapes</x:v>
      </x:c>
      <x:c r="B49" s="28" t="str">
        <x:v>Фрукты и ягоды</x:v>
      </x:c>
      <x:c r="C49" s="28" t="str">
        <x:v>фруктовый, цветочный и свежий</x:v>
      </x:c>
      <x:c r="D49" s="28" t="str">
        <x:v>альдегиды, эфиры</x:v>
      </x:c>
      <x:c r="E49" s="28" t="str">
        <x:v>вкусовой баланс зависит от сорта, обработки и рецептуры</x:v>
      </x:c>
      <x:c r="F49" s="28" t="str">
        <x:v>обычно минимальный; острые специи и алкоголь могут давать выраженный тройничный эффект</x:v>
      </x:c>
      <x:c r="G49" s="28" t="str">
        <x:v>матрица определяется содержанием воды, жира, белка, сахара и полифенолов</x:v>
      </x:c>
      <x:c r="H49" s="28" t="str">
        <x:v>профиль необходимо проверять после рабочей обработки и при температуре подачи</x:v>
      </x:c>
      <x:c r="I49" s="28" t="n">
        <x:v>1</x:v>
      </x:c>
    </x:row>
    <x:row r="50" ht="50" customHeight="1">
      <x:c r="A50" s="28" t="str">
        <x:v>grilled lamb</x:v>
      </x:c>
      <x:c r="B50" s="28" t="str">
        <x:v>Мясо и птица</x:v>
      </x:c>
      <x:c r="C50" s="28" t="str">
        <x:v>жареный, мясной и умами</x:v>
      </x:c>
      <x:c r="D50" s="28" t="str">
        <x:v>пиразины, сернистые соединения</x:v>
      </x:c>
      <x:c r="E50" s="28" t="str">
        <x:v>вкусовой баланс зависит от сорта, обработки и рецептуры</x:v>
      </x:c>
      <x:c r="F50" s="28" t="str">
        <x:v>обычно минимальный; острые специи и алкоголь могут давать выраженный тройничный эффект</x:v>
      </x:c>
      <x:c r="G50" s="28" t="str">
        <x:v>матрица определяется содержанием воды, жира, белка, сахара и полифенолов</x:v>
      </x:c>
      <x:c r="H50" s="28" t="str">
        <x:v>профиль необходимо проверять после рабочей обработки и при температуре подачи</x:v>
      </x:c>
      <x:c r="I50" s="28" t="n">
        <x:v>1</x:v>
      </x:c>
    </x:row>
    <x:row r="51" ht="50" customHeight="1">
      <x:c r="A51" s="28" t="str">
        <x:v>grilled turbot</x:v>
      </x:c>
      <x:c r="B51" s="28" t="str">
        <x:v>Рыба и морепродукты</x:v>
      </x:c>
      <x:c r="C51" s="28" t="str">
        <x:v>морской, солоноватый и умами</x:v>
      </x:c>
      <x:c r="D51" s="28" t="str">
        <x:v>альдегиды, амины</x:v>
      </x:c>
      <x:c r="E51" s="28" t="str">
        <x:v>вкусовой баланс зависит от сорта, обработки и рецептуры</x:v>
      </x:c>
      <x:c r="F51" s="28" t="str">
        <x:v>обычно минимальный; острые специи и алкоголь могут давать выраженный тройничный эффект</x:v>
      </x:c>
      <x:c r="G51" s="28" t="str">
        <x:v>матрица определяется содержанием воды, жира, белка, сахара и полифенолов</x:v>
      </x:c>
      <x:c r="H51" s="28" t="str">
        <x:v>профиль необходимо проверять после рабочей обработки и при температуре подачи</x:v>
      </x:c>
      <x:c r="I51" s="28" t="n">
        <x:v>1</x:v>
      </x:c>
    </x:row>
    <x:row r="52" ht="50" customHeight="1">
      <x:c r="A52" s="28" t="str">
        <x:v>gruyere</x:v>
      </x:c>
      <x:c r="B52" s="28" t="str">
        <x:v>Молочные продукты и сыры</x:v>
      </x:c>
      <x:c r="C52" s="28" t="str">
        <x:v>молочный, сливочный и ферментированный</x:v>
      </x:c>
      <x:c r="D52" s="28" t="str">
        <x:v>диацетил, жирные кислоты, лактоны</x:v>
      </x:c>
      <x:c r="E52" s="28" t="str">
        <x:v>вкусовой баланс зависит от сорта, обработки и рецептуры</x:v>
      </x:c>
      <x:c r="F52" s="28" t="str">
        <x:v>обычно минимальный; острые специи и алкоголь могут давать выраженный тройничный эффект</x:v>
      </x:c>
      <x:c r="G52" s="28" t="str">
        <x:v>матрица определяется содержанием воды, жира, белка, сахара и полифенолов</x:v>
      </x:c>
      <x:c r="H52" s="28" t="str">
        <x:v>профиль необходимо проверять после рабочей обработки и при температуре подачи</x:v>
      </x:c>
      <x:c r="I52" s="28" t="n">
        <x:v>1</x:v>
      </x:c>
    </x:row>
    <x:row r="53" ht="50" customHeight="1">
      <x:c r="A53" s="28" t="str">
        <x:v>horse mackerel</x:v>
      </x:c>
      <x:c r="B53" s="28" t="str">
        <x:v>Рыба и морепродукты</x:v>
      </x:c>
      <x:c r="C53" s="28" t="str">
        <x:v>морской, солоноватый и умами</x:v>
      </x:c>
      <x:c r="D53" s="28" t="str">
        <x:v>альдегиды, амины</x:v>
      </x:c>
      <x:c r="E53" s="28" t="str">
        <x:v>вкусовой баланс зависит от сорта, обработки и рецептуры</x:v>
      </x:c>
      <x:c r="F53" s="28" t="str">
        <x:v>обычно минимальный; острые специи и алкоголь могут давать выраженный тройничный эффект</x:v>
      </x:c>
      <x:c r="G53" s="28" t="str">
        <x:v>матрица определяется содержанием воды, жира, белка, сахара и полифенолов</x:v>
      </x:c>
      <x:c r="H53" s="28" t="str">
        <x:v>профиль необходимо проверять после рабочей обработки и при температуре подачи</x:v>
      </x:c>
      <x:c r="I53" s="28" t="n">
        <x:v>1</x:v>
      </x:c>
    </x:row>
    <x:row r="54" ht="50" customHeight="1">
      <x:c r="A54" s="28" t="str">
        <x:v>iambic beer</x:v>
      </x:c>
      <x:c r="B54" s="28" t="str">
        <x:v>Алкогольные напитки</x:v>
      </x:c>
      <x:c r="C54" s="28" t="str">
        <x:v>спиртовой, фруктовый или древесный</x:v>
      </x:c>
      <x:c r="D54" s="28" t="str">
        <x:v>альдегиды, эфиры</x:v>
      </x:c>
      <x:c r="E54" s="28" t="str">
        <x:v>вкусовой баланс зависит от сорта, обработки и рецептуры</x:v>
      </x:c>
      <x:c r="F54" s="28" t="str">
        <x:v>обычно минимальный; острые специи и алкоголь могут давать выраженный тройничный эффект</x:v>
      </x:c>
      <x:c r="G54" s="28" t="str">
        <x:v>матрица определяется содержанием воды, жира, белка, сахара и полифенолов</x:v>
      </x:c>
      <x:c r="H54" s="28" t="str">
        <x:v>профиль необходимо проверять после рабочей обработки и при температуре подачи</x:v>
      </x:c>
      <x:c r="I54" s="28" t="n">
        <x:v>1</x:v>
      </x:c>
    </x:row>
    <x:row r="55" ht="50" customHeight="1">
      <x:c r="A55" s="28" t="str">
        <x:v>isot pepper (urfa chilli flakes)</x:v>
      </x:c>
      <x:c r="B55" s="28" t="str">
        <x:v>Специи</x:v>
      </x:c>
      <x:c r="C55" s="28" t="str">
        <x:v>пряный и древесный</x:v>
      </x:c>
      <x:c r="D55" s="28" t="str">
        <x:v>терпены, фенилпропаноиды</x:v>
      </x:c>
      <x:c r="E55" s="28" t="str">
        <x:v>вкусовой баланс зависит от сорта, обработки и рецептуры</x:v>
      </x:c>
      <x:c r="F55" s="28" t="str">
        <x:v>обычно минимальный; острые специи и алкоголь могут давать выраженный тройничный эффект</x:v>
      </x:c>
      <x:c r="G55" s="28" t="str">
        <x:v>матрица определяется содержанием воды, жира, белка, сахара и полифенолов</x:v>
      </x:c>
      <x:c r="H55" s="28" t="str">
        <x:v>профиль необходимо проверять после рабочей обработки и при температуре подачи</x:v>
      </x:c>
      <x:c r="I55" s="28" t="n">
        <x:v>1</x:v>
      </x:c>
    </x:row>
    <x:row r="56" ht="50" customHeight="1">
      <x:c r="A56" s="28" t="str">
        <x:v>korean fish sauce</x:v>
      </x:c>
      <x:c r="B56" s="28" t="str">
        <x:v>Рыба и морепродукты</x:v>
      </x:c>
      <x:c r="C56" s="28" t="str">
        <x:v>морской, солоноватый и умами</x:v>
      </x:c>
      <x:c r="D56" s="28" t="str">
        <x:v>альдегиды, амины</x:v>
      </x:c>
      <x:c r="E56" s="28" t="str">
        <x:v>вкусовой баланс зависит от сорта, обработки и рецептуры</x:v>
      </x:c>
      <x:c r="F56" s="28" t="str">
        <x:v>обычно минимальный; острые специи и алкоголь могут давать выраженный тройничный эффект</x:v>
      </x:c>
      <x:c r="G56" s="28" t="str">
        <x:v>матрица определяется содержанием воды, жира, белка, сахара и полифенолов</x:v>
      </x:c>
      <x:c r="H56" s="28" t="str">
        <x:v>профиль необходимо проверять после рабочей обработки и при температуре подачи</x:v>
      </x:c>
      <x:c r="I56" s="28" t="n">
        <x:v>2</x:v>
      </x:c>
    </x:row>
    <x:row r="57" ht="50" customHeight="1">
      <x:c r="A57" s="28" t="str">
        <x:v>lberico ham</x:v>
      </x:c>
      <x:c r="B57" s="28" t="str">
        <x:v>Мясо и птица</x:v>
      </x:c>
      <x:c r="C57" s="28" t="str">
        <x:v>жареный, мясной и умами</x:v>
      </x:c>
      <x:c r="D57" s="28" t="str">
        <x:v>пиразины, сернистые соединения</x:v>
      </x:c>
      <x:c r="E57" s="28" t="str">
        <x:v>вкусовой баланс зависит от сорта, обработки и рецептуры</x:v>
      </x:c>
      <x:c r="F57" s="28" t="str">
        <x:v>обычно минимальный; острые специи и алкоголь могут давать выраженный тройничный эффект</x:v>
      </x:c>
      <x:c r="G57" s="28" t="str">
        <x:v>матрица определяется содержанием воды, жира, белка, сахара и полифенолов</x:v>
      </x:c>
      <x:c r="H57" s="28" t="str">
        <x:v>профиль необходимо проверять после рабочей обработки и при температуре подачи</x:v>
      </x:c>
      <x:c r="I57" s="28" t="n">
        <x:v>5</x:v>
      </x:c>
    </x:row>
    <x:row r="58" ht="50" customHeight="1">
      <x:c r="A58" s="28" t="str">
        <x:v>lberico ham (jam6n 100% lberico</x:v>
      </x:c>
      <x:c r="B58" s="28" t="str">
        <x:v>Мясо и птица</x:v>
      </x:c>
      <x:c r="C58" s="28" t="str">
        <x:v>жареный, мясной и умами</x:v>
      </x:c>
      <x:c r="D58" s="28" t="str">
        <x:v>пиразины, сернистые соединения</x:v>
      </x:c>
      <x:c r="E58" s="28" t="str">
        <x:v>вкусовой баланс зависит от сорта, обработки и рецептуры</x:v>
      </x:c>
      <x:c r="F58" s="28" t="str">
        <x:v>обычно минимальный; острые специи и алкоголь могут давать выраженный тройничный эффект</x:v>
      </x:c>
      <x:c r="G58" s="28" t="str">
        <x:v>матрица определяется содержанием воды, жира, белка, сахара и полифенолов</x:v>
      </x:c>
      <x:c r="H58" s="28" t="str">
        <x:v>профиль необходимо проверять после рабочей обработки и при температуре подачи</x:v>
      </x:c>
      <x:c r="I58" s="28" t="n">
        <x:v>1</x:v>
      </x:c>
    </x:row>
    <x:row r="59" ht="50" customHeight="1">
      <x:c r="A59" s="28" t="str">
        <x:v>lemon balm</x:v>
      </x:c>
      <x:c r="B59" s="28" t="str">
        <x:v>Фрукты и ягоды</x:v>
      </x:c>
      <x:c r="C59" s="28" t="str">
        <x:v>фруктовый, цветочный и свежий</x:v>
      </x:c>
      <x:c r="D59" s="28" t="str">
        <x:v>альдегиды, эфиры</x:v>
      </x:c>
      <x:c r="E59" s="28" t="str">
        <x:v>вкусовой баланс зависит от сорта, обработки и рецептуры</x:v>
      </x:c>
      <x:c r="F59" s="28" t="str">
        <x:v>обычно минимальный; острые специи и алкоголь могут давать выраженный тройничный эффект</x:v>
      </x:c>
      <x:c r="G59" s="28" t="str">
        <x:v>матрица определяется содержанием воды, жира, белка, сахара и полифенолов</x:v>
      </x:c>
      <x:c r="H59" s="28" t="str">
        <x:v>профиль необходимо проверять после рабочей обработки и при температуре подачи</x:v>
      </x:c>
      <x:c r="I59" s="28" t="n">
        <x:v>2</x:v>
      </x:c>
    </x:row>
    <x:row r="60" ht="50" customHeight="1">
      <x:c r="A60" s="28" t="str">
        <x:v>lemon vodka</x:v>
      </x:c>
      <x:c r="B60" s="28" t="str">
        <x:v>Алкогольные напитки</x:v>
      </x:c>
      <x:c r="C60" s="28" t="str">
        <x:v>спиртовой, фруктовый или древесный</x:v>
      </x:c>
      <x:c r="D60" s="28" t="str">
        <x:v>альдегиды, эфиры</x:v>
      </x:c>
      <x:c r="E60" s="28" t="str">
        <x:v>вкусовой баланс зависит от сорта, обработки и рецептуры</x:v>
      </x:c>
      <x:c r="F60" s="28" t="str">
        <x:v>обычно минимальный; острые специи и алкоголь могут давать выраженный тройничный эффект</x:v>
      </x:c>
      <x:c r="G60" s="28" t="str">
        <x:v>матрица определяется содержанием воды, жира, белка, сахара и полифенолов</x:v>
      </x:c>
      <x:c r="H60" s="28" t="str">
        <x:v>профиль необходимо проверять после рабочей обработки и при температуре подачи</x:v>
      </x:c>
      <x:c r="I60" s="28" t="n">
        <x:v>1</x:v>
      </x:c>
    </x:row>
    <x:row r="61" ht="50" customHeight="1">
      <x:c r="A61" s="28" t="str">
        <x:v>lobster</x:v>
      </x:c>
      <x:c r="B61" s="28" t="str">
        <x:v>Рыба и морепродукты</x:v>
      </x:c>
      <x:c r="C61" s="28" t="str">
        <x:v>морской, солоноватый и умами</x:v>
      </x:c>
      <x:c r="D61" s="28" t="str">
        <x:v>альдегиды, амины</x:v>
      </x:c>
      <x:c r="E61" s="28" t="str">
        <x:v>вкусовой баланс зависит от сорта, обработки и рецептуры</x:v>
      </x:c>
      <x:c r="F61" s="28" t="str">
        <x:v>обычно минимальный; острые специи и алкоголь могут давать выраженный тройничный эффект</x:v>
      </x:c>
      <x:c r="G61" s="28" t="str">
        <x:v>матрица определяется содержанием воды, жира, белка, сахара и полифенолов</x:v>
      </x:c>
      <x:c r="H61" s="28" t="str">
        <x:v>профиль необходимо проверять после рабочей обработки и при температуре подачи</x:v>
      </x:c>
      <x:c r="I61" s="28" t="n">
        <x:v>1</x:v>
      </x:c>
    </x:row>
    <x:row r="62" ht="50" customHeight="1">
      <x:c r="A62" s="28" t="str">
        <x:v>meat</x:v>
      </x:c>
      <x:c r="B62" s="28" t="str">
        <x:v>Мясо и птица</x:v>
      </x:c>
      <x:c r="C62" s="28" t="str">
        <x:v>жареный, мясной и умами</x:v>
      </x:c>
      <x:c r="D62" s="28" t="str">
        <x:v>пиразины, сернистые соединения</x:v>
      </x:c>
      <x:c r="E62" s="28" t="str">
        <x:v>вкусовой баланс зависит от сорта, обработки и рецептуры</x:v>
      </x:c>
      <x:c r="F62" s="28" t="str">
        <x:v>обычно минимальный; острые специи и алкоголь могут давать выраженный тройничный эффект</x:v>
      </x:c>
      <x:c r="G62" s="28" t="str">
        <x:v>матрица определяется содержанием воды, жира, белка, сахара и полифенолов</x:v>
      </x:c>
      <x:c r="H62" s="28" t="str">
        <x:v>профиль необходимо проверять после рабочей обработки и при температуре подачи</x:v>
      </x:c>
      <x:c r="I62" s="28" t="n">
        <x:v>5</x:v>
      </x:c>
    </x:row>
    <x:row r="63" ht="50" customHeight="1">
      <x:c r="A63" s="28" t="str">
        <x:v>milkchocolate</x:v>
      </x:c>
      <x:c r="B63" s="28" t="str">
        <x:v>Какао и шоколад</x:v>
      </x:c>
      <x:c r="C63" s="28" t="str">
        <x:v>какаовый, жареный и горько-сладкий</x:v>
      </x:c>
      <x:c r="D63" s="28" t="str">
        <x:v>альдегиды, пиразины, фураны</x:v>
      </x:c>
      <x:c r="E63" s="28" t="str">
        <x:v>вкусовой баланс зависит от сорта, обработки и рецептуры</x:v>
      </x:c>
      <x:c r="F63" s="28" t="str">
        <x:v>обычно минимальный; острые специи и алкоголь могут давать выраженный тройничный эффект</x:v>
      </x:c>
      <x:c r="G63" s="28" t="str">
        <x:v>матрица определяется содержанием воды, жира, белка, сахара и полифенолов</x:v>
      </x:c>
      <x:c r="H63" s="28" t="str">
        <x:v>профиль необходимо проверять после рабочей обработки и при температуре подачи</x:v>
      </x:c>
      <x:c r="I63" s="28" t="n">
        <x:v>1</x:v>
      </x:c>
    </x:row>
    <x:row r="64" ht="50" customHeight="1">
      <x:c r="A64" s="28" t="str">
        <x:v>mount gay eclipse rum</x:v>
      </x:c>
      <x:c r="B64" s="28" t="str">
        <x:v>Алкогольные напитки</x:v>
      </x:c>
      <x:c r="C64" s="28" t="str">
        <x:v>спиртовой, фруктовый или древесный</x:v>
      </x:c>
      <x:c r="D64" s="28" t="str">
        <x:v>альдегиды, эфиры</x:v>
      </x:c>
      <x:c r="E64" s="28" t="str">
        <x:v>вкусовой баланс зависит от сорта, обработки и рецептуры</x:v>
      </x:c>
      <x:c r="F64" s="28" t="str">
        <x:v>обычно минимальный; острые специи и алкоголь могут давать выраженный тройничный эффект</x:v>
      </x:c>
      <x:c r="G64" s="28" t="str">
        <x:v>матрица определяется содержанием воды, жира, белка, сахара и полифенолов</x:v>
      </x:c>
      <x:c r="H64" s="28" t="str">
        <x:v>профиль необходимо проверять после рабочей обработки и при температуре подачи</x:v>
      </x:c>
      <x:c r="I64" s="28" t="n">
        <x:v>1</x:v>
      </x:c>
    </x:row>
    <x:row r="65" ht="50" customHeight="1">
      <x:c r="A65" s="28" t="str">
        <x:v>myrtle berry</x:v>
      </x:c>
      <x:c r="B65" s="28" t="str">
        <x:v>Фрукты и ягоды</x:v>
      </x:c>
      <x:c r="C65" s="28" t="str">
        <x:v>фруктовый, цветочный и свежий</x:v>
      </x:c>
      <x:c r="D65" s="28" t="str">
        <x:v>альдегиды, эфиры</x:v>
      </x:c>
      <x:c r="E65" s="28" t="str">
        <x:v>вкусовой баланс зависит от сорта, обработки и рецептуры</x:v>
      </x:c>
      <x:c r="F65" s="28" t="str">
        <x:v>обычно минимальный; острые специи и алкоголь могут давать выраженный тройничный эффект</x:v>
      </x:c>
      <x:c r="G65" s="28" t="str">
        <x:v>матрица определяется содержанием воды, жира, белка, сахара и полифенолов</x:v>
      </x:c>
      <x:c r="H65" s="28" t="str">
        <x:v>профиль необходимо проверять после рабочей обработки и при температуре подачи</x:v>
      </x:c>
      <x:c r="I65" s="28" t="n">
        <x:v>1</x:v>
      </x:c>
    </x:row>
    <x:row r="66" ht="50" customHeight="1">
      <x:c r="A66" s="28" t="str">
        <x:v>orange tomato</x:v>
      </x:c>
      <x:c r="B66" s="28" t="str">
        <x:v>Фрукты и ягоды</x:v>
      </x:c>
      <x:c r="C66" s="28" t="str">
        <x:v>фруктовый, цветочный и свежий</x:v>
      </x:c>
      <x:c r="D66" s="28" t="str">
        <x:v>альдегиды, эфиры</x:v>
      </x:c>
      <x:c r="E66" s="28" t="str">
        <x:v>вкусовой баланс зависит от сорта, обработки и рецептуры</x:v>
      </x:c>
      <x:c r="F66" s="28" t="str">
        <x:v>обычно минимальный; острые специи и алкоголь могут давать выраженный тройничный эффект</x:v>
      </x:c>
      <x:c r="G66" s="28" t="str">
        <x:v>матрица определяется содержанием воды, жира, белка, сахара и полифенолов</x:v>
      </x:c>
      <x:c r="H66" s="28" t="str">
        <x:v>профиль необходимо проверять после рабочей обработки и при температуре подачи</x:v>
      </x:c>
      <x:c r="I66" s="28" t="n">
        <x:v>1</x:v>
      </x:c>
    </x:row>
    <x:row r="67" ht="50" customHeight="1">
      <x:c r="A67" s="28" t="str">
        <x:v>oyster leaf</x:v>
      </x:c>
      <x:c r="B67" s="28" t="str">
        <x:v>Рыба и морепродукты</x:v>
      </x:c>
      <x:c r="C67" s="28" t="str">
        <x:v>морской, солоноватый и умами</x:v>
      </x:c>
      <x:c r="D67" s="28" t="str">
        <x:v>альдегиды, амины</x:v>
      </x:c>
      <x:c r="E67" s="28" t="str">
        <x:v>вкусовой баланс зависит от сорта, обработки и рецептуры</x:v>
      </x:c>
      <x:c r="F67" s="28" t="str">
        <x:v>обычно минимальный; острые специи и алкоголь могут давать выраженный тройничный эффект</x:v>
      </x:c>
      <x:c r="G67" s="28" t="str">
        <x:v>матрица определяется содержанием воды, жира, белка, сахара и полифенолов</x:v>
      </x:c>
      <x:c r="H67" s="28" t="str">
        <x:v>профиль необходимо проверять после рабочей обработки и при температуре подачи</x:v>
      </x:c>
      <x:c r="I67" s="28" t="n">
        <x:v>1</x:v>
      </x:c>
    </x:row>
    <x:row r="68" ht="50" customHeight="1">
      <x:c r="A68" s="28" t="str">
        <x:v>pan-fried duck breast</x:v>
      </x:c>
      <x:c r="B68" s="28" t="str">
        <x:v>Мясо и птица</x:v>
      </x:c>
      <x:c r="C68" s="28" t="str">
        <x:v>жареный, мясной и умами</x:v>
      </x:c>
      <x:c r="D68" s="28" t="str">
        <x:v>пиразины, сернистые соединения</x:v>
      </x:c>
      <x:c r="E68" s="28" t="str">
        <x:v>вкусовой баланс зависит от сорта, обработки и рецептуры</x:v>
      </x:c>
      <x:c r="F68" s="28" t="str">
        <x:v>обычно минимальный; острые специи и алкоголь могут давать выраженный тройничный эффект</x:v>
      </x:c>
      <x:c r="G68" s="28" t="str">
        <x:v>матрица определяется содержанием воды, жира, белка, сахара и полифенолов</x:v>
      </x:c>
      <x:c r="H68" s="28" t="str">
        <x:v>профиль необходимо проверять после рабочей обработки и при температуре подачи</x:v>
      </x:c>
      <x:c r="I68" s="28" t="n">
        <x:v>2</x:v>
      </x:c>
    </x:row>
    <x:row r="69" ht="50" customHeight="1">
      <x:c r="A69" s="28" t="str">
        <x:v>pan-fried duck foie gras</x:v>
      </x:c>
      <x:c r="B69" s="28" t="str">
        <x:v>Мясо и птица</x:v>
      </x:c>
      <x:c r="C69" s="28" t="str">
        <x:v>жареный, мясной и умами</x:v>
      </x:c>
      <x:c r="D69" s="28" t="str">
        <x:v>пиразины, сернистые соединения</x:v>
      </x:c>
      <x:c r="E69" s="28" t="str">
        <x:v>вкусовой баланс зависит от сорта, обработки и рецептуры</x:v>
      </x:c>
      <x:c r="F69" s="28" t="str">
        <x:v>обычно минимальный; острые специи и алкоголь могут давать выраженный тройничный эффект</x:v>
      </x:c>
      <x:c r="G69" s="28" t="str">
        <x:v>матрица определяется содержанием воды, жира, белка, сахара и полифенолов</x:v>
      </x:c>
      <x:c r="H69" s="28" t="str">
        <x:v>профиль необходимо проверять после рабочей обработки и при температуре подачи</x:v>
      </x:c>
      <x:c r="I69" s="28" t="n">
        <x:v>1</x:v>
      </x:c>
    </x:row>
    <x:row r="70" ht="50" customHeight="1">
      <x:c r="A70" s="28" t="str">
        <x:v>pan-fried king prawns</x:v>
      </x:c>
      <x:c r="B70" s="28" t="str">
        <x:v>Рыба и морепродукты</x:v>
      </x:c>
      <x:c r="C70" s="28" t="str">
        <x:v>морской, солоноватый и умами</x:v>
      </x:c>
      <x:c r="D70" s="28" t="str">
        <x:v>альдегиды, амины</x:v>
      </x:c>
      <x:c r="E70" s="28" t="str">
        <x:v>вкусовой баланс зависит от сорта, обработки и рецептуры</x:v>
      </x:c>
      <x:c r="F70" s="28" t="str">
        <x:v>обычно минимальный; острые специи и алкоголь могут давать выраженный тройничный эффект</x:v>
      </x:c>
      <x:c r="G70" s="28" t="str">
        <x:v>матрица определяется содержанием воды, жира, белка, сахара и полифенолов</x:v>
      </x:c>
      <x:c r="H70" s="28" t="str">
        <x:v>профиль необходимо проверять после рабочей обработки и при температуре подачи</x:v>
      </x:c>
      <x:c r="I70" s="28" t="n">
        <x:v>1</x:v>
      </x:c>
    </x:row>
    <x:row r="71" ht="50" customHeight="1">
      <x:c r="A71" s="28" t="str">
        <x:v>pan-fried kingprawn</x:v>
      </x:c>
      <x:c r="B71" s="28" t="str">
        <x:v>Рыба и морепродукты</x:v>
      </x:c>
      <x:c r="C71" s="28" t="str">
        <x:v>морской, солоноватый и умами</x:v>
      </x:c>
      <x:c r="D71" s="28" t="str">
        <x:v>альдегиды, амины</x:v>
      </x:c>
      <x:c r="E71" s="28" t="str">
        <x:v>вкусовой баланс зависит от сорта, обработки и рецептуры</x:v>
      </x:c>
      <x:c r="F71" s="28" t="str">
        <x:v>обычно минимальный; острые специи и алкоголь могут давать выраженный тройничный эффект</x:v>
      </x:c>
      <x:c r="G71" s="28" t="str">
        <x:v>матрица определяется содержанием воды, жира, белка, сахара и полифенолов</x:v>
      </x:c>
      <x:c r="H71" s="28" t="str">
        <x:v>профиль необходимо проверять после рабочей обработки и при температуре подачи</x:v>
      </x:c>
      <x:c r="I71" s="28" t="n">
        <x:v>1</x:v>
      </x:c>
    </x:row>
    <x:row r="72" ht="50" customHeight="1">
      <x:c r="A72" s="28" t="str">
        <x:v>pan-fried porkloin</x:v>
      </x:c>
      <x:c r="B72" s="28" t="str">
        <x:v>Мясо и птица</x:v>
      </x:c>
      <x:c r="C72" s="28" t="str">
        <x:v>жареный, мясной и умами</x:v>
      </x:c>
      <x:c r="D72" s="28" t="str">
        <x:v>пиразины, сернистые соединения</x:v>
      </x:c>
      <x:c r="E72" s="28" t="str">
        <x:v>вкусовой баланс зависит от сорта, обработки и рецептуры</x:v>
      </x:c>
      <x:c r="F72" s="28" t="str">
        <x:v>обычно минимальный; острые специи и алкоголь могут давать выраженный тройничный эффект</x:v>
      </x:c>
      <x:c r="G72" s="28" t="str">
        <x:v>матрица определяется содержанием воды, жира, белка, сахара и полифенолов</x:v>
      </x:c>
      <x:c r="H72" s="28" t="str">
        <x:v>профиль необходимо проверять после рабочей обработки и при температуре подачи</x:v>
      </x:c>
      <x:c r="I72" s="28" t="n">
        <x:v>1</x:v>
      </x:c>
    </x:row>
    <x:row r="73" ht="50" customHeight="1">
      <x:c r="A73" s="28" t="str">
        <x:v>pan-fried quail</x:v>
      </x:c>
      <x:c r="B73" s="28" t="str">
        <x:v>Мясо и птица</x:v>
      </x:c>
      <x:c r="C73" s="28" t="str">
        <x:v>жареный, мясной и умами</x:v>
      </x:c>
      <x:c r="D73" s="28" t="str">
        <x:v>пиразины, сернистые соединения</x:v>
      </x:c>
      <x:c r="E73" s="28" t="str">
        <x:v>вкусовой баланс зависит от сорта, обработки и рецептуры</x:v>
      </x:c>
      <x:c r="F73" s="28" t="str">
        <x:v>обычно минимальный; острые специи и алкоголь могут давать выраженный тройничный эффект</x:v>
      </x:c>
      <x:c r="G73" s="28" t="str">
        <x:v>матрица определяется содержанием воды, жира, белка, сахара и полифенолов</x:v>
      </x:c>
      <x:c r="H73" s="28" t="str">
        <x:v>профиль необходимо проверять после рабочей обработки и при температуре подачи</x:v>
      </x:c>
      <x:c r="I73" s="28" t="n">
        <x:v>2</x:v>
      </x:c>
    </x:row>
    <x:row r="74" ht="50" customHeight="1">
      <x:c r="A74" s="28" t="str">
        <x:v>pan-fried wild duck</x:v>
      </x:c>
      <x:c r="B74" s="28" t="str">
        <x:v>Мясо и птица</x:v>
      </x:c>
      <x:c r="C74" s="28" t="str">
        <x:v>жареный, мясной и умами</x:v>
      </x:c>
      <x:c r="D74" s="28" t="str">
        <x:v>пиразины, сернистые соединения</x:v>
      </x:c>
      <x:c r="E74" s="28" t="str">
        <x:v>вкусовой баланс зависит от сорта, обработки и рецептуры</x:v>
      </x:c>
      <x:c r="F74" s="28" t="str">
        <x:v>обычно минимальный; острые специи и алкоголь могут давать выраженный тройничный эффект</x:v>
      </x:c>
      <x:c r="G74" s="28" t="str">
        <x:v>матрица определяется содержанием воды, жира, белка, сахара и полифенолов</x:v>
      </x:c>
      <x:c r="H74" s="28" t="str">
        <x:v>профиль необходимо проверять после рабочей обработки и при температуре подачи</x:v>
      </x:c>
      <x:c r="I74" s="28" t="n">
        <x:v>1</x:v>
      </x:c>
    </x:row>
    <x:row r="75" ht="50" customHeight="1">
      <x:c r="A75" s="28" t="str">
        <x:v>pandanleaf</x:v>
      </x:c>
      <x:c r="B75" s="28" t="str">
        <x:v>Травы, цветы и листья</x:v>
      </x:c>
      <x:c r="C75" s="28" t="str">
        <x:v>зелёный, цветочный и терпеновый</x:v>
      </x:c>
      <x:c r="D75" s="28" t="str">
        <x:v>линалоол, терпены</x:v>
      </x:c>
      <x:c r="E75" s="28" t="str">
        <x:v>вкусовой баланс зависит от сорта, обработки и рецептуры</x:v>
      </x:c>
      <x:c r="F75" s="28" t="str">
        <x:v>обычно минимальный; острые специи и алкоголь могут давать выраженный тройничный эффект</x:v>
      </x:c>
      <x:c r="G75" s="28" t="str">
        <x:v>матрица определяется содержанием воды, жира, белка, сахара и полифенолов</x:v>
      </x:c>
      <x:c r="H75" s="28" t="str">
        <x:v>профиль необходимо проверять после рабочей обработки и при температуре подачи</x:v>
      </x:c>
      <x:c r="I75" s="28" t="n">
        <x:v>1</x:v>
      </x:c>
    </x:row>
    <x:row r="76" ht="50" customHeight="1">
      <x:c r="A76" s="28" t="str">
        <x:v>parmesan-style cheese</x:v>
      </x:c>
      <x:c r="B76" s="28" t="str">
        <x:v>Молочные продукты и сыры</x:v>
      </x:c>
      <x:c r="C76" s="28" t="str">
        <x:v>молочный, сливочный и ферментированный</x:v>
      </x:c>
      <x:c r="D76" s="28" t="str">
        <x:v>диацетил, жирные кислоты, лактоны</x:v>
      </x:c>
      <x:c r="E76" s="28" t="str">
        <x:v>вкусовой баланс зависит от сорта, обработки и рецептуры</x:v>
      </x:c>
      <x:c r="F76" s="28" t="str">
        <x:v>обычно минимальный; острые специи и алкоголь могут давать выраженный тройничный эффект</x:v>
      </x:c>
      <x:c r="G76" s="28" t="str">
        <x:v>матрица определяется содержанием воды, жира, белка, сахара и полифенолов</x:v>
      </x:c>
      <x:c r="H76" s="28" t="str">
        <x:v>профиль необходимо проверять после рабочей обработки и при температуре подачи</x:v>
      </x:c>
      <x:c r="I76" s="28" t="n">
        <x:v>1</x:v>
      </x:c>
    </x:row>
    <x:row r="77" ht="50" customHeight="1">
      <x:c r="A77" s="28" t="str">
        <x:v>peppercorns</x:v>
      </x:c>
      <x:c r="B77" s="28" t="str">
        <x:v>Специи</x:v>
      </x:c>
      <x:c r="C77" s="28" t="str">
        <x:v>пряный и древесный</x:v>
      </x:c>
      <x:c r="D77" s="28" t="str">
        <x:v>терпены, фенилпропаноиды</x:v>
      </x:c>
      <x:c r="E77" s="28" t="str">
        <x:v>вкусовой баланс зависит от сорта, обработки и рецептуры</x:v>
      </x:c>
      <x:c r="F77" s="28" t="str">
        <x:v>обычно минимальный; острые специи и алкоголь могут давать выраженный тройничный эффект</x:v>
      </x:c>
      <x:c r="G77" s="28" t="str">
        <x:v>матрица определяется содержанием воды, жира, белка, сахара и полифенолов</x:v>
      </x:c>
      <x:c r="H77" s="28" t="str">
        <x:v>профиль необходимо проверять после рабочей обработки и при температуре подачи</x:v>
      </x:c>
      <x:c r="I77" s="28" t="n">
        <x:v>4</x:v>
      </x:c>
    </x:row>
    <x:row r="78" ht="50" customHeight="1">
      <x:c r="A78" s="28" t="str">
        <x:v>poached cod fillet</x:v>
      </x:c>
      <x:c r="B78" s="28" t="str">
        <x:v>Рыба и морепродукты</x:v>
      </x:c>
      <x:c r="C78" s="28" t="str">
        <x:v>морской, солоноватый и умами</x:v>
      </x:c>
      <x:c r="D78" s="28" t="str">
        <x:v>альдегиды, амины</x:v>
      </x:c>
      <x:c r="E78" s="28" t="str">
        <x:v>вкусовой баланс зависит от сорта, обработки и рецептуры</x:v>
      </x:c>
      <x:c r="F78" s="28" t="str">
        <x:v>обычно минимальный; острые специи и алкоголь могут давать выраженный тройничный эффект</x:v>
      </x:c>
      <x:c r="G78" s="28" t="str">
        <x:v>матрица определяется содержанием воды, жира, белка, сахара и полифенолов</x:v>
      </x:c>
      <x:c r="H78" s="28" t="str">
        <x:v>профиль необходимо проверять после рабочей обработки и при температуре подачи</x:v>
      </x:c>
      <x:c r="I78" s="28" t="n">
        <x:v>1</x:v>
      </x:c>
    </x:row>
    <x:row r="79" ht="50" customHeight="1">
      <x:c r="A79" s="28" t="str">
        <x:v>poached grey mullet</x:v>
      </x:c>
      <x:c r="B79" s="28" t="str">
        <x:v>Рыба и морепродукты</x:v>
      </x:c>
      <x:c r="C79" s="28" t="str">
        <x:v>морской, солоноватый и умами</x:v>
      </x:c>
      <x:c r="D79" s="28" t="str">
        <x:v>альдегиды, амины</x:v>
      </x:c>
      <x:c r="E79" s="28" t="str">
        <x:v>вкусовой баланс зависит от сорта, обработки и рецептуры</x:v>
      </x:c>
      <x:c r="F79" s="28" t="str">
        <x:v>обычно минимальный; острые специи и алкоголь могут давать выраженный тройничный эффект</x:v>
      </x:c>
      <x:c r="G79" s="28" t="str">
        <x:v>матрица определяется содержанием воды, жира, белка, сахара и полифенолов</x:v>
      </x:c>
      <x:c r="H79" s="28" t="str">
        <x:v>профиль необходимо проверять после рабочей обработки и при температуре подачи</x:v>
      </x:c>
      <x:c r="I79" s="28" t="n">
        <x:v>1</x:v>
      </x:c>
    </x:row>
    <x:row r="80" ht="50" customHeight="1">
      <x:c r="A80" s="28" t="str">
        <x:v>poached salmon</x:v>
      </x:c>
      <x:c r="B80" s="28" t="str">
        <x:v>Рыба и морепродукты</x:v>
      </x:c>
      <x:c r="C80" s="28" t="str">
        <x:v>морской, солоноватый и умами</x:v>
      </x:c>
      <x:c r="D80" s="28" t="str">
        <x:v>альдегиды, амины</x:v>
      </x:c>
      <x:c r="E80" s="28" t="str">
        <x:v>вкусовой баланс зависит от сорта, обработки и рецептуры</x:v>
      </x:c>
      <x:c r="F80" s="28" t="str">
        <x:v>обычно минимальный; острые специи и алкоголь могут давать выраженный тройничный эффект</x:v>
      </x:c>
      <x:c r="G80" s="28" t="str">
        <x:v>матрица определяется содержанием воды, жира, белка, сахара и полифенолов</x:v>
      </x:c>
      <x:c r="H80" s="28" t="str">
        <x:v>профиль необходимо проверять после рабочей обработки и при температуре подачи</x:v>
      </x:c>
      <x:c r="I80" s="28" t="n">
        <x:v>1</x:v>
      </x:c>
    </x:row>
    <x:row r="81" ht="50" customHeight="1">
      <x:c r="A81" s="28" t="str">
        <x:v>poached turbot</x:v>
      </x:c>
      <x:c r="B81" s="28" t="str">
        <x:v>Рыба и морепродукты</x:v>
      </x:c>
      <x:c r="C81" s="28" t="str">
        <x:v>морской, солоноватый и умами</x:v>
      </x:c>
      <x:c r="D81" s="28" t="str">
        <x:v>альдегиды, амины</x:v>
      </x:c>
      <x:c r="E81" s="28" t="str">
        <x:v>вкусовой баланс зависит от сорта, обработки и рецептуры</x:v>
      </x:c>
      <x:c r="F81" s="28" t="str">
        <x:v>обычно минимальный; острые специи и алкоголь могут давать выраженный тройничный эффект</x:v>
      </x:c>
      <x:c r="G81" s="28" t="str">
        <x:v>матрица определяется содержанием воды, жира, белка, сахара и полифенолов</x:v>
      </x:c>
      <x:c r="H81" s="28" t="str">
        <x:v>профиль необходимо проверять после рабочей обработки и при температуре подачи</x:v>
      </x:c>
      <x:c r="I81" s="28" t="n">
        <x:v>1</x:v>
      </x:c>
    </x:row>
    <x:row r="82" ht="50" customHeight="1">
      <x:c r="A82" s="28" t="str">
        <x:v>pumpkin seed oil</x:v>
      </x:c>
      <x:c r="B82" s="28" t="str">
        <x:v>Овощи, бобовые и грибы</x:v>
      </x:c>
      <x:c r="C82" s="28" t="str">
        <x:v>зелёный, землистый или умами</x:v>
      </x:c>
      <x:c r="D82" s="28" t="str">
        <x:v>альдегиды, сернистые соединения</x:v>
      </x:c>
      <x:c r="E82" s="28" t="str">
        <x:v>вкусовой баланс зависит от сорта, обработки и рецептуры</x:v>
      </x:c>
      <x:c r="F82" s="28" t="str">
        <x:v>обычно минимальный; острые специи и алкоголь могут давать выраженный тройничный эффект</x:v>
      </x:c>
      <x:c r="G82" s="28" t="str">
        <x:v>матрица определяется содержанием воды, жира, белка, сахара и полифенолов</x:v>
      </x:c>
      <x:c r="H82" s="28" t="str">
        <x:v>профиль необходимо проверять после рабочей обработки и при температуре подачи</x:v>
      </x:c>
      <x:c r="I82" s="28" t="n">
        <x:v>1</x:v>
      </x:c>
    </x:row>
    <x:row r="83" ht="50" customHeight="1">
      <x:c r="A83" s="28" t="str">
        <x:v>purple sage</x:v>
      </x:c>
      <x:c r="B83" s="28" t="str">
        <x:v>Травы, цветы и листья</x:v>
      </x:c>
      <x:c r="C83" s="28" t="str">
        <x:v>зелёный, цветочный и терпеновый</x:v>
      </x:c>
      <x:c r="D83" s="28" t="str">
        <x:v>линалоол, терпены</x:v>
      </x:c>
      <x:c r="E83" s="28" t="str">
        <x:v>вкусовой баланс зависит от сорта, обработки и рецептуры</x:v>
      </x:c>
      <x:c r="F83" s="28" t="str">
        <x:v>обычно минимальный; острые специи и алкоголь могут давать выраженный тройничный эффект</x:v>
      </x:c>
      <x:c r="G83" s="28" t="str">
        <x:v>матрица определяется содержанием воды, жира, белка, сахара и полифенолов</x:v>
      </x:c>
      <x:c r="H83" s="28" t="str">
        <x:v>профиль необходимо проверять после рабочей обработки и при температуре подачи</x:v>
      </x:c>
      <x:c r="I83" s="28" t="n">
        <x:v>1</x:v>
      </x:c>
    </x:row>
    <x:row r="84" ht="50" customHeight="1">
      <x:c r="A84" s="28" t="str">
        <x:v>rainbow trout</x:v>
      </x:c>
      <x:c r="B84" s="28" t="str">
        <x:v>Рыба и морепродукты</x:v>
      </x:c>
      <x:c r="C84" s="28" t="str">
        <x:v>морской, солоноватый и умами</x:v>
      </x:c>
      <x:c r="D84" s="28" t="str">
        <x:v>альдегиды, амины</x:v>
      </x:c>
      <x:c r="E84" s="28" t="str">
        <x:v>вкусовой баланс зависит от сорта, обработки и рецептуры</x:v>
      </x:c>
      <x:c r="F84" s="28" t="str">
        <x:v>обычно минимальный; острые специи и алкоголь могут давать выраженный тройничный эффект</x:v>
      </x:c>
      <x:c r="G84" s="28" t="str">
        <x:v>матрица определяется содержанием воды, жира, белка, сахара и полифенолов</x:v>
      </x:c>
      <x:c r="H84" s="28" t="str">
        <x:v>профиль необходимо проверять после рабочей обработки и при температуре подачи</x:v>
      </x:c>
      <x:c r="I84" s="28" t="n">
        <x:v>1</x:v>
      </x:c>
    </x:row>
    <x:row r="85" ht="50" customHeight="1">
      <x:c r="A85" s="28" t="str">
        <x:v>rapeseed oil</x:v>
      </x:c>
      <x:c r="B85" s="28" t="str">
        <x:v>Масла и жиры</x:v>
      </x:c>
      <x:c r="C85" s="28" t="str">
        <x:v>жирный и мягкий</x:v>
      </x:c>
      <x:c r="D85" s="28" t="str">
        <x:v>альдегиды, лактоны</x:v>
      </x:c>
      <x:c r="E85" s="28" t="str">
        <x:v>вкусовой баланс зависит от сорта, обработки и рецептуры</x:v>
      </x:c>
      <x:c r="F85" s="28" t="str">
        <x:v>обычно минимальный; острые специи и алкоголь могут давать выраженный тройничный эффект</x:v>
      </x:c>
      <x:c r="G85" s="28" t="str">
        <x:v>матрица определяется содержанием воды, жира, белка, сахара и полифенолов</x:v>
      </x:c>
      <x:c r="H85" s="28" t="str">
        <x:v>профиль необходимо проверять после рабочей обработки и при температуре подачи</x:v>
      </x:c>
      <x:c r="I85" s="28" t="n">
        <x:v>1</x:v>
      </x:c>
    </x:row>
    <x:row r="86" ht="50" customHeight="1">
      <x:c r="A86" s="28" t="str">
        <x:v>red bell pepper and paprika</x:v>
      </x:c>
      <x:c r="B86" s="28" t="str">
        <x:v>Специи</x:v>
      </x:c>
      <x:c r="C86" s="28" t="str">
        <x:v>пряный и древесный</x:v>
      </x:c>
      <x:c r="D86" s="28" t="str">
        <x:v>терпены, фенилпропаноиды</x:v>
      </x:c>
      <x:c r="E86" s="28" t="str">
        <x:v>вкусовой баланс зависит от сорта, обработки и рецептуры</x:v>
      </x:c>
      <x:c r="F86" s="28" t="str">
        <x:v>обычно минимальный; острые специи и алкоголь могут давать выраженный тройничный эффект</x:v>
      </x:c>
      <x:c r="G86" s="28" t="str">
        <x:v>матрица определяется содержанием воды, жира, белка, сахара и полифенолов</x:v>
      </x:c>
      <x:c r="H86" s="28" t="str">
        <x:v>профиль необходимо проверять после рабочей обработки и при температуре подачи</x:v>
      </x:c>
      <x:c r="I86" s="28" t="n">
        <x:v>3</x:v>
      </x:c>
    </x:row>
    <x:row r="87" ht="50" customHeight="1">
      <x:c r="A87" s="28" t="str">
        <x:v>red winevinegar</x:v>
      </x:c>
      <x:c r="B87" s="28" t="str">
        <x:v>Алкогольные напитки</x:v>
      </x:c>
      <x:c r="C87" s="28" t="str">
        <x:v>спиртовой, фруктовый или древесный</x:v>
      </x:c>
      <x:c r="D87" s="28" t="str">
        <x:v>альдегиды, эфиры</x:v>
      </x:c>
      <x:c r="E87" s="28" t="str">
        <x:v>вкусовой баланс зависит от сорта, обработки и рецептуры</x:v>
      </x:c>
      <x:c r="F87" s="28" t="str">
        <x:v>обычно минимальный; острые специи и алкоголь могут давать выраженный тройничный эффект</x:v>
      </x:c>
      <x:c r="G87" s="28" t="str">
        <x:v>матрица определяется содержанием воды, жира, белка, сахара и полифенолов</x:v>
      </x:c>
      <x:c r="H87" s="28" t="str">
        <x:v>профиль необходимо проверять после рабочей обработки и при температуре подачи</x:v>
      </x:c>
      <x:c r="I87" s="28" t="n">
        <x:v>1</x:v>
      </x:c>
    </x:row>
    <x:row r="88" ht="50" customHeight="1">
      <x:c r="A88" s="28" t="str">
        <x:v>rhubarb</x:v>
      </x:c>
      <x:c r="B88" s="28" t="str">
        <x:v>Фрукты и ягоды</x:v>
      </x:c>
      <x:c r="C88" s="28" t="str">
        <x:v>фруктовый, цветочный и свежий</x:v>
      </x:c>
      <x:c r="D88" s="28" t="str">
        <x:v>альдегиды, эфиры</x:v>
      </x:c>
      <x:c r="E88" s="28" t="str">
        <x:v>вкусовой баланс зависит от сорта, обработки и рецептуры</x:v>
      </x:c>
      <x:c r="F88" s="28" t="str">
        <x:v>обычно минимальный; острые специи и алкоголь могут давать выраженный тройничный эффект</x:v>
      </x:c>
      <x:c r="G88" s="28" t="str">
        <x:v>матрица определяется содержанием воды, жира, белка, сахара и полифенолов</x:v>
      </x:c>
      <x:c r="H88" s="28" t="str">
        <x:v>профиль необходимо проверять после рабочей обработки и при температуре подачи</x:v>
      </x:c>
      <x:c r="I88" s="28" t="n">
        <x:v>1</x:v>
      </x:c>
    </x:row>
    <x:row r="89" ht="50" customHeight="1">
      <x:c r="A89" s="28" t="str">
        <x:v>roasted veal sweetbreads</x:v>
      </x:c>
      <x:c r="B89" s="28" t="str">
        <x:v>Мясо и птица</x:v>
      </x:c>
      <x:c r="C89" s="28" t="str">
        <x:v>жареный, мясной и умами</x:v>
      </x:c>
      <x:c r="D89" s="28" t="str">
        <x:v>пиразины, сернистые соединения</x:v>
      </x:c>
      <x:c r="E89" s="28" t="str">
        <x:v>вкусовой баланс зависит от сорта, обработки и рецептуры</x:v>
      </x:c>
      <x:c r="F89" s="28" t="str">
        <x:v>обычно минимальный; острые специи и алкоголь могут давать выраженный тройничный эффект</x:v>
      </x:c>
      <x:c r="G89" s="28" t="str">
        <x:v>матрица определяется содержанием воды, жира, белка, сахара и полифенолов</x:v>
      </x:c>
      <x:c r="H89" s="28" t="str">
        <x:v>профиль необходимо проверять после рабочей обработки и при температуре подачи</x:v>
      </x:c>
      <x:c r="I89" s="28" t="n">
        <x:v>1</x:v>
      </x:c>
    </x:row>
    <x:row r="90" ht="50" customHeight="1">
      <x:c r="A90" s="28" t="str">
        <x:v>roastedarabica coffeebean</x:v>
      </x:c>
      <x:c r="B90" s="28" t="str">
        <x:v>Кофе</x:v>
      </x:c>
      <x:c r="C90" s="28" t="str">
        <x:v>жареный, ореховый и карамельный</x:v>
      </x:c>
      <x:c r="D90" s="28" t="str">
        <x:v>гваякол, пиразины, фураны</x:v>
      </x:c>
      <x:c r="E90" s="28" t="str">
        <x:v>вкусовой баланс зависит от сорта, обработки и рецептуры</x:v>
      </x:c>
      <x:c r="F90" s="28" t="str">
        <x:v>обычно минимальный; острые специи и алкоголь могут давать выраженный тройничный эффект</x:v>
      </x:c>
      <x:c r="G90" s="28" t="str">
        <x:v>матрица определяется содержанием воды, жира, белка, сахара и полифенолов</x:v>
      </x:c>
      <x:c r="H90" s="28" t="str">
        <x:v>профиль необходимо проверять после рабочей обработки и при температуре подачи</x:v>
      </x:c>
      <x:c r="I90" s="28" t="n">
        <x:v>1</x:v>
      </x:c>
    </x:row>
    <x:row r="91" ht="50" customHeight="1">
      <x:c r="A91" s="28" t="str">
        <x:v>roastedbrown shrimp</x:v>
      </x:c>
      <x:c r="B91" s="28" t="str">
        <x:v>Рыба и морепродукты</x:v>
      </x:c>
      <x:c r="C91" s="28" t="str">
        <x:v>морской, солоноватый и умами</x:v>
      </x:c>
      <x:c r="D91" s="28" t="str">
        <x:v>альдегиды, амины</x:v>
      </x:c>
      <x:c r="E91" s="28" t="str">
        <x:v>вкусовой баланс зависит от сорта, обработки и рецептуры</x:v>
      </x:c>
      <x:c r="F91" s="28" t="str">
        <x:v>обычно минимальный; острые специи и алкоголь могут давать выраженный тройничный эффект</x:v>
      </x:c>
      <x:c r="G91" s="28" t="str">
        <x:v>матрица определяется содержанием воды, жира, белка, сахара и полифенолов</x:v>
      </x:c>
      <x:c r="H91" s="28" t="str">
        <x:v>профиль необходимо проверять после рабочей обработки и при температуре подачи</x:v>
      </x:c>
      <x:c r="I91" s="28" t="n">
        <x:v>1</x:v>
      </x:c>
    </x:row>
    <x:row r="92" ht="50" customHeight="1">
      <x:c r="A92" s="28" t="str">
        <x:v>roastedcashew nut</x:v>
      </x:c>
      <x:c r="B92" s="28" t="str">
        <x:v>Орехи и семена</x:v>
      </x:c>
      <x:c r="C92" s="28" t="str">
        <x:v>ореховый, жареный и жирный</x:v>
      </x:c>
      <x:c r="D92" s="28" t="str">
        <x:v>альдегиды, пиразины, фураны</x:v>
      </x:c>
      <x:c r="E92" s="28" t="str">
        <x:v>вкусовой баланс зависит от сорта, обработки и рецептуры</x:v>
      </x:c>
      <x:c r="F92" s="28" t="str">
        <x:v>обычно минимальный; острые специи и алкоголь могут давать выраженный тройничный эффект</x:v>
      </x:c>
      <x:c r="G92" s="28" t="str">
        <x:v>матрица определяется содержанием воды, жира, белка, сахара и полифенолов</x:v>
      </x:c>
      <x:c r="H92" s="28" t="str">
        <x:v>профиль необходимо проверять после рабочей обработки и при температуре подачи</x:v>
      </x:c>
      <x:c r="I92" s="28" t="n">
        <x:v>1</x:v>
      </x:c>
    </x:row>
    <x:row r="93" ht="50" customHeight="1">
      <x:c r="A93" s="28" t="str">
        <x:v>rocoto chilli</x:v>
      </x:c>
      <x:c r="B93" s="28" t="str">
        <x:v>Специи</x:v>
      </x:c>
      <x:c r="C93" s="28" t="str">
        <x:v>пряный и древесный</x:v>
      </x:c>
      <x:c r="D93" s="28" t="str">
        <x:v>терпены, фенилпропаноиды</x:v>
      </x:c>
      <x:c r="E93" s="28" t="str">
        <x:v>вкусовой баланс зависит от сорта, обработки и рецептуры</x:v>
      </x:c>
      <x:c r="F93" s="28" t="str">
        <x:v>обычно минимальный; острые специи и алкоголь могут давать выраженный тройничный эффект</x:v>
      </x:c>
      <x:c r="G93" s="28" t="str">
        <x:v>матрица определяется содержанием воды, жира, белка, сахара и полифенолов</x:v>
      </x:c>
      <x:c r="H93" s="28" t="str">
        <x:v>профиль необходимо проверять после рабочей обработки и при температуре подачи</x:v>
      </x:c>
      <x:c r="I93" s="28" t="n">
        <x:v>1</x:v>
      </x:c>
    </x:row>
    <x:row r="94" ht="50" customHeight="1">
      <x:c r="A94" s="28" t="str">
        <x:v>salted anchovies</x:v>
      </x:c>
      <x:c r="B94" s="28" t="str">
        <x:v>Рыба и морепродукты</x:v>
      </x:c>
      <x:c r="C94" s="28" t="str">
        <x:v>морской, солоноватый и умами</x:v>
      </x:c>
      <x:c r="D94" s="28" t="str">
        <x:v>альдегиды, амины</x:v>
      </x:c>
      <x:c r="E94" s="28" t="str">
        <x:v>вкусовой баланс зависит от сорта, обработки и рецептуры</x:v>
      </x:c>
      <x:c r="F94" s="28" t="str">
        <x:v>обычно минимальный; острые специи и алкоголь могут давать выраженный тройничный эффект</x:v>
      </x:c>
      <x:c r="G94" s="28" t="str">
        <x:v>матрица определяется содержанием воды, жира, белка, сахара и полифенолов</x:v>
      </x:c>
      <x:c r="H94" s="28" t="str">
        <x:v>профиль необходимо проверять после рабочей обработки и при температуре подачи</x:v>
      </x:c>
      <x:c r="I94" s="28" t="n">
        <x:v>1</x:v>
      </x:c>
    </x:row>
    <x:row r="95" ht="50" customHeight="1">
      <x:c r="A95" s="28" t="str">
        <x:v>salted dried cod</x:v>
      </x:c>
      <x:c r="B95" s="28" t="str">
        <x:v>Рыба и морепродукты</x:v>
      </x:c>
      <x:c r="C95" s="28" t="str">
        <x:v>морской, солоноватый и умами</x:v>
      </x:c>
      <x:c r="D95" s="28" t="str">
        <x:v>альдегиды, амины</x:v>
      </x:c>
      <x:c r="E95" s="28" t="str">
        <x:v>вкусовой баланс зависит от сорта, обработки и рецептуры</x:v>
      </x:c>
      <x:c r="F95" s="28" t="str">
        <x:v>обычно минимальный; острые специи и алкоголь могут давать выраженный тройничный эффект</x:v>
      </x:c>
      <x:c r="G95" s="28" t="str">
        <x:v>матрица определяется содержанием воды, жира, белка, сахара и полифенолов</x:v>
      </x:c>
      <x:c r="H95" s="28" t="str">
        <x:v>профиль необходимо проверять после рабочей обработки и при температуре подачи</x:v>
      </x:c>
      <x:c r="I95" s="28" t="n">
        <x:v>1</x:v>
      </x:c>
    </x:row>
    <x:row r="96" ht="50" customHeight="1">
      <x:c r="A96" s="28" t="str">
        <x:v>salted sardine</x:v>
      </x:c>
      <x:c r="B96" s="28" t="str">
        <x:v>Рыба и морепродукты</x:v>
      </x:c>
      <x:c r="C96" s="28" t="str">
        <x:v>морской, солоноватый и умами</x:v>
      </x:c>
      <x:c r="D96" s="28" t="str">
        <x:v>альдегиды, амины</x:v>
      </x:c>
      <x:c r="E96" s="28" t="str">
        <x:v>вкусовой баланс зависит от сорта, обработки и рецептуры</x:v>
      </x:c>
      <x:c r="F96" s="28" t="str">
        <x:v>обычно минимальный; острые специи и алкоголь могут давать выраженный тройничный эффект</x:v>
      </x:c>
      <x:c r="G96" s="28" t="str">
        <x:v>матрица определяется содержанием воды, жира, белка, сахара и полифенолов</x:v>
      </x:c>
      <x:c r="H96" s="28" t="str">
        <x:v>профиль необходимо проверять после рабочей обработки и при температуре подачи</x:v>
      </x:c>
      <x:c r="I96" s="28" t="n">
        <x:v>1</x:v>
      </x:c>
    </x:row>
    <x:row r="97" ht="50" customHeight="1">
      <x:c r="A97" s="28" t="str">
        <x:v>sea fig</x:v>
      </x:c>
      <x:c r="B97" s="28" t="str">
        <x:v>Фрукты и ягоды</x:v>
      </x:c>
      <x:c r="C97" s="28" t="str">
        <x:v>фруктовый, цветочный и свежий</x:v>
      </x:c>
      <x:c r="D97" s="28" t="str">
        <x:v>альдегиды, эфиры</x:v>
      </x:c>
      <x:c r="E97" s="28" t="str">
        <x:v>вкусовой баланс зависит от сорта, обработки и рецептуры</x:v>
      </x:c>
      <x:c r="F97" s="28" t="str">
        <x:v>обычно минимальный; острые специи и алкоголь могут давать выраженный тройничный эффект</x:v>
      </x:c>
      <x:c r="G97" s="28" t="str">
        <x:v>матрица определяется содержанием воды, жира, белка, сахара и полифенолов</x:v>
      </x:c>
      <x:c r="H97" s="28" t="str">
        <x:v>профиль необходимо проверять после рабочей обработки и при температуре подачи</x:v>
      </x:c>
      <x:c r="I97" s="28" t="n">
        <x:v>1</x:v>
      </x:c>
    </x:row>
    <x:row r="98" ht="50" customHeight="1">
      <x:c r="A98" s="28" t="str">
        <x:v>senchatea</x:v>
      </x:c>
      <x:c r="B98" s="28" t="str">
        <x:v>Чай</x:v>
      </x:c>
      <x:c r="C98" s="28" t="str">
        <x:v>цветочный, древесный или зелёный</x:v>
      </x:c>
      <x:c r="D98" s="28" t="str">
        <x:v>линалоол, полифенолы</x:v>
      </x:c>
      <x:c r="E98" s="28" t="str">
        <x:v>вкусовой баланс зависит от сорта, обработки и рецептуры</x:v>
      </x:c>
      <x:c r="F98" s="28" t="str">
        <x:v>обычно минимальный; острые специи и алкоголь могут давать выраженный тройничный эффект</x:v>
      </x:c>
      <x:c r="G98" s="28" t="str">
        <x:v>матрица определяется содержанием воды, жира, белка, сахара и полифенолов</x:v>
      </x:c>
      <x:c r="H98" s="28" t="str">
        <x:v>профиль необходимо проверять после рабочей обработки и при температуре подачи</x:v>
      </x:c>
      <x:c r="I98" s="28" t="n">
        <x:v>1</x:v>
      </x:c>
    </x:row>
    <x:row r="99" ht="50" customHeight="1">
      <x:c r="A99" s="28" t="str">
        <x:v>sesame seeds, halva and tahini</x:v>
      </x:c>
      <x:c r="B99" s="28" t="str">
        <x:v>Прочее</x:v>
      </x:c>
      <x:c r="C99" s="28" t="str">
        <x:v>профиль зависит от конкретного продукта</x:v>
      </x:c>
      <x:c r="D99" s="28" t="str">
        <x:v>специфический профиль не детализирован</x:v>
      </x:c>
      <x:c r="E99" s="28" t="str">
        <x:v>вкусовой баланс зависит от сорта, обработки и рецептуры</x:v>
      </x:c>
      <x:c r="F99" s="28" t="str">
        <x:v>обычно минимальный; острые специи и алкоголь могут давать выраженный тройничный эффект</x:v>
      </x:c>
      <x:c r="G99" s="28" t="str">
        <x:v>матрица определяется содержанием воды, жира, белка, сахара и полифенолов</x:v>
      </x:c>
      <x:c r="H99" s="28" t="str">
        <x:v>профиль необходимо проверять после рабочей обработки и при температуре подачи</x:v>
      </x:c>
      <x:c r="I99" s="28" t="n">
        <x:v>3</x:v>
      </x:c>
    </x:row>
    <x:row r="100" ht="50" customHeight="1">
      <x:c r="A100" s="28" t="str">
        <x:v>sheep's milk yogurt</x:v>
      </x:c>
      <x:c r="B100" s="28" t="str">
        <x:v>Молочные продукты и сыры</x:v>
      </x:c>
      <x:c r="C100" s="28" t="str">
        <x:v>молочный, сливочный и ферментированный</x:v>
      </x:c>
      <x:c r="D100" s="28" t="str">
        <x:v>диацетил, жирные кислоты, лактоны</x:v>
      </x:c>
      <x:c r="E100" s="28" t="str">
        <x:v>вкусовой баланс зависит от сорта, обработки и рецептуры</x:v>
      </x:c>
      <x:c r="F100" s="28" t="str">
        <x:v>обычно минимальный; острые специи и алкоголь могут давать выраженный тройничный эффект</x:v>
      </x:c>
      <x:c r="G100" s="28" t="str">
        <x:v>матрица определяется содержанием воды, жира, белка, сахара и полифенолов</x:v>
      </x:c>
      <x:c r="H100" s="28" t="str">
        <x:v>профиль необходимо проверять после рабочей обработки и при температуре подачи</x:v>
      </x:c>
      <x:c r="I100" s="28" t="n">
        <x:v>1</x:v>
      </x:c>
    </x:row>
    <x:row r="101" ht="50" customHeight="1">
      <x:c r="A101" s="28" t="str">
        <x:v>smoked atlantic salmon</x:v>
      </x:c>
      <x:c r="B101" s="28" t="str">
        <x:v>Рыба и морепродукты</x:v>
      </x:c>
      <x:c r="C101" s="28" t="str">
        <x:v>морской, солоноватый и умами</x:v>
      </x:c>
      <x:c r="D101" s="28" t="str">
        <x:v>альдегиды, амины</x:v>
      </x:c>
      <x:c r="E101" s="28" t="str">
        <x:v>вкусовой баланс зависит от сорта, обработки и рецептуры</x:v>
      </x:c>
      <x:c r="F101" s="28" t="str">
        <x:v>обычно минимальный; острые специи и алкоголь могут давать выраженный тройничный эффект</x:v>
      </x:c>
      <x:c r="G101" s="28" t="str">
        <x:v>матрица определяется содержанием воды, жира, белка, сахара и полифенолов</x:v>
      </x:c>
      <x:c r="H101" s="28" t="str">
        <x:v>профиль необходимо проверять после рабочей обработки и при температуре подачи</x:v>
      </x:c>
      <x:c r="I101" s="28" t="n">
        <x:v>1</x:v>
      </x:c>
    </x:row>
    <x:row r="102" ht="50" customHeight="1">
      <x:c r="A102" s="28" t="str">
        <x:v>sprouted chickpea</x:v>
      </x:c>
      <x:c r="B102" s="28" t="str">
        <x:v>Овощи, бобовые и грибы</x:v>
      </x:c>
      <x:c r="C102" s="28" t="str">
        <x:v>зелёный, землистый или умами</x:v>
      </x:c>
      <x:c r="D102" s="28" t="str">
        <x:v>альдегиды, сернистые соединения</x:v>
      </x:c>
      <x:c r="E102" s="28" t="str">
        <x:v>вкусовой баланс зависит от сорта, обработки и рецептуры</x:v>
      </x:c>
      <x:c r="F102" s="28" t="str">
        <x:v>обычно минимальный; острые специи и алкоголь могут давать выраженный тройничный эффект</x:v>
      </x:c>
      <x:c r="G102" s="28" t="str">
        <x:v>матрица определяется содержанием воды, жира, белка, сахара и полифенолов</x:v>
      </x:c>
      <x:c r="H102" s="28" t="str">
        <x:v>профиль необходимо проверять после рабочей обработки и при температуре подачи</x:v>
      </x:c>
      <x:c r="I102" s="28" t="n">
        <x:v>1</x:v>
      </x:c>
    </x:row>
    <x:row r="103" ht="50" customHeight="1">
      <x:c r="A103" s="28" t="str">
        <x:v>steamed collard greens</x:v>
      </x:c>
      <x:c r="B103" s="28" t="str">
        <x:v>Чай</x:v>
      </x:c>
      <x:c r="C103" s="28" t="str">
        <x:v>цветочный, древесный или зелёный</x:v>
      </x:c>
      <x:c r="D103" s="28" t="str">
        <x:v>линалоол, полифенолы</x:v>
      </x:c>
      <x:c r="E103" s="28" t="str">
        <x:v>вкусовой баланс зависит от сорта, обработки и рецептуры</x:v>
      </x:c>
      <x:c r="F103" s="28" t="str">
        <x:v>обычно минимальный; острые специи и алкоголь могут давать выраженный тройничный эффект</x:v>
      </x:c>
      <x:c r="G103" s="28" t="str">
        <x:v>матрица определяется содержанием воды, жира, белка, сахара и полифенолов</x:v>
      </x:c>
      <x:c r="H103" s="28" t="str">
        <x:v>профиль необходимо проверять после рабочей обработки и при температуре подачи</x:v>
      </x:c>
      <x:c r="I103" s="28" t="n">
        <x:v>1</x:v>
      </x:c>
    </x:row>
    <x:row r="104" ht="50" customHeight="1">
      <x:c r="A104" s="28" t="str">
        <x:v>stewed pork gravy</x:v>
      </x:c>
      <x:c r="B104" s="28" t="str">
        <x:v>Мясо и птица</x:v>
      </x:c>
      <x:c r="C104" s="28" t="str">
        <x:v>жареный, мясной и умами</x:v>
      </x:c>
      <x:c r="D104" s="28" t="str">
        <x:v>пиразины, сернистые соединения</x:v>
      </x:c>
      <x:c r="E104" s="28" t="str">
        <x:v>вкусовой баланс зависит от сорта, обработки и рецептуры</x:v>
      </x:c>
      <x:c r="F104" s="28" t="str">
        <x:v>обычно минимальный; острые специи и алкоголь могут давать выраженный тройничный эффект</x:v>
      </x:c>
      <x:c r="G104" s="28" t="str">
        <x:v>матрица определяется содержанием воды, жира, белка, сахара и полифенолов</x:v>
      </x:c>
      <x:c r="H104" s="28" t="str">
        <x:v>профиль необходимо проверять после рабочей обработки и при температуре подачи</x:v>
      </x:c>
      <x:c r="I104" s="28" t="n">
        <x:v>1</x:v>
      </x:c>
    </x:row>
    <x:row r="105" ht="50" customHeight="1">
      <x:c r="A105" s="28" t="str">
        <x:v>strawberry jam</x:v>
      </x:c>
      <x:c r="B105" s="28" t="str">
        <x:v>Выпечка, сахара и десерты</x:v>
      </x:c>
      <x:c r="C105" s="28" t="str">
        <x:v>сладкий, карамельный и жареный</x:v>
      </x:c>
      <x:c r="D105" s="28" t="str">
        <x:v>мальтол, пиразины, фураны</x:v>
      </x:c>
      <x:c r="E105" s="28" t="str">
        <x:v>вкусовой баланс зависит от сорта, обработки и рецептуры</x:v>
      </x:c>
      <x:c r="F105" s="28" t="str">
        <x:v>обычно минимальный; острые специи и алкоголь могут давать выраженный тройничный эффект</x:v>
      </x:c>
      <x:c r="G105" s="28" t="str">
        <x:v>матрица определяется содержанием воды, жира, белка, сахара и полифенолов</x:v>
      </x:c>
      <x:c r="H105" s="28" t="str">
        <x:v>профиль необходимо проверять после рабочей обработки и при температуре подачи</x:v>
      </x:c>
      <x:c r="I105" s="28" t="n">
        <x:v>1</x:v>
      </x:c>
    </x:row>
    <x:row r="106" ht="50" customHeight="1">
      <x:c r="A106" s="28" t="str">
        <x:v>sweet potato</x:v>
      </x:c>
      <x:c r="B106" s="28" t="str">
        <x:v>Овощи, бобовые и грибы</x:v>
      </x:c>
      <x:c r="C106" s="28" t="str">
        <x:v>зелёный, землистый или умами</x:v>
      </x:c>
      <x:c r="D106" s="28" t="str">
        <x:v>альдегиды, сернистые соединения</x:v>
      </x:c>
      <x:c r="E106" s="28" t="str">
        <x:v>вкусовой баланс зависит от сорта, обработки и рецептуры</x:v>
      </x:c>
      <x:c r="F106" s="28" t="str">
        <x:v>обычно минимальный; острые специи и алкоголь могут давать выраженный тройничный эффект</x:v>
      </x:c>
      <x:c r="G106" s="28" t="str">
        <x:v>матрица определяется содержанием воды, жира, белка, сахара и полифенолов</x:v>
      </x:c>
      <x:c r="H106" s="28" t="str">
        <x:v>профиль необходимо проверять после рабочей обработки и при температуре подачи</x:v>
      </x:c>
      <x:c r="I106" s="28" t="n">
        <x:v>5</x:v>
      </x:c>
    </x:row>
    <x:row r="107" ht="50" customHeight="1">
      <x:c r="A107" s="28" t="str">
        <x:v>tea</x:v>
      </x:c>
      <x:c r="B107" s="28" t="str">
        <x:v>Чай</x:v>
      </x:c>
      <x:c r="C107" s="28" t="str">
        <x:v>цветочный, древесный или зелёный</x:v>
      </x:c>
      <x:c r="D107" s="28" t="str">
        <x:v>линалоол, полифенолы</x:v>
      </x:c>
      <x:c r="E107" s="28" t="str">
        <x:v>вкусовой баланс зависит от сорта, обработки и рецептуры</x:v>
      </x:c>
      <x:c r="F107" s="28" t="str">
        <x:v>обычно минимальный; острые специи и алкоголь могут давать выраженный тройничный эффект</x:v>
      </x:c>
      <x:c r="G107" s="28" t="str">
        <x:v>матрица определяется содержанием воды, жира, белка, сахара и полифенолов</x:v>
      </x:c>
      <x:c r="H107" s="28" t="str">
        <x:v>профиль необходимо проверять после рабочей обработки и при температуре подачи</x:v>
      </x:c>
      <x:c r="I107" s="28" t="n">
        <x:v>1</x:v>
      </x:c>
    </x:row>
    <x:row r="108" ht="50" customHeight="1">
      <x:c r="A108" s="28" t="str">
        <x:v>tequila, buckwheat honey</x:v>
      </x:c>
      <x:c r="B108" s="28" t="str">
        <x:v>Выпечка, сахара и десерты</x:v>
      </x:c>
      <x:c r="C108" s="28" t="str">
        <x:v>сладкий, карамельный и жареный</x:v>
      </x:c>
      <x:c r="D108" s="28" t="str">
        <x:v>мальтол, пиразины, фураны</x:v>
      </x:c>
      <x:c r="E108" s="28" t="str">
        <x:v>вкусовой баланс зависит от сорта, обработки и рецептуры</x:v>
      </x:c>
      <x:c r="F108" s="28" t="str">
        <x:v>обычно минимальный; острые специи и алкоголь могут давать выраженный тройничный эффект</x:v>
      </x:c>
      <x:c r="G108" s="28" t="str">
        <x:v>матрица определяется содержанием воды, жира, белка, сахара и полифенолов</x:v>
      </x:c>
      <x:c r="H108" s="28" t="str">
        <x:v>профиль необходимо проверять после рабочей обработки и при температуре подачи</x:v>
      </x:c>
      <x:c r="I108" s="28" t="n">
        <x:v>1</x:v>
      </x:c>
    </x:row>
    <x:row r="109" ht="50" customHeight="1">
      <x:c r="A109" s="28" t="str">
        <x:v>tomato and tomato puree</x:v>
      </x:c>
      <x:c r="B109" s="28" t="str">
        <x:v>Овощи, бобовые и грибы</x:v>
      </x:c>
      <x:c r="C109" s="28" t="str">
        <x:v>зелёный, землистый или умами</x:v>
      </x:c>
      <x:c r="D109" s="28" t="str">
        <x:v>альдегиды, сернистые соединения</x:v>
      </x:c>
      <x:c r="E109" s="28" t="str">
        <x:v>вкусовой баланс зависит от сорта, обработки и рецептуры</x:v>
      </x:c>
      <x:c r="F109" s="28" t="str">
        <x:v>обычно минимальный; острые специи и алкоголь могут давать выраженный тройничный эффект</x:v>
      </x:c>
      <x:c r="G109" s="28" t="str">
        <x:v>матрица определяется содержанием воды, жира, белка, сахара и полифенолов</x:v>
      </x:c>
      <x:c r="H109" s="28" t="str">
        <x:v>профиль необходимо проверять после рабочей обработки и при температуре подачи</x:v>
      </x:c>
      <x:c r="I109" s="28" t="n">
        <x:v>4</x:v>
      </x:c>
    </x:row>
    <x:row r="110" ht="50" customHeight="1">
      <x:c r="A110" s="28" t="str">
        <x:v>wagyu beef</x:v>
      </x:c>
      <x:c r="B110" s="28" t="str">
        <x:v>Мясо и птица</x:v>
      </x:c>
      <x:c r="C110" s="28" t="str">
        <x:v>жареный, мясной и умами</x:v>
      </x:c>
      <x:c r="D110" s="28" t="str">
        <x:v>пиразины, сернистые соединения</x:v>
      </x:c>
      <x:c r="E110" s="28" t="str">
        <x:v>вкусовой баланс зависит от сорта, обработки и рецептуры</x:v>
      </x:c>
      <x:c r="F110" s="28" t="str">
        <x:v>обычно минимальный; острые специи и алкоголь могут давать выраженный тройничный эффект</x:v>
      </x:c>
      <x:c r="G110" s="28" t="str">
        <x:v>матрица определяется содержанием воды, жира, белка, сахара и полифенолов</x:v>
      </x:c>
      <x:c r="H110" s="28" t="str">
        <x:v>профиль необходимо проверять после рабочей обработки и при температуре подачи</x:v>
      </x:c>
      <x:c r="I110" s="28" t="n">
        <x:v>1</x:v>
      </x:c>
    </x:row>
    <x:row r="111" ht="50" customHeight="1">
      <x:c r="A111" s="28" t="str">
        <x:v>watermelon</x:v>
      </x:c>
      <x:c r="B111" s="28" t="str">
        <x:v>Фрукты и ягоды</x:v>
      </x:c>
      <x:c r="C111" s="28" t="str">
        <x:v>фруктовый, цветочный и свежий</x:v>
      </x:c>
      <x:c r="D111" s="28" t="str">
        <x:v>альдегиды, эфиры</x:v>
      </x:c>
      <x:c r="E111" s="28" t="str">
        <x:v>вкусовой баланс зависит от сорта, обработки и рецептуры</x:v>
      </x:c>
      <x:c r="F111" s="28" t="str">
        <x:v>обычно минимальный; острые специи и алкоголь могут давать выраженный тройничный эффект</x:v>
      </x:c>
      <x:c r="G111" s="28" t="str">
        <x:v>матрица определяется содержанием воды, жира, белка, сахара и полифенолов</x:v>
      </x:c>
      <x:c r="H111" s="28" t="str">
        <x:v>профиль необходимо проверять после рабочей обработки и при температуре подачи</x:v>
      </x:c>
      <x:c r="I111" s="28" t="n">
        <x:v>3</x:v>
      </x:c>
    </x:row>
    <x:row r="112" ht="50" customHeight="1">
      <x:c r="A112" s="28" t="str">
        <x:v>wheatgrass and another one with cauliflower. his menueven</x:v>
      </x:c>
      <x:c r="B112" s="28" t="str">
        <x:v>Овощи, бобовые и грибы</x:v>
      </x:c>
      <x:c r="C112" s="28" t="str">
        <x:v>зелёный, землистый или умами</x:v>
      </x:c>
      <x:c r="D112" s="28" t="str">
        <x:v>альдегиды, сернистые соединения</x:v>
      </x:c>
      <x:c r="E112" s="28" t="str">
        <x:v>вкусовой баланс зависит от сорта, обработки и рецептуры</x:v>
      </x:c>
      <x:c r="F112" s="28" t="str">
        <x:v>обычно минимальный; острые специи и алкоголь могут давать выраженный тройничный эффект</x:v>
      </x:c>
      <x:c r="G112" s="28" t="str">
        <x:v>матрица определяется содержанием воды, жира, белка, сахара и полифенолов</x:v>
      </x:c>
      <x:c r="H112" s="28" t="str">
        <x:v>профиль необходимо проверять после рабочей обработки и при температуре подачи</x:v>
      </x:c>
      <x:c r="I112" s="28" t="n">
        <x:v>1</x:v>
      </x:c>
    </x:row>
    <x:row r="113" ht="50" customHeight="1">
      <x:c r="A113" s="28" t="str">
        <x:v>white toastingbread</x:v>
      </x:c>
      <x:c r="B113" s="28" t="str">
        <x:v>Выпечка, сахара и десерты</x:v>
      </x:c>
      <x:c r="C113" s="28" t="str">
        <x:v>сладкий, карамельный и жареный</x:v>
      </x:c>
      <x:c r="D113" s="28" t="str">
        <x:v>мальтол, пиразины, фураны</x:v>
      </x:c>
      <x:c r="E113" s="28" t="str">
        <x:v>вкусовой баланс зависит от сорта, обработки и рецептуры</x:v>
      </x:c>
      <x:c r="F113" s="28" t="str">
        <x:v>обычно минимальный; острые специи и алкоголь могут давать выраженный тройничный эффект</x:v>
      </x:c>
      <x:c r="G113" s="28" t="str">
        <x:v>матрица определяется содержанием воды, жира, белка, сахара и полифенолов</x:v>
      </x:c>
      <x:c r="H113" s="28" t="str">
        <x:v>профиль необходимо проверять после рабочей обработки и при температуре подачи</x:v>
      </x:c>
      <x:c r="I113" s="28" t="n">
        <x:v>1</x:v>
      </x:c>
    </x:row>
    <x:row r="114" ht="50" customHeight="1">
      <x:c r="A114" s="28" t="str">
        <x:v>whitechocolate</x:v>
      </x:c>
      <x:c r="B114" s="28" t="str">
        <x:v>Какао и шоколад</x:v>
      </x:c>
      <x:c r="C114" s="28" t="str">
        <x:v>какаовый, жареный и горько-сладкий</x:v>
      </x:c>
      <x:c r="D114" s="28" t="str">
        <x:v>альдегиды, пиразины, фураны</x:v>
      </x:c>
      <x:c r="E114" s="28" t="str">
        <x:v>вкусовой баланс зависит от сорта, обработки и рецептуры</x:v>
      </x:c>
      <x:c r="F114" s="28" t="str">
        <x:v>обычно минимальный; острые специи и алкоголь могут давать выраженный тройничный эффект</x:v>
      </x:c>
      <x:c r="G114" s="28" t="str">
        <x:v>матрица определяется содержанием воды, жира, белка, сахара и полифенолов</x:v>
      </x:c>
      <x:c r="H114" s="28" t="str">
        <x:v>профиль необходимо проверять после рабочей обработки и при температуре подачи</x:v>
      </x:c>
      <x:c r="I114" s="28" t="n">
        <x:v>1</x:v>
      </x:c>
    </x:row>
    <x:row r="115" ht="50" customHeight="1">
      <x:c r="A115" s="28" t="str">
        <x:v>«черный пудинг»</x:v>
      </x:c>
      <x:c r="B115" s="28" t="str">
        <x:v>Прочее</x:v>
      </x:c>
      <x:c r="C115" s="28" t="str">
        <x:v>профиль зависит от конкретного продукта</x:v>
      </x:c>
      <x:c r="D115" s="28" t="str">
        <x:v>специфический профиль не детализирован</x:v>
      </x:c>
      <x:c r="E115" s="28" t="str">
        <x:v>вкусовой баланс зависит от сорта, обработки и рецептуры</x:v>
      </x:c>
      <x:c r="F115" s="28" t="str">
        <x:v>обычно минимальный; острые специи и алкоголь могут давать выраженный тройничный эффект</x:v>
      </x:c>
      <x:c r="G115" s="28" t="str">
        <x:v>матрица определяется содержанием воды, жира, белка, сахара и полифенолов</x:v>
      </x:c>
      <x:c r="H115" s="28" t="str">
        <x:v>профиль необходимо проверять после рабочей обработки и при температуре подачи</x:v>
      </x:c>
      <x:c r="I115" s="28" t="n">
        <x:v>1</x:v>
      </x:c>
    </x:row>
    <x:row r="116" ht="50" customHeight="1">
      <x:c r="A116" s="28" t="str">
        <x:v>абрикос</x:v>
      </x:c>
      <x:c r="B116" s="28" t="str">
        <x:v>Фрукты и ягоды</x:v>
      </x:c>
      <x:c r="C116" s="28" t="str">
        <x:v>лактонный, миндальный, фруктовый</x:v>
      </x:c>
      <x:c r="D116" s="28" t="str">
        <x:v>бензальдегид, лактоны</x:v>
      </x:c>
      <x:c r="E116" s="28" t="str">
        <x:v>вкусовой баланс зависит от сорта, обработки и рецептуры</x:v>
      </x:c>
      <x:c r="F116" s="28" t="str">
        <x:v>обычно минимальный; острые специи и алкоголь могут давать выраженный тройничный эффект</x:v>
      </x:c>
      <x:c r="G116" s="28" t="str">
        <x:v>матрица определяется содержанием воды, жира, белка, сахара и полифенолов</x:v>
      </x:c>
      <x:c r="H116" s="28" t="str">
        <x:v>профиль необходимо проверять после рабочей обработки и при температуре подачи</x:v>
      </x:c>
      <x:c r="I116" s="28" t="n">
        <x:v>6</x:v>
      </x:c>
    </x:row>
    <x:row r="117" ht="50" customHeight="1">
      <x:c r="A117" s="28" t="str">
        <x:v>авокадо</x:v>
      </x:c>
      <x:c r="B117" s="28" t="str">
        <x:v>Прочее</x:v>
      </x:c>
      <x:c r="C117" s="28" t="str">
        <x:v>профиль зависит от конкретного продукта</x:v>
      </x:c>
      <x:c r="D117" s="28" t="str">
        <x:v>специфический профиль не детализирован</x:v>
      </x:c>
      <x:c r="E117" s="28" t="str">
        <x:v>вкусовой баланс зависит от сорта, обработки и рецептуры</x:v>
      </x:c>
      <x:c r="F117" s="28" t="str">
        <x:v>обычно минимальный; острые специи и алкоголь могут давать выраженный тройничный эффект</x:v>
      </x:c>
      <x:c r="G117" s="28" t="str">
        <x:v>матрица определяется содержанием воды, жира, белка, сахара и полифенолов</x:v>
      </x:c>
      <x:c r="H117" s="28" t="str">
        <x:v>профиль необходимо проверять после рабочей обработки и при температуре подачи</x:v>
      </x:c>
      <x:c r="I117" s="28" t="n">
        <x:v>4</x:v>
      </x:c>
    </x:row>
    <x:row r="118" ht="50" customHeight="1">
      <x:c r="A118" s="28" t="str">
        <x:v>агава</x:v>
      </x:c>
      <x:c r="B118" s="28" t="str">
        <x:v>Прочее</x:v>
      </x:c>
      <x:c r="C118" s="28" t="str">
        <x:v>профиль зависит от конкретного продукта</x:v>
      </x:c>
      <x:c r="D118" s="28" t="str">
        <x:v>специфический профиль не детализирован</x:v>
      </x:c>
      <x:c r="E118" s="28" t="str">
        <x:v>вкусовой баланс зависит от сорта, обработки и рецептуры</x:v>
      </x:c>
      <x:c r="F118" s="28" t="str">
        <x:v>обычно минимальный; острые специи и алкоголь могут давать выраженный тройничный эффект</x:v>
      </x:c>
      <x:c r="G118" s="28" t="str">
        <x:v>матрица определяется содержанием воды, жира, белка, сахара и полифенолов</x:v>
      </x:c>
      <x:c r="H118" s="28" t="str">
        <x:v>профиль необходимо проверять после рабочей обработки и при температуре подачи</x:v>
      </x:c>
      <x:c r="I118" s="28" t="n">
        <x:v>2</x:v>
      </x:c>
    </x:row>
    <x:row r="119" ht="50" customHeight="1">
      <x:c r="A119" s="28" t="str">
        <x:v>айва</x:v>
      </x:c>
      <x:c r="B119" s="28" t="str">
        <x:v>Прочее</x:v>
      </x:c>
      <x:c r="C119" s="28" t="str">
        <x:v>профиль зависит от конкретного продукта</x:v>
      </x:c>
      <x:c r="D119" s="28" t="str">
        <x:v>специфический профиль не детализирован</x:v>
      </x:c>
      <x:c r="E119" s="28" t="str">
        <x:v>вкусовой баланс зависит от сорта, обработки и рецептуры</x:v>
      </x:c>
      <x:c r="F119" s="28" t="str">
        <x:v>обычно минимальный; острые специи и алкоголь могут давать выраженный тройничный эффект</x:v>
      </x:c>
      <x:c r="G119" s="28" t="str">
        <x:v>матрица определяется содержанием воды, жира, белка, сахара и полифенолов</x:v>
      </x:c>
      <x:c r="H119" s="28" t="str">
        <x:v>профиль необходимо проверять после рабочей обработки и при температуре подачи</x:v>
      </x:c>
      <x:c r="I119" s="28" t="n">
        <x:v>4</x:v>
      </x:c>
    </x:row>
    <x:row r="120" ht="50" customHeight="1">
      <x:c r="A120" s="28" t="str">
        <x:v>акациевый мёд</x:v>
      </x:c>
      <x:c r="B120" s="28" t="str">
        <x:v>Выпечка, сахара и десерты</x:v>
      </x:c>
      <x:c r="C120" s="28" t="str">
        <x:v>медовый, цветочный</x:v>
      </x:c>
      <x:c r="D120" s="28" t="str">
        <x:v>норизопреноиды, фенилуксусная кислота</x:v>
      </x:c>
      <x:c r="E120" s="28" t="str">
        <x:v>вкусовой баланс зависит от сорта, обработки и рецептуры</x:v>
      </x:c>
      <x:c r="F120" s="28" t="str">
        <x:v>обычно минимальный; острые специи и алкоголь могут давать выраженный тройничный эффект</x:v>
      </x:c>
      <x:c r="G120" s="28" t="str">
        <x:v>матрица определяется содержанием воды, жира, белка, сахара и полифенолов</x:v>
      </x:c>
      <x:c r="H120" s="28" t="str">
        <x:v>профиль необходимо проверять после рабочей обработки и при температуре подачи</x:v>
      </x:c>
      <x:c r="I120" s="28" t="n">
        <x:v>1</x:v>
      </x:c>
    </x:row>
    <x:row r="121" ht="50" customHeight="1">
      <x:c r="A121" s="28" t="str">
        <x:v>ананас</x:v>
      </x:c>
      <x:c r="B121" s="28" t="str">
        <x:v>Прочее</x:v>
      </x:c>
      <x:c r="C121" s="28" t="str">
        <x:v>профиль зависит от конкретного продукта</x:v>
      </x:c>
      <x:c r="D121" s="28" t="str">
        <x:v>специфический профиль не детализирован</x:v>
      </x:c>
      <x:c r="E121" s="28" t="str">
        <x:v>вкусовой баланс зависит от сорта, обработки и рецептуры</x:v>
      </x:c>
      <x:c r="F121" s="28" t="str">
        <x:v>обычно минимальный; острые специи и алкоголь могут давать выраженный тройничный эффект</x:v>
      </x:c>
      <x:c r="G121" s="28" t="str">
        <x:v>матрица определяется содержанием воды, жира, белка, сахара и полифенолов</x:v>
      </x:c>
      <x:c r="H121" s="28" t="str">
        <x:v>профиль необходимо проверять после рабочей обработки и при температуре подачи</x:v>
      </x:c>
      <x:c r="I121" s="28" t="n">
        <x:v>8</x:v>
      </x:c>
    </x:row>
    <x:row r="122" ht="50" customHeight="1">
      <x:c r="A122" s="28" t="str">
        <x:v>анис</x:v>
      </x:c>
      <x:c r="B122" s="28" t="str">
        <x:v>Прочее</x:v>
      </x:c>
      <x:c r="C122" s="28" t="str">
        <x:v>профиль зависит от конкретного продукта</x:v>
      </x:c>
      <x:c r="D122" s="28" t="str">
        <x:v>специфический профиль не детализирован</x:v>
      </x:c>
      <x:c r="E122" s="28" t="str">
        <x:v>вкусовой баланс зависит от сорта, обработки и рецептуры</x:v>
      </x:c>
      <x:c r="F122" s="28" t="str">
        <x:v>обычно минимальный; острые специи и алкоголь могут давать выраженный тройничный эффект</x:v>
      </x:c>
      <x:c r="G122" s="28" t="str">
        <x:v>матрица определяется содержанием воды, жира, белка, сахара и полифенолов</x:v>
      </x:c>
      <x:c r="H122" s="28" t="str">
        <x:v>профиль необходимо проверять после рабочей обработки и при температуре подачи</x:v>
      </x:c>
      <x:c r="I122" s="28" t="n">
        <x:v>4</x:v>
      </x:c>
    </x:row>
    <x:row r="123" ht="50" customHeight="1">
      <x:c r="A123" s="28" t="str">
        <x:v>апельсин</x:v>
      </x:c>
      <x:c r="B123" s="28" t="str">
        <x:v>Фрукты и ягоды</x:v>
      </x:c>
      <x:c r="C123" s="28" t="str">
        <x:v>сладкий, цитрусовый</x:v>
      </x:c>
      <x:c r="D123" s="28" t="str">
        <x:v>лимонен, линалоол</x:v>
      </x:c>
      <x:c r="E123" s="28" t="str">
        <x:v>вкусовой баланс зависит от сорта, обработки и рецептуры</x:v>
      </x:c>
      <x:c r="F123" s="28" t="str">
        <x:v>обычно минимальный; острые специи и алкоголь могут давать выраженный тройничный эффект</x:v>
      </x:c>
      <x:c r="G123" s="28" t="str">
        <x:v>матрица определяется содержанием воды, жира, белка, сахара и полифенолов</x:v>
      </x:c>
      <x:c r="H123" s="28" t="str">
        <x:v>профиль необходимо проверять после рабочей обработки и при температуре подачи</x:v>
      </x:c>
      <x:c r="I123" s="28" t="n">
        <x:v>5</x:v>
      </x:c>
    </x:row>
    <x:row r="124" ht="50" customHeight="1">
      <x:c r="A124" s="28" t="str">
        <x:v>апельсины</x:v>
      </x:c>
      <x:c r="B124" s="28" t="str">
        <x:v>Фрукты и ягоды</x:v>
      </x:c>
      <x:c r="C124" s="28" t="str">
        <x:v>сладкий, цитрусовый</x:v>
      </x:c>
      <x:c r="D124" s="28" t="str">
        <x:v>лимонен, линалоол</x:v>
      </x:c>
      <x:c r="E124" s="28" t="str">
        <x:v>вкусовой баланс зависит от сорта, обработки и рецептуры</x:v>
      </x:c>
      <x:c r="F124" s="28" t="str">
        <x:v>обычно минимальный; острые специи и алкоголь могут давать выраженный тройничный эффект</x:v>
      </x:c>
      <x:c r="G124" s="28" t="str">
        <x:v>матрица определяется содержанием воды, жира, белка, сахара и полифенолов</x:v>
      </x:c>
      <x:c r="H124" s="28" t="str">
        <x:v>профиль необходимо проверять после рабочей обработки и при температуре подачи</x:v>
      </x:c>
      <x:c r="I124" s="28" t="n">
        <x:v>1</x:v>
      </x:c>
    </x:row>
    <x:row r="125" ht="50" customHeight="1">
      <x:c r="A125" s="28" t="str">
        <x:v>арахис</x:v>
      </x:c>
      <x:c r="B125" s="28" t="str">
        <x:v>Орехи и семена</x:v>
      </x:c>
      <x:c r="C125" s="28" t="str">
        <x:v>бобовый и зелёный в сыром виде; жареный, ореховый и какаоподобный после обжарки</x:v>
      </x:c>
      <x:c r="D125" s="28" t="str">
        <x:v>2-ацетил-1-пирролин, альдегиды, пиразины, фураны</x:v>
      </x:c>
      <x:c r="E125" s="28" t="str">
        <x:v>жирность, белковость, слабая сладость и жареная горечь</x:v>
      </x:c>
      <x:c r="F125" s="28" t="str">
        <x:v>минимальный</x:v>
      </x:c>
      <x:c r="G125" s="28" t="str">
        <x:v>жирно-белковая пастообразная матрица; хорошо удерживает жареную ароматику</x:v>
      </x:c>
      <x:c r="H125" s="28" t="str">
        <x:v>обжарка формирует ключевую ореховую ароматику; сырое зерно сохраняет травяно-бобовые ноты</x:v>
      </x:c>
      <x:c r="I125" s="28" t="n">
        <x:v>41</x:v>
      </x:c>
    </x:row>
    <x:row r="126" ht="50" customHeight="1">
      <x:c r="A126" s="28" t="str">
        <x:v>арбуз</x:v>
      </x:c>
      <x:c r="B126" s="28" t="str">
        <x:v>Прочее</x:v>
      </x:c>
      <x:c r="C126" s="28" t="str">
        <x:v>профиль зависит от конкретного продукта</x:v>
      </x:c>
      <x:c r="D126" s="28" t="str">
        <x:v>специфический профиль не детализирован</x:v>
      </x:c>
      <x:c r="E126" s="28" t="str">
        <x:v>вкусовой баланс зависит от сорта, обработки и рецептуры</x:v>
      </x:c>
      <x:c r="F126" s="28" t="str">
        <x:v>обычно минимальный; острые специи и алкоголь могут давать выраженный тройничный эффект</x:v>
      </x:c>
      <x:c r="G126" s="28" t="str">
        <x:v>матрица определяется содержанием воды, жира, белка, сахара и полифенолов</x:v>
      </x:c>
      <x:c r="H126" s="28" t="str">
        <x:v>профиль необходимо проверять после рабочей обработки и при температуре подачи</x:v>
      </x:c>
      <x:c r="I126" s="28" t="n">
        <x:v>1</x:v>
      </x:c>
    </x:row>
    <x:row r="127" ht="50" customHeight="1">
      <x:c r="A127" s="28" t="str">
        <x:v>багет</x:v>
      </x:c>
      <x:c r="B127" s="28" t="str">
        <x:v>Прочее</x:v>
      </x:c>
      <x:c r="C127" s="28" t="str">
        <x:v>профиль зависит от конкретного продукта</x:v>
      </x:c>
      <x:c r="D127" s="28" t="str">
        <x:v>специфический профиль не детализирован</x:v>
      </x:c>
      <x:c r="E127" s="28" t="str">
        <x:v>вкусовой баланс зависит от сорта, обработки и рецептуры</x:v>
      </x:c>
      <x:c r="F127" s="28" t="str">
        <x:v>обычно минимальный; острые специи и алкоголь могут давать выраженный тройничный эффект</x:v>
      </x:c>
      <x:c r="G127" s="28" t="str">
        <x:v>матрица определяется содержанием воды, жира, белка, сахара и полифенолов</x:v>
      </x:c>
      <x:c r="H127" s="28" t="str">
        <x:v>профиль необходимо проверять после рабочей обработки и при температуре подачи</x:v>
      </x:c>
      <x:c r="I127" s="28" t="n">
        <x:v>1</x:v>
      </x:c>
    </x:row>
    <x:row r="128" ht="50" customHeight="1">
      <x:c r="A128" s="28" t="str">
        <x:v>бадьян</x:v>
      </x:c>
      <x:c r="B128" s="28" t="str">
        <x:v>Прочее</x:v>
      </x:c>
      <x:c r="C128" s="28" t="str">
        <x:v>профиль зависит от конкретного продукта</x:v>
      </x:c>
      <x:c r="D128" s="28" t="str">
        <x:v>специфический профиль не детализирован</x:v>
      </x:c>
      <x:c r="E128" s="28" t="str">
        <x:v>вкусовой баланс зависит от сорта, обработки и рецептуры</x:v>
      </x:c>
      <x:c r="F128" s="28" t="str">
        <x:v>обычно минимальный; острые специи и алкоголь могут давать выраженный тройничный эффект</x:v>
      </x:c>
      <x:c r="G128" s="28" t="str">
        <x:v>матрица определяется содержанием воды, жира, белка, сахара и полифенолов</x:v>
      </x:c>
      <x:c r="H128" s="28" t="str">
        <x:v>профиль необходимо проверять после рабочей обработки и при температуре подачи</x:v>
      </x:c>
      <x:c r="I128" s="28" t="n">
        <x:v>3</x:v>
      </x:c>
    </x:row>
    <x:row r="129" ht="50" customHeight="1">
      <x:c r="A129" s="28" t="str">
        <x:v>базилик</x:v>
      </x:c>
      <x:c r="B129" s="28" t="str">
        <x:v>Травы, цветы и листья</x:v>
      </x:c>
      <x:c r="C129" s="28" t="str">
        <x:v>зелёный, цветочный и терпеновый</x:v>
      </x:c>
      <x:c r="D129" s="28" t="str">
        <x:v>линалоол, терпены</x:v>
      </x:c>
      <x:c r="E129" s="28" t="str">
        <x:v>вкусовой баланс зависит от сорта, обработки и рецептуры</x:v>
      </x:c>
      <x:c r="F129" s="28" t="str">
        <x:v>обычно минимальный; острые специи и алкоголь могут давать выраженный тройничный эффект</x:v>
      </x:c>
      <x:c r="G129" s="28" t="str">
        <x:v>матрица определяется содержанием воды, жира, белка, сахара и полифенолов</x:v>
      </x:c>
      <x:c r="H129" s="28" t="str">
        <x:v>профиль необходимо проверять после рабочей обработки и при температуре подачи</x:v>
      </x:c>
      <x:c r="I129" s="28" t="n">
        <x:v>6</x:v>
      </x:c>
    </x:row>
    <x:row r="130" ht="50" customHeight="1">
      <x:c r="A130" s="28" t="str">
        <x:v>баклажан</x:v>
      </x:c>
      <x:c r="B130" s="28" t="str">
        <x:v>Овощи, бобовые и грибы</x:v>
      </x:c>
      <x:c r="C130" s="28" t="str">
        <x:v>зелёный, землистый или умами</x:v>
      </x:c>
      <x:c r="D130" s="28" t="str">
        <x:v>альдегиды, сернистые соединения</x:v>
      </x:c>
      <x:c r="E130" s="28" t="str">
        <x:v>вкусовой баланс зависит от сорта, обработки и рецептуры</x:v>
      </x:c>
      <x:c r="F130" s="28" t="str">
        <x:v>обычно минимальный; острые специи и алкоголь могут давать выраженный тройничный эффект</x:v>
      </x:c>
      <x:c r="G130" s="28" t="str">
        <x:v>матрица определяется содержанием воды, жира, белка, сахара и полифенолов</x:v>
      </x:c>
      <x:c r="H130" s="28" t="str">
        <x:v>профиль необходимо проверять после рабочей обработки и при температуре подачи</x:v>
      </x:c>
      <x:c r="I130" s="28" t="n">
        <x:v>1</x:v>
      </x:c>
    </x:row>
    <x:row r="131" ht="50" customHeight="1">
      <x:c r="A131" s="28" t="str">
        <x:v>банан</x:v>
      </x:c>
      <x:c r="B131" s="28" t="str">
        <x:v>Фрукты и ягоды</x:v>
      </x:c>
      <x:c r="C131" s="28" t="str">
        <x:v>сливочный, фруктовый</x:v>
      </x:c>
      <x:c r="D131" s="28" t="str">
        <x:v>изоамилацетат</x:v>
      </x:c>
      <x:c r="E131" s="28" t="str">
        <x:v>вкусовой баланс зависит от сорта, обработки и рецептуры</x:v>
      </x:c>
      <x:c r="F131" s="28" t="str">
        <x:v>обычно минимальный; острые специи и алкоголь могут давать выраженный тройничный эффект</x:v>
      </x:c>
      <x:c r="G131" s="28" t="str">
        <x:v>матрица определяется содержанием воды, жира, белка, сахара и полифенолов</x:v>
      </x:c>
      <x:c r="H131" s="28" t="str">
        <x:v>профиль необходимо проверять после рабочей обработки и при температуре подачи</x:v>
      </x:c>
      <x:c r="I131" s="28" t="n">
        <x:v>11</x:v>
      </x:c>
    </x:row>
    <x:row r="132" ht="50" customHeight="1">
      <x:c r="A132" s="28" t="str">
        <x:v>баранина</x:v>
      </x:c>
      <x:c r="B132" s="28" t="str">
        <x:v>Мясо и птица</x:v>
      </x:c>
      <x:c r="C132" s="28" t="str">
        <x:v>жареный, мясной и умами</x:v>
      </x:c>
      <x:c r="D132" s="28" t="str">
        <x:v>пиразины, сернистые соединения</x:v>
      </x:c>
      <x:c r="E132" s="28" t="str">
        <x:v>вкусовой баланс зависит от сорта, обработки и рецептуры</x:v>
      </x:c>
      <x:c r="F132" s="28" t="str">
        <x:v>обычно минимальный; острые специи и алкоголь могут давать выраженный тройничный эффект</x:v>
      </x:c>
      <x:c r="G132" s="28" t="str">
        <x:v>матрица определяется содержанием воды, жира, белка, сахара и полифенолов</x:v>
      </x:c>
      <x:c r="H132" s="28" t="str">
        <x:v>профиль необходимо проверять после рабочей обработки и при температуре подачи</x:v>
      </x:c>
      <x:c r="I132" s="28" t="n">
        <x:v>3</x:v>
      </x:c>
    </x:row>
    <x:row r="133" ht="50" customHeight="1">
      <x:c r="A133" s="28" t="str">
        <x:v>бекон</x:v>
      </x:c>
      <x:c r="B133" s="28" t="str">
        <x:v>Мясо и птица</x:v>
      </x:c>
      <x:c r="C133" s="28" t="str">
        <x:v>дымный, жареный, умами</x:v>
      </x:c>
      <x:c r="D133" s="28" t="str">
        <x:v>пиразины, фенолы</x:v>
      </x:c>
      <x:c r="E133" s="28" t="str">
        <x:v>вкусовой баланс зависит от сорта, обработки и рецептуры</x:v>
      </x:c>
      <x:c r="F133" s="28" t="str">
        <x:v>обычно минимальный; острые специи и алкоголь могут давать выраженный тройничный эффект</x:v>
      </x:c>
      <x:c r="G133" s="28" t="str">
        <x:v>матрица определяется содержанием воды, жира, белка, сахара и полифенолов</x:v>
      </x:c>
      <x:c r="H133" s="28" t="str">
        <x:v>профиль необходимо проверять после рабочей обработки и при температуре подачи</x:v>
      </x:c>
      <x:c r="I133" s="28" t="n">
        <x:v>1</x:v>
      </x:c>
    </x:row>
    <x:row r="134" ht="50" customHeight="1">
      <x:c r="A134" s="28" t="str">
        <x:v>белая рыба</x:v>
      </x:c>
      <x:c r="B134" s="28" t="str">
        <x:v>Рыба и морепродукты</x:v>
      </x:c>
      <x:c r="C134" s="28" t="str">
        <x:v>морской, солоноватый и умами</x:v>
      </x:c>
      <x:c r="D134" s="28" t="str">
        <x:v>альдегиды, амины</x:v>
      </x:c>
      <x:c r="E134" s="28" t="str">
        <x:v>вкусовой баланс зависит от сорта, обработки и рецептуры</x:v>
      </x:c>
      <x:c r="F134" s="28" t="str">
        <x:v>обычно минимальный; острые специи и алкоголь могут давать выраженный тройничный эффект</x:v>
      </x:c>
      <x:c r="G134" s="28" t="str">
        <x:v>матрица определяется содержанием воды, жира, белка, сахара и полифенолов</x:v>
      </x:c>
      <x:c r="H134" s="28" t="str">
        <x:v>профиль необходимо проверять после рабочей обработки и при температуре подачи</x:v>
      </x:c>
      <x:c r="I134" s="28" t="n">
        <x:v>1</x:v>
      </x:c>
    </x:row>
    <x:row r="135" ht="50" customHeight="1">
      <x:c r="A135" s="28" t="str">
        <x:v>белый шоколад</x:v>
      </x:c>
      <x:c r="B135" s="28" t="str">
        <x:v>Какао и шоколад</x:v>
      </x:c>
      <x:c r="C135" s="28" t="str">
        <x:v>сливочный, ванильный, карамельный и маслянистый без выраженного какаового жареного профиля</x:v>
      </x:c>
      <x:c r="D135" s="28" t="str">
        <x:v>ванилин, диацетил, лактоны, молочные альдегиды</x:v>
      </x:c>
      <x:c r="E135" s="28" t="str">
        <x:v>высокая сладость, жирность и низкая горечь</x:v>
      </x:c>
      <x:c r="F135" s="28" t="str">
        <x:v>минимальный</x:v>
      </x:c>
      <x:c r="G135" s="28" t="str">
        <x:v>какао-масло, сахар и молочные компоненты; сильный липофильный носитель</x:v>
      </x:c>
      <x:c r="H135" s="28" t="str">
        <x:v>мягкое плавление сохраняет молочные ноты; длительный нагрев ведёт к карамелизации и профилю блонд-шоколада</x:v>
      </x:c>
      <x:c r="I135" s="28" t="n">
        <x:v>28</x:v>
      </x:c>
    </x:row>
    <x:row r="136" ht="50" customHeight="1">
      <x:c r="A136" s="28" t="str">
        <x:v>бергамот</x:v>
      </x:c>
      <x:c r="B136" s="28" t="str">
        <x:v>Прочее</x:v>
      </x:c>
      <x:c r="C136" s="28" t="str">
        <x:v>цветочный, цитрусовый</x:v>
      </x:c>
      <x:c r="D136" s="28" t="str">
        <x:v>лимонен, линалил ацетат, линалоол</x:v>
      </x:c>
      <x:c r="E136" s="28" t="str">
        <x:v>вкусовой баланс зависит от сорта, обработки и рецептуры</x:v>
      </x:c>
      <x:c r="F136" s="28" t="str">
        <x:v>обычно минимальный; острые специи и алкоголь могут давать выраженный тройничный эффект</x:v>
      </x:c>
      <x:c r="G136" s="28" t="str">
        <x:v>матрица определяется содержанием воды, жира, белка, сахара и полифенолов</x:v>
      </x:c>
      <x:c r="H136" s="28" t="str">
        <x:v>профиль необходимо проверять после рабочей обработки и при температуре подачи</x:v>
      </x:c>
      <x:c r="I136" s="28" t="n">
        <x:v>1</x:v>
      </x:c>
    </x:row>
    <x:row r="137" ht="50" customHeight="1">
      <x:c r="A137" s="28" t="str">
        <x:v>бразильский орех</x:v>
      </x:c>
      <x:c r="B137" s="28" t="str">
        <x:v>Орехи и семена</x:v>
      </x:c>
      <x:c r="C137" s="28" t="str">
        <x:v>маслянистый, древесный, землистый и мягко-ореховый</x:v>
      </x:c>
      <x:c r="D137" s="28" t="str">
        <x:v>альдегиды, пиразины, сернистые следы</x:v>
      </x:c>
      <x:c r="E137" s="28" t="str">
        <x:v>жирный, слегка землистый и сладковатый</x:v>
      </x:c>
      <x:c r="F137" s="28" t="str">
        <x:v>минимальный</x:v>
      </x:c>
      <x:c r="G137" s="28" t="str">
        <x:v>богатая жиром и белком матрица</x:v>
      </x:c>
      <x:c r="H137" s="28" t="str">
        <x:v>обжарка усиливает жареные и сернистые оттенки</x:v>
      </x:c>
      <x:c r="I137" s="28" t="n">
        <x:v>1</x:v>
      </x:c>
    </x:row>
    <x:row r="138" ht="50" customHeight="1">
      <x:c r="A138" s="28" t="str">
        <x:v>брокколи</x:v>
      </x:c>
      <x:c r="B138" s="28" t="str">
        <x:v>Прочее</x:v>
      </x:c>
      <x:c r="C138" s="28" t="str">
        <x:v>профиль зависит от конкретного продукта</x:v>
      </x:c>
      <x:c r="D138" s="28" t="str">
        <x:v>специфический профиль не детализирован</x:v>
      </x:c>
      <x:c r="E138" s="28" t="str">
        <x:v>вкусовой баланс зависит от сорта, обработки и рецептуры</x:v>
      </x:c>
      <x:c r="F138" s="28" t="str">
        <x:v>обычно минимальный; острые специи и алкоголь могут давать выраженный тройничный эффект</x:v>
      </x:c>
      <x:c r="G138" s="28" t="str">
        <x:v>матрица определяется содержанием воды, жира, белка, сахара и полифенолов</x:v>
      </x:c>
      <x:c r="H138" s="28" t="str">
        <x:v>профиль необходимо проверять после рабочей обработки и при температуре подачи</x:v>
      </x:c>
      <x:c r="I138" s="28" t="n">
        <x:v>3</x:v>
      </x:c>
    </x:row>
    <x:row r="139" ht="50" customHeight="1">
      <x:c r="A139" s="28" t="str">
        <x:v>ваниль</x:v>
      </x:c>
      <x:c r="B139" s="28" t="str">
        <x:v>Специи</x:v>
      </x:c>
      <x:c r="C139" s="28" t="str">
        <x:v>ванильный, цветочный</x:v>
      </x:c>
      <x:c r="D139" s="28" t="str">
        <x:v>ванилин</x:v>
      </x:c>
      <x:c r="E139" s="28" t="str">
        <x:v>вкусовой баланс зависит от сорта, обработки и рецептуры</x:v>
      </x:c>
      <x:c r="F139" s="28" t="str">
        <x:v>обычно минимальный; острые специи и алкоголь могут давать выраженный тройничный эффект</x:v>
      </x:c>
      <x:c r="G139" s="28" t="str">
        <x:v>матрица определяется содержанием воды, жира, белка, сахара и полифенолов</x:v>
      </x:c>
      <x:c r="H139" s="28" t="str">
        <x:v>профиль необходимо проверять после рабочей обработки и при температуре подачи</x:v>
      </x:c>
      <x:c r="I139" s="28" t="n">
        <x:v>9</x:v>
      </x:c>
    </x:row>
    <x:row r="140" ht="50" customHeight="1">
      <x:c r="A140" s="28" t="str">
        <x:v>васаби</x:v>
      </x:c>
      <x:c r="B140" s="28" t="str">
        <x:v>Прочее</x:v>
      </x:c>
      <x:c r="C140" s="28" t="str">
        <x:v>профиль зависит от конкретного продукта</x:v>
      </x:c>
      <x:c r="D140" s="28" t="str">
        <x:v>специфический профиль не детализирован</x:v>
      </x:c>
      <x:c r="E140" s="28" t="str">
        <x:v>вкусовой баланс зависит от сорта, обработки и рецептуры</x:v>
      </x:c>
      <x:c r="F140" s="28" t="str">
        <x:v>обычно минимальный; острые специи и алкоголь могут давать выраженный тройничный эффект</x:v>
      </x:c>
      <x:c r="G140" s="28" t="str">
        <x:v>матрица определяется содержанием воды, жира, белка, сахара и полифенолов</x:v>
      </x:c>
      <x:c r="H140" s="28" t="str">
        <x:v>профиль необходимо проверять после рабочей обработки и при температуре подачи</x:v>
      </x:c>
      <x:c r="I140" s="28" t="n">
        <x:v>1</x:v>
      </x:c>
    </x:row>
    <x:row r="141" ht="50" customHeight="1">
      <x:c r="A141" s="28" t="str">
        <x:v>виноград</x:v>
      </x:c>
      <x:c r="B141" s="28" t="str">
        <x:v>Алкогольные напитки</x:v>
      </x:c>
      <x:c r="C141" s="28" t="str">
        <x:v>спиртовой, фруктовый или древесный</x:v>
      </x:c>
      <x:c r="D141" s="28" t="str">
        <x:v>альдегиды, эфиры</x:v>
      </x:c>
      <x:c r="E141" s="28" t="str">
        <x:v>вкусовой баланс зависит от сорта, обработки и рецептуры</x:v>
      </x:c>
      <x:c r="F141" s="28" t="str">
        <x:v>обычно минимальный; острые специи и алкоголь могут давать выраженный тройничный эффект</x:v>
      </x:c>
      <x:c r="G141" s="28" t="str">
        <x:v>матрица определяется содержанием воды, жира, белка, сахара и полифенолов</x:v>
      </x:c>
      <x:c r="H141" s="28" t="str">
        <x:v>профиль необходимо проверять после рабочей обработки и при температуре подачи</x:v>
      </x:c>
      <x:c r="I141" s="28" t="n">
        <x:v>4</x:v>
      </x:c>
    </x:row>
    <x:row r="142" ht="50" customHeight="1">
      <x:c r="A142" s="28" t="str">
        <x:v>вишня</x:v>
      </x:c>
      <x:c r="B142" s="28" t="str">
        <x:v>Фрукты и ягоды</x:v>
      </x:c>
      <x:c r="C142" s="28" t="str">
        <x:v>миндальный, фруктовый</x:v>
      </x:c>
      <x:c r="D142" s="28" t="str">
        <x:v>бензальдегид, эфиры</x:v>
      </x:c>
      <x:c r="E142" s="28" t="str">
        <x:v>вкусовой баланс зависит от сорта, обработки и рецептуры</x:v>
      </x:c>
      <x:c r="F142" s="28" t="str">
        <x:v>обычно минимальный; острые специи и алкоголь могут давать выраженный тройничный эффект</x:v>
      </x:c>
      <x:c r="G142" s="28" t="str">
        <x:v>матрица определяется содержанием воды, жира, белка, сахара и полифенолов</x:v>
      </x:c>
      <x:c r="H142" s="28" t="str">
        <x:v>профиль необходимо проверять после рабочей обработки и при температуре подачи</x:v>
      </x:c>
      <x:c r="I142" s="28" t="n">
        <x:v>7</x:v>
      </x:c>
    </x:row>
    <x:row r="143" ht="50" customHeight="1">
      <x:c r="A143" s="28" t="str">
        <x:v>водоросли</x:v>
      </x:c>
      <x:c r="B143" s="28" t="str">
        <x:v>Прочее</x:v>
      </x:c>
      <x:c r="C143" s="28" t="str">
        <x:v>профиль зависит от конкретного продукта</x:v>
      </x:c>
      <x:c r="D143" s="28" t="str">
        <x:v>специфический профиль не детализирован</x:v>
      </x:c>
      <x:c r="E143" s="28" t="str">
        <x:v>вкусовой баланс зависит от сорта, обработки и рецептуры</x:v>
      </x:c>
      <x:c r="F143" s="28" t="str">
        <x:v>обычно минимальный; острые специи и алкоголь могут давать выраженный тройничный эффект</x:v>
      </x:c>
      <x:c r="G143" s="28" t="str">
        <x:v>матрица определяется содержанием воды, жира, белка, сахара и полифенолов</x:v>
      </x:c>
      <x:c r="H143" s="28" t="str">
        <x:v>профиль необходимо проверять после рабочей обработки и при температуре подачи</x:v>
      </x:c>
      <x:c r="I143" s="28" t="n">
        <x:v>1</x:v>
      </x:c>
    </x:row>
    <x:row r="144" ht="50" customHeight="1">
      <x:c r="A144" s="28" t="str">
        <x:v>водяной кресс</x:v>
      </x:c>
      <x:c r="B144" s="28" t="str">
        <x:v>Прочее</x:v>
      </x:c>
      <x:c r="C144" s="28" t="str">
        <x:v>профиль зависит от конкретного продукта</x:v>
      </x:c>
      <x:c r="D144" s="28" t="str">
        <x:v>специфический профиль не детализирован</x:v>
      </x:c>
      <x:c r="E144" s="28" t="str">
        <x:v>вкусовой баланс зависит от сорта, обработки и рецептуры</x:v>
      </x:c>
      <x:c r="F144" s="28" t="str">
        <x:v>обычно минимальный; острые специи и алкоголь могут давать выраженный тройничный эффект</x:v>
      </x:c>
      <x:c r="G144" s="28" t="str">
        <x:v>матрица определяется содержанием воды, жира, белка, сахара и полифенолов</x:v>
      </x:c>
      <x:c r="H144" s="28" t="str">
        <x:v>профиль необходимо проверять после рабочей обработки и при температуре подачи</x:v>
      </x:c>
      <x:c r="I144" s="28" t="n">
        <x:v>1</x:v>
      </x:c>
    </x:row>
    <x:row r="145" ht="50" customHeight="1">
      <x:c r="A145" s="28" t="str">
        <x:v>гвоздика</x:v>
      </x:c>
      <x:c r="B145" s="28" t="str">
        <x:v>Специи</x:v>
      </x:c>
      <x:c r="C145" s="28" t="str">
        <x:v>древесный, пряный, фенольный</x:v>
      </x:c>
      <x:c r="D145" s="28" t="str">
        <x:v>эвгенол</x:v>
      </x:c>
      <x:c r="E145" s="28" t="str">
        <x:v>вкусовой баланс зависит от сорта, обработки и рецептуры</x:v>
      </x:c>
      <x:c r="F145" s="28" t="str">
        <x:v>обычно минимальный; острые специи и алкоголь могут давать выраженный тройничный эффект</x:v>
      </x:c>
      <x:c r="G145" s="28" t="str">
        <x:v>матрица определяется содержанием воды, жира, белка, сахара и полифенолов</x:v>
      </x:c>
      <x:c r="H145" s="28" t="str">
        <x:v>профиль необходимо проверять после рабочей обработки и при температуре подачи</x:v>
      </x:c>
      <x:c r="I145" s="28" t="n">
        <x:v>4</x:v>
      </x:c>
    </x:row>
    <x:row r="146" ht="50" customHeight="1">
      <x:c r="A146" s="28" t="str">
        <x:v>говядина</x:v>
      </x:c>
      <x:c r="B146" s="28" t="str">
        <x:v>Мясо и птица</x:v>
      </x:c>
      <x:c r="C146" s="28" t="str">
        <x:v>жареный, мясной и умами</x:v>
      </x:c>
      <x:c r="D146" s="28" t="str">
        <x:v>пиразины, сернистые соединения</x:v>
      </x:c>
      <x:c r="E146" s="28" t="str">
        <x:v>вкусовой баланс зависит от сорта, обработки и рецептуры</x:v>
      </x:c>
      <x:c r="F146" s="28" t="str">
        <x:v>обычно минимальный; острые специи и алкоголь могут давать выраженный тройничный эффект</x:v>
      </x:c>
      <x:c r="G146" s="28" t="str">
        <x:v>матрица определяется содержанием воды, жира, белка, сахара и полифенолов</x:v>
      </x:c>
      <x:c r="H146" s="28" t="str">
        <x:v>профиль необходимо проверять после рабочей обработки и при температуре подачи</x:v>
      </x:c>
      <x:c r="I146" s="28" t="n">
        <x:v>3</x:v>
      </x:c>
    </x:row>
    <x:row r="147" ht="50" customHeight="1">
      <x:c r="A147" s="28" t="str">
        <x:v>голубика</x:v>
      </x:c>
      <x:c r="B147" s="28" t="str">
        <x:v>Прочее</x:v>
      </x:c>
      <x:c r="C147" s="28" t="str">
        <x:v>профиль зависит от конкретного продукта</x:v>
      </x:c>
      <x:c r="D147" s="28" t="str">
        <x:v>специфический профиль не детализирован</x:v>
      </x:c>
      <x:c r="E147" s="28" t="str">
        <x:v>вкусовой баланс зависит от сорта, обработки и рецептуры</x:v>
      </x:c>
      <x:c r="F147" s="28" t="str">
        <x:v>обычно минимальный; острые специи и алкоголь могут давать выраженный тройничный эффект</x:v>
      </x:c>
      <x:c r="G147" s="28" t="str">
        <x:v>матрица определяется содержанием воды, жира, белка, сахара и полифенолов</x:v>
      </x:c>
      <x:c r="H147" s="28" t="str">
        <x:v>профиль необходимо проверять после рабочей обработки и при температуре подачи</x:v>
      </x:c>
      <x:c r="I147" s="28" t="n">
        <x:v>4</x:v>
      </x:c>
    </x:row>
    <x:row r="148" ht="50" customHeight="1">
      <x:c r="A148" s="28" t="str">
        <x:v>голубой сыр</x:v>
      </x:c>
      <x:c r="B148" s="28" t="str">
        <x:v>Молочные продукты и сыры</x:v>
      </x:c>
      <x:c r="C148" s="28" t="str">
        <x:v>молочный, умами, ферментированный</x:v>
      </x:c>
      <x:c r="D148" s="28" t="str">
        <x:v>диацетил, жирные кислоты</x:v>
      </x:c>
      <x:c r="E148" s="28" t="str">
        <x:v>вкусовой баланс зависит от сорта, обработки и рецептуры</x:v>
      </x:c>
      <x:c r="F148" s="28" t="str">
        <x:v>обычно минимальный; острые специи и алкоголь могут давать выраженный тройничный эффект</x:v>
      </x:c>
      <x:c r="G148" s="28" t="str">
        <x:v>матрица определяется содержанием воды, жира, белка, сахара и полифенолов</x:v>
      </x:c>
      <x:c r="H148" s="28" t="str">
        <x:v>профиль необходимо проверять после рабочей обработки и при температуре подачи</x:v>
      </x:c>
      <x:c r="I148" s="28" t="n">
        <x:v>1</x:v>
      </x:c>
    </x:row>
    <x:row r="149" ht="50" customHeight="1">
      <x:c r="A149" s="28" t="str">
        <x:v>грана падано</x:v>
      </x:c>
      <x:c r="B149" s="28" t="str">
        <x:v>Прочее</x:v>
      </x:c>
      <x:c r="C149" s="28" t="str">
        <x:v>профиль зависит от конкретного продукта</x:v>
      </x:c>
      <x:c r="D149" s="28" t="str">
        <x:v>специфический профиль не детализирован</x:v>
      </x:c>
      <x:c r="E149" s="28" t="str">
        <x:v>вкусовой баланс зависит от сорта, обработки и рецептуры</x:v>
      </x:c>
      <x:c r="F149" s="28" t="str">
        <x:v>обычно минимальный; острые специи и алкоголь могут давать выраженный тройничный эффект</x:v>
      </x:c>
      <x:c r="G149" s="28" t="str">
        <x:v>матрица определяется содержанием воды, жира, белка, сахара и полифенолов</x:v>
      </x:c>
      <x:c r="H149" s="28" t="str">
        <x:v>профиль необходимо проверять после рабочей обработки и при температуре подачи</x:v>
      </x:c>
      <x:c r="I149" s="28" t="n">
        <x:v>1</x:v>
      </x:c>
    </x:row>
    <x:row r="150" ht="50" customHeight="1">
      <x:c r="A150" s="28" t="str">
        <x:v>гранат</x:v>
      </x:c>
      <x:c r="B150" s="28" t="str">
        <x:v>Прочее</x:v>
      </x:c>
      <x:c r="C150" s="28" t="str">
        <x:v>профиль зависит от конкретного продукта</x:v>
      </x:c>
      <x:c r="D150" s="28" t="str">
        <x:v>специфический профиль не детализирован</x:v>
      </x:c>
      <x:c r="E150" s="28" t="str">
        <x:v>вкусовой баланс зависит от сорта, обработки и рецептуры</x:v>
      </x:c>
      <x:c r="F150" s="28" t="str">
        <x:v>обычно минимальный; острые специи и алкоголь могут давать выраженный тройничный эффект</x:v>
      </x:c>
      <x:c r="G150" s="28" t="str">
        <x:v>матрица определяется содержанием воды, жира, белка, сахара и полифенолов</x:v>
      </x:c>
      <x:c r="H150" s="28" t="str">
        <x:v>профиль необходимо проверять после рабочей обработки и при температуре подачи</x:v>
      </x:c>
      <x:c r="I150" s="28" t="n">
        <x:v>1</x:v>
      </x:c>
    </x:row>
    <x:row r="151" ht="50" customHeight="1">
      <x:c r="A151" s="28" t="str">
        <x:v>гранатовый сок</x:v>
      </x:c>
      <x:c r="B151" s="28" t="str">
        <x:v>Прочее</x:v>
      </x:c>
      <x:c r="C151" s="28" t="str">
        <x:v>профиль зависит от конкретного продукта</x:v>
      </x:c>
      <x:c r="D151" s="28" t="str">
        <x:v>специфический профиль не детализирован</x:v>
      </x:c>
      <x:c r="E151" s="28" t="str">
        <x:v>вкусовой баланс зависит от сорта, обработки и рецептуры</x:v>
      </x:c>
      <x:c r="F151" s="28" t="str">
        <x:v>обычно минимальный; острые специи и алкоголь могут давать выраженный тройничный эффект</x:v>
      </x:c>
      <x:c r="G151" s="28" t="str">
        <x:v>матрица определяется содержанием воды, жира, белка, сахара и полифенолов</x:v>
      </x:c>
      <x:c r="H151" s="28" t="str">
        <x:v>профиль необходимо проверять после рабочей обработки и при температуре подачи</x:v>
      </x:c>
      <x:c r="I151" s="28" t="n">
        <x:v>1</x:v>
      </x:c>
    </x:row>
    <x:row r="152" ht="50" customHeight="1">
      <x:c r="A152" s="28" t="str">
        <x:v>грейпфрут</x:v>
      </x:c>
      <x:c r="B152" s="28" t="str">
        <x:v>Фрукты и ягоды</x:v>
      </x:c>
      <x:c r="C152" s="28" t="str">
        <x:v>фруктовый, цветочный и свежий</x:v>
      </x:c>
      <x:c r="D152" s="28" t="str">
        <x:v>альдегиды, эфиры</x:v>
      </x:c>
      <x:c r="E152" s="28" t="str">
        <x:v>вкусовой баланс зависит от сорта, обработки и рецептуры</x:v>
      </x:c>
      <x:c r="F152" s="28" t="str">
        <x:v>обычно минимальный; острые специи и алкоголь могут давать выраженный тройничный эффект</x:v>
      </x:c>
      <x:c r="G152" s="28" t="str">
        <x:v>матрица определяется содержанием воды, жира, белка, сахара и полифенолов</x:v>
      </x:c>
      <x:c r="H152" s="28" t="str">
        <x:v>профиль необходимо проверять после рабочей обработки и при температуре подачи</x:v>
      </x:c>
      <x:c r="I152" s="28" t="n">
        <x:v>2</x:v>
      </x:c>
    </x:row>
    <x:row r="153" ht="50" customHeight="1">
      <x:c r="A153" s="28" t="str">
        <x:v>грецкий орех</x:v>
      </x:c>
      <x:c r="B153" s="28" t="str">
        <x:v>Орехи и семена</x:v>
      </x:c>
      <x:c r="C153" s="28" t="str">
        <x:v>ореховый, древесный, землистый, слегка горький и маслянистый</x:v>
      </x:c>
      <x:c r="D153" s="28" t="str">
        <x:v>гексаналь, лактоны, пентаналь, пиразины</x:v>
      </x:c>
      <x:c r="E153" s="28" t="str">
        <x:v>жирность, умеренная горечь и терпкость кожицы</x:v>
      </x:c>
      <x:c r="F153" s="28" t="str">
        <x:v>минимальный</x:v>
      </x:c>
      <x:c r="G153" s="28" t="str">
        <x:v>богатая полиненасыщенными жирами матрица, особенно склонная к окислению</x:v>
      </x:c>
      <x:c r="H153" s="28" t="str">
        <x:v>лёгкая обжарка округляет вкус; измельчение и тепло резко ускоряют прогоркание</x:v>
      </x:c>
      <x:c r="I153" s="28" t="n">
        <x:v>55</x:v>
      </x:c>
    </x:row>
    <x:row r="154" ht="50" customHeight="1">
      <x:c r="A154" s="28" t="str">
        <x:v>грибы</x:v>
      </x:c>
      <x:c r="B154" s="28" t="str">
        <x:v>Овощи, бобовые и грибы</x:v>
      </x:c>
      <x:c r="C154" s="28" t="str">
        <x:v>зелёный, землистый или умами</x:v>
      </x:c>
      <x:c r="D154" s="28" t="str">
        <x:v>альдегиды, сернистые соединения</x:v>
      </x:c>
      <x:c r="E154" s="28" t="str">
        <x:v>вкусовой баланс зависит от сорта, обработки и рецептуры</x:v>
      </x:c>
      <x:c r="F154" s="28" t="str">
        <x:v>обычно минимальный; острые специи и алкоголь могут давать выраженный тройничный эффект</x:v>
      </x:c>
      <x:c r="G154" s="28" t="str">
        <x:v>матрица определяется содержанием воды, жира, белка, сахара и полифенолов</x:v>
      </x:c>
      <x:c r="H154" s="28" t="str">
        <x:v>профиль необходимо проверять после рабочей обработки и при температуре подачи</x:v>
      </x:c>
      <x:c r="I154" s="28" t="n">
        <x:v>2</x:v>
      </x:c>
    </x:row>
    <x:row r="155" ht="50" customHeight="1">
      <x:c r="A155" s="28" t="str">
        <x:v>груша</x:v>
      </x:c>
      <x:c r="B155" s="28" t="str">
        <x:v>Фрукты и ягоды</x:v>
      </x:c>
      <x:c r="C155" s="28" t="str">
        <x:v>фруктовый, цветочный и свежий</x:v>
      </x:c>
      <x:c r="D155" s="28" t="str">
        <x:v>альдегиды, эфиры</x:v>
      </x:c>
      <x:c r="E155" s="28" t="str">
        <x:v>вкусовой баланс зависит от сорта, обработки и рецептуры</x:v>
      </x:c>
      <x:c r="F155" s="28" t="str">
        <x:v>обычно минимальный; острые специи и алкоголь могут давать выраженный тройничный эффект</x:v>
      </x:c>
      <x:c r="G155" s="28" t="str">
        <x:v>матрица определяется содержанием воды, жира, белка, сахара и полифенолов</x:v>
      </x:c>
      <x:c r="H155" s="28" t="str">
        <x:v>профиль необходимо проверять после рабочей обработки и при температуре подачи</x:v>
      </x:c>
      <x:c r="I155" s="28" t="n">
        <x:v>11</x:v>
      </x:c>
    </x:row>
    <x:row r="156" ht="50" customHeight="1">
      <x:c r="A156" s="28" t="str">
        <x:v>груши</x:v>
      </x:c>
      <x:c r="B156" s="28" t="str">
        <x:v>Фрукты и ягоды</x:v>
      </x:c>
      <x:c r="C156" s="28" t="str">
        <x:v>фруктовый, цветочный и свежий</x:v>
      </x:c>
      <x:c r="D156" s="28" t="str">
        <x:v>альдегиды, эфиры</x:v>
      </x:c>
      <x:c r="E156" s="28" t="str">
        <x:v>вкусовой баланс зависит от сорта, обработки и рецептуры</x:v>
      </x:c>
      <x:c r="F156" s="28" t="str">
        <x:v>обычно минимальный; острые специи и алкоголь могут давать выраженный тройничный эффект</x:v>
      </x:c>
      <x:c r="G156" s="28" t="str">
        <x:v>матрица определяется содержанием воды, жира, белка, сахара и полифенолов</x:v>
      </x:c>
      <x:c r="H156" s="28" t="str">
        <x:v>профиль необходимо проверять после рабочей обработки и при температуре подачи</x:v>
      </x:c>
      <x:c r="I156" s="28" t="n">
        <x:v>1</x:v>
      </x:c>
    </x:row>
    <x:row r="157" ht="50" customHeight="1">
      <x:c r="A157" s="28" t="str">
        <x:v>джекфрут</x:v>
      </x:c>
      <x:c r="B157" s="28" t="str">
        <x:v>Прочее</x:v>
      </x:c>
      <x:c r="C157" s="28" t="str">
        <x:v>профиль зависит от конкретного продукта</x:v>
      </x:c>
      <x:c r="D157" s="28" t="str">
        <x:v>специфический профиль не детализирован</x:v>
      </x:c>
      <x:c r="E157" s="28" t="str">
        <x:v>вкусовой баланс зависит от сорта, обработки и рецептуры</x:v>
      </x:c>
      <x:c r="F157" s="28" t="str">
        <x:v>обычно минимальный; острые специи и алкоголь могут давать выраженный тройничный эффект</x:v>
      </x:c>
      <x:c r="G157" s="28" t="str">
        <x:v>матрица определяется содержанием воды, жира, белка, сахара и полифенолов</x:v>
      </x:c>
      <x:c r="H157" s="28" t="str">
        <x:v>профиль необходимо проверять после рабочей обработки и при температуре подачи</x:v>
      </x:c>
      <x:c r="I157" s="28" t="n">
        <x:v>1</x:v>
      </x:c>
    </x:row>
    <x:row r="158" ht="50" customHeight="1">
      <x:c r="A158" s="28" t="str">
        <x:v>дорадо</x:v>
      </x:c>
      <x:c r="B158" s="28" t="str">
        <x:v>Прочее</x:v>
      </x:c>
      <x:c r="C158" s="28" t="str">
        <x:v>профиль зависит от конкретного продукта</x:v>
      </x:c>
      <x:c r="D158" s="28" t="str">
        <x:v>специфический профиль не детализирован</x:v>
      </x:c>
      <x:c r="E158" s="28" t="str">
        <x:v>вкусовой баланс зависит от сорта, обработки и рецептуры</x:v>
      </x:c>
      <x:c r="F158" s="28" t="str">
        <x:v>обычно минимальный; острые специи и алкоголь могут давать выраженный тройничный эффект</x:v>
      </x:c>
      <x:c r="G158" s="28" t="str">
        <x:v>матрица определяется содержанием воды, жира, белка, сахара и полифенолов</x:v>
      </x:c>
      <x:c r="H158" s="28" t="str">
        <x:v>профиль необходимо проверять после рабочей обработки и при температуре подачи</x:v>
      </x:c>
      <x:c r="I158" s="28" t="n">
        <x:v>1</x:v>
      </x:c>
    </x:row>
    <x:row r="159" ht="50" customHeight="1">
      <x:c r="A159" s="28" t="str">
        <x:v>древовидная полынь</x:v>
      </x:c>
      <x:c r="B159" s="28" t="str">
        <x:v>Прочее</x:v>
      </x:c>
      <x:c r="C159" s="28" t="str">
        <x:v>профиль зависит от конкретного продукта</x:v>
      </x:c>
      <x:c r="D159" s="28" t="str">
        <x:v>специфический профиль не детализирован</x:v>
      </x:c>
      <x:c r="E159" s="28" t="str">
        <x:v>вкусовой баланс зависит от сорта, обработки и рецептуры</x:v>
      </x:c>
      <x:c r="F159" s="28" t="str">
        <x:v>обычно минимальный; острые специи и алкоголь могут давать выраженный тройничный эффект</x:v>
      </x:c>
      <x:c r="G159" s="28" t="str">
        <x:v>матрица определяется содержанием воды, жира, белка, сахара и полифенолов</x:v>
      </x:c>
      <x:c r="H159" s="28" t="str">
        <x:v>профиль необходимо проверять после рабочей обработки и при температуре подачи</x:v>
      </x:c>
      <x:c r="I159" s="28" t="n">
        <x:v>1</x:v>
      </x:c>
    </x:row>
    <x:row r="160" ht="50" customHeight="1">
      <x:c r="A160" s="28" t="str">
        <x:v>дыня</x:v>
      </x:c>
      <x:c r="B160" s="28" t="str">
        <x:v>Фрукты и ягоды</x:v>
      </x:c>
      <x:c r="C160" s="28" t="str">
        <x:v>фруктовый, цветочный и свежий</x:v>
      </x:c>
      <x:c r="D160" s="28" t="str">
        <x:v>альдегиды, эфиры</x:v>
      </x:c>
      <x:c r="E160" s="28" t="str">
        <x:v>вкусовой баланс зависит от сорта, обработки и рецептуры</x:v>
      </x:c>
      <x:c r="F160" s="28" t="str">
        <x:v>обычно минимальный; острые специи и алкоголь могут давать выраженный тройничный эффект</x:v>
      </x:c>
      <x:c r="G160" s="28" t="str">
        <x:v>матрица определяется содержанием воды, жира, белка, сахара и полифенолов</x:v>
      </x:c>
      <x:c r="H160" s="28" t="str">
        <x:v>профиль необходимо проверять после рабочей обработки и при температуре подачи</x:v>
      </x:c>
      <x:c r="I160" s="28" t="n">
        <x:v>1</x:v>
      </x:c>
    </x:row>
    <x:row r="161" ht="50" customHeight="1">
      <x:c r="A161" s="28" t="str">
        <x:v>ежевика</x:v>
      </x:c>
      <x:c r="B161" s="28" t="str">
        <x:v>Прочее</x:v>
      </x:c>
      <x:c r="C161" s="28" t="str">
        <x:v>профиль зависит от конкретного продукта</x:v>
      </x:c>
      <x:c r="D161" s="28" t="str">
        <x:v>специфический профиль не детализирован</x:v>
      </x:c>
      <x:c r="E161" s="28" t="str">
        <x:v>вкусовой баланс зависит от сорта, обработки и рецептуры</x:v>
      </x:c>
      <x:c r="F161" s="28" t="str">
        <x:v>обычно минимальный; острые специи и алкоголь могут давать выраженный тройничный эффект</x:v>
      </x:c>
      <x:c r="G161" s="28" t="str">
        <x:v>матрица определяется содержанием воды, жира, белка, сахара и полифенолов</x:v>
      </x:c>
      <x:c r="H161" s="28" t="str">
        <x:v>профиль необходимо проверять после рабочей обработки и при температуре подачи</x:v>
      </x:c>
      <x:c r="I161" s="28" t="n">
        <x:v>4</x:v>
      </x:c>
    </x:row>
    <x:row r="162" ht="50" customHeight="1">
      <x:c r="A162" s="28" t="str">
        <x:v>жасмин</x:v>
      </x:c>
      <x:c r="B162" s="28" t="str">
        <x:v>Травы, цветы и листья</x:v>
      </x:c>
      <x:c r="C162" s="28" t="str">
        <x:v>животный, цветочный</x:v>
      </x:c>
      <x:c r="D162" s="28" t="str">
        <x:v>бензилацетат, индол, линалоол</x:v>
      </x:c>
      <x:c r="E162" s="28" t="str">
        <x:v>вкусовой баланс зависит от сорта, обработки и рецептуры</x:v>
      </x:c>
      <x:c r="F162" s="28" t="str">
        <x:v>обычно минимальный; острые специи и алкоголь могут давать выраженный тройничный эффект</x:v>
      </x:c>
      <x:c r="G162" s="28" t="str">
        <x:v>матрица определяется содержанием воды, жира, белка, сахара и полифенолов</x:v>
      </x:c>
      <x:c r="H162" s="28" t="str">
        <x:v>профиль необходимо проверять после рабочей обработки и при температуре подачи</x:v>
      </x:c>
      <x:c r="I162" s="28" t="n">
        <x:v>2</x:v>
      </x:c>
    </x:row>
    <x:row r="163" ht="50" customHeight="1">
      <x:c r="A163" s="28" t="str">
        <x:v>жирная рыба</x:v>
      </x:c>
      <x:c r="B163" s="28" t="str">
        <x:v>Рыба и морепродукты</x:v>
      </x:c>
      <x:c r="C163" s="28" t="str">
        <x:v>морской, солоноватый и умами</x:v>
      </x:c>
      <x:c r="D163" s="28" t="str">
        <x:v>альдегиды, амины</x:v>
      </x:c>
      <x:c r="E163" s="28" t="str">
        <x:v>вкусовой баланс зависит от сорта, обработки и рецептуры</x:v>
      </x:c>
      <x:c r="F163" s="28" t="str">
        <x:v>обычно минимальный; острые специи и алкоголь могут давать выраженный тройничный эффект</x:v>
      </x:c>
      <x:c r="G163" s="28" t="str">
        <x:v>матрица определяется содержанием воды, жира, белка, сахара и полифенолов</x:v>
      </x:c>
      <x:c r="H163" s="28" t="str">
        <x:v>профиль необходимо проверять после рабочей обработки и при температуре подачи</x:v>
      </x:c>
      <x:c r="I163" s="28" t="n">
        <x:v>1</x:v>
      </x:c>
    </x:row>
    <x:row r="164" ht="50" customHeight="1">
      <x:c r="A164" s="28" t="str">
        <x:v>запечённая морская камбала</x:v>
      </x:c>
      <x:c r="B164" s="28" t="str">
        <x:v>Прочее</x:v>
      </x:c>
      <x:c r="C164" s="28" t="str">
        <x:v>профиль зависит от конкретного продукта</x:v>
      </x:c>
      <x:c r="D164" s="28" t="str">
        <x:v>специфический профиль не детализирован</x:v>
      </x:c>
      <x:c r="E164" s="28" t="str">
        <x:v>вкусовой баланс зависит от сорта, обработки и рецептуры</x:v>
      </x:c>
      <x:c r="F164" s="28" t="str">
        <x:v>обычно минимальный; острые специи и алкоголь могут давать выраженный тройничный эффект</x:v>
      </x:c>
      <x:c r="G164" s="28" t="str">
        <x:v>матрица определяется содержанием воды, жира, белка, сахара и полифенолов</x:v>
      </x:c>
      <x:c r="H164" s="28" t="str">
        <x:v>профиль необходимо проверять после рабочей обработки и при температуре подачи</x:v>
      </x:c>
      <x:c r="I164" s="28" t="n">
        <x:v>1</x:v>
      </x:c>
    </x:row>
    <x:row r="165" ht="50" customHeight="1">
      <x:c r="A165" s="28" t="str">
        <x:v>запечённая свёкла</x:v>
      </x:c>
      <x:c r="B165" s="28" t="str">
        <x:v>Овощи, бобовые и грибы</x:v>
      </x:c>
      <x:c r="C165" s="28" t="str">
        <x:v>землистый, сладкий</x:v>
      </x:c>
      <x:c r="D165" s="28" t="str">
        <x:v>геосмин</x:v>
      </x:c>
      <x:c r="E165" s="28" t="str">
        <x:v>вкусовой баланс зависит от сорта, обработки и рецептуры</x:v>
      </x:c>
      <x:c r="F165" s="28" t="str">
        <x:v>обычно минимальный; острые специи и алкоголь могут давать выраженный тройничный эффект</x:v>
      </x:c>
      <x:c r="G165" s="28" t="str">
        <x:v>матрица определяется содержанием воды, жира, белка, сахара и полифенолов</x:v>
      </x:c>
      <x:c r="H165" s="28" t="str">
        <x:v>профиль необходимо проверять после рабочей обработки и при температуре подачи</x:v>
      </x:c>
      <x:c r="I165" s="28" t="n">
        <x:v>1</x:v>
      </x:c>
    </x:row>
    <x:row r="166" ht="50" customHeight="1">
      <x:c r="A166" s="28" t="str">
        <x:v>зелёная спаржа</x:v>
      </x:c>
      <x:c r="B166" s="28" t="str">
        <x:v>Овощи, бобовые и грибы</x:v>
      </x:c>
      <x:c r="C166" s="28" t="str">
        <x:v>зелёный, землистый или умами</x:v>
      </x:c>
      <x:c r="D166" s="28" t="str">
        <x:v>альдегиды, сернистые соединения</x:v>
      </x:c>
      <x:c r="E166" s="28" t="str">
        <x:v>вкусовой баланс зависит от сорта, обработки и рецептуры</x:v>
      </x:c>
      <x:c r="F166" s="28" t="str">
        <x:v>обычно минимальный; острые специи и алкоголь могут давать выраженный тройничный эффект</x:v>
      </x:c>
      <x:c r="G166" s="28" t="str">
        <x:v>матрица определяется содержанием воды, жира, белка, сахара и полифенолов</x:v>
      </x:c>
      <x:c r="H166" s="28" t="str">
        <x:v>профиль необходимо проверять после рабочей обработки и при температуре подачи</x:v>
      </x:c>
      <x:c r="I166" s="28" t="n">
        <x:v>1</x:v>
      </x:c>
    </x:row>
    <x:row r="167" ht="50" customHeight="1">
      <x:c r="A167" s="28" t="str">
        <x:v>зелёная фасоль</x:v>
      </x:c>
      <x:c r="B167" s="28" t="str">
        <x:v>Овощи, бобовые и грибы</x:v>
      </x:c>
      <x:c r="C167" s="28" t="str">
        <x:v>зелёный, землистый или умами</x:v>
      </x:c>
      <x:c r="D167" s="28" t="str">
        <x:v>альдегиды, сернистые соединения</x:v>
      </x:c>
      <x:c r="E167" s="28" t="str">
        <x:v>вкусовой баланс зависит от сорта, обработки и рецептуры</x:v>
      </x:c>
      <x:c r="F167" s="28" t="str">
        <x:v>обычно минимальный; острые специи и алкоголь могут давать выраженный тройничный эффект</x:v>
      </x:c>
      <x:c r="G167" s="28" t="str">
        <x:v>матрица определяется содержанием воды, жира, белка, сахара и полифенолов</x:v>
      </x:c>
      <x:c r="H167" s="28" t="str">
        <x:v>профиль необходимо проверять после рабочей обработки и при температуре подачи</x:v>
      </x:c>
      <x:c r="I167" s="28" t="n">
        <x:v>1</x:v>
      </x:c>
    </x:row>
    <x:row r="168" ht="50" customHeight="1">
      <x:c r="A168" s="28" t="str">
        <x:v>зелёный чай</x:v>
      </x:c>
      <x:c r="B168" s="28" t="str">
        <x:v>Чай</x:v>
      </x:c>
      <x:c r="C168" s="28" t="str">
        <x:v>зелёный, морской, травянистый, цветочный и слегка жареный; у матча — умами</x:v>
      </x:c>
      <x:c r="D168" s="28" t="str">
        <x:v>гексаналь, индол, катехины, линалоол, цис-3-гексенол</x:v>
      </x:c>
      <x:c r="E168" s="28" t="str">
        <x:v>умами, горечь, терпкость и свежая зелёность</x:v>
      </x:c>
      <x:c r="F168" s="28" t="str">
        <x:v>сухость и лёгкая горечь</x:v>
      </x:c>
      <x:c r="G168" s="28" t="str">
        <x:v>водный настой или суспензия цельного порошка матча; полифенолы и аминокислоты</x:v>
      </x:c>
      <x:c r="H168" s="28" t="str">
        <x:v>слишком горячая вода усиливает горечь и разрушает свежие ноты; обжаренные сорта дают ореховый профиль</x:v>
      </x:c>
      <x:c r="I168" s="28" t="n">
        <x:v>18</x:v>
      </x:c>
    </x:row>
    <x:row r="169" ht="50" customHeight="1">
      <x:c r="A169" s="28" t="str">
        <x:v>изюм</x:v>
      </x:c>
      <x:c r="B169" s="28" t="str">
        <x:v>Прочее</x:v>
      </x:c>
      <x:c r="C169" s="28" t="str">
        <x:v>профиль зависит от конкретного продукта</x:v>
      </x:c>
      <x:c r="D169" s="28" t="str">
        <x:v>специфический профиль не детализирован</x:v>
      </x:c>
      <x:c r="E169" s="28" t="str">
        <x:v>вкусовой баланс зависит от сорта, обработки и рецептуры</x:v>
      </x:c>
      <x:c r="F169" s="28" t="str">
        <x:v>обычно минимальный; острые специи и алкоголь могут давать выраженный тройничный эффект</x:v>
      </x:c>
      <x:c r="G169" s="28" t="str">
        <x:v>матрица определяется содержанием воды, жира, белка, сахара и полифенолов</x:v>
      </x:c>
      <x:c r="H169" s="28" t="str">
        <x:v>профиль необходимо проверять после рабочей обработки и при температуре подачи</x:v>
      </x:c>
      <x:c r="I169" s="28" t="n">
        <x:v>2</x:v>
      </x:c>
    </x:row>
    <x:row r="170" ht="50" customHeight="1">
      <x:c r="A170" s="28" t="str">
        <x:v>имбирь</x:v>
      </x:c>
      <x:c r="B170" s="28" t="str">
        <x:v>Специи</x:v>
      </x:c>
      <x:c r="C170" s="28" t="str">
        <x:v>пряный, тёплый, цитрусовый</x:v>
      </x:c>
      <x:c r="D170" s="28" t="str">
        <x:v>гингеролы, цитраль</x:v>
      </x:c>
      <x:c r="E170" s="28" t="str">
        <x:v>вкусовой баланс зависит от сорта, обработки и рецептуры</x:v>
      </x:c>
      <x:c r="F170" s="28" t="str">
        <x:v>обычно минимальный; острые специи и алкоголь могут давать выраженный тройничный эффект</x:v>
      </x:c>
      <x:c r="G170" s="28" t="str">
        <x:v>матрица определяется содержанием воды, жира, белка, сахара и полифенолов</x:v>
      </x:c>
      <x:c r="H170" s="28" t="str">
        <x:v>профиль необходимо проверять после рабочей обработки и при температуре подачи</x:v>
      </x:c>
      <x:c r="I170" s="28" t="n">
        <x:v>8</x:v>
      </x:c>
    </x:row>
    <x:row r="171" ht="50" customHeight="1">
      <x:c r="A171" s="28" t="str">
        <x:v>инжир</x:v>
      </x:c>
      <x:c r="B171" s="28" t="str">
        <x:v>Фрукты и ягоды</x:v>
      </x:c>
      <x:c r="C171" s="28" t="str">
        <x:v>фруктовый, цветочный и свежий</x:v>
      </x:c>
      <x:c r="D171" s="28" t="str">
        <x:v>альдегиды, эфиры</x:v>
      </x:c>
      <x:c r="E171" s="28" t="str">
        <x:v>вкусовой баланс зависит от сорта, обработки и рецептуры</x:v>
      </x:c>
      <x:c r="F171" s="28" t="str">
        <x:v>обычно минимальный; острые специи и алкоголь могут давать выраженный тройничный эффект</x:v>
      </x:c>
      <x:c r="G171" s="28" t="str">
        <x:v>матрица определяется содержанием воды, жира, белка, сахара и полифенолов</x:v>
      </x:c>
      <x:c r="H171" s="28" t="str">
        <x:v>профиль необходимо проверять после рабочей обработки и при температуре подачи</x:v>
      </x:c>
      <x:c r="I171" s="28" t="n">
        <x:v>7</x:v>
      </x:c>
    </x:row>
    <x:row r="172" ht="50" customHeight="1">
      <x:c r="A172" s="28" t="str">
        <x:v>испанский чоризо</x:v>
      </x:c>
      <x:c r="B172" s="28" t="str">
        <x:v>Прочее</x:v>
      </x:c>
      <x:c r="C172" s="28" t="str">
        <x:v>профиль зависит от конкретного продукта</x:v>
      </x:c>
      <x:c r="D172" s="28" t="str">
        <x:v>специфический профиль не детализирован</x:v>
      </x:c>
      <x:c r="E172" s="28" t="str">
        <x:v>вкусовой баланс зависит от сорта, обработки и рецептуры</x:v>
      </x:c>
      <x:c r="F172" s="28" t="str">
        <x:v>обычно минимальный; острые специи и алкоголь могут давать выраженный тройничный эффект</x:v>
      </x:c>
      <x:c r="G172" s="28" t="str">
        <x:v>матрица определяется содержанием воды, жира, белка, сахара и полифенолов</x:v>
      </x:c>
      <x:c r="H172" s="28" t="str">
        <x:v>профиль необходимо проверять после рабочей обработки и при температуре подачи</x:v>
      </x:c>
      <x:c r="I172" s="28" t="n">
        <x:v>1</x:v>
      </x:c>
    </x:row>
    <x:row r="173" ht="50" customHeight="1">
      <x:c r="A173" s="28" t="str">
        <x:v>кабачок</x:v>
      </x:c>
      <x:c r="B173" s="28" t="str">
        <x:v>Овощи, бобовые и грибы</x:v>
      </x:c>
      <x:c r="C173" s="28" t="str">
        <x:v>зелёный, землистый или умами</x:v>
      </x:c>
      <x:c r="D173" s="28" t="str">
        <x:v>альдегиды, сернистые соединения</x:v>
      </x:c>
      <x:c r="E173" s="28" t="str">
        <x:v>вкусовой баланс зависит от сорта, обработки и рецептуры</x:v>
      </x:c>
      <x:c r="F173" s="28" t="str">
        <x:v>обычно минимальный; острые специи и алкоголь могут давать выраженный тройничный эффект</x:v>
      </x:c>
      <x:c r="G173" s="28" t="str">
        <x:v>матрица определяется содержанием воды, жира, белка, сахара и полифенолов</x:v>
      </x:c>
      <x:c r="H173" s="28" t="str">
        <x:v>профиль необходимо проверять после рабочей обработки и при температуре подачи</x:v>
      </x:c>
      <x:c r="I173" s="28" t="n">
        <x:v>2</x:v>
      </x:c>
    </x:row>
    <x:row r="174" ht="50" customHeight="1">
      <x:c r="A174" s="28" t="str">
        <x:v>кайенский перец</x:v>
      </x:c>
      <x:c r="B174" s="28" t="str">
        <x:v>Специи</x:v>
      </x:c>
      <x:c r="C174" s="28" t="str">
        <x:v>пряный и древесный</x:v>
      </x:c>
      <x:c r="D174" s="28" t="str">
        <x:v>терпены, фенилпропаноиды</x:v>
      </x:c>
      <x:c r="E174" s="28" t="str">
        <x:v>вкусовой баланс зависит от сорта, обработки и рецептуры</x:v>
      </x:c>
      <x:c r="F174" s="28" t="str">
        <x:v>обычно минимальный; острые специи и алкоголь могут давать выраженный тройничный эффект</x:v>
      </x:c>
      <x:c r="G174" s="28" t="str">
        <x:v>матрица определяется содержанием воды, жира, белка, сахара и полифенолов</x:v>
      </x:c>
      <x:c r="H174" s="28" t="str">
        <x:v>профиль необходимо проверять после рабочей обработки и при температуре подачи</x:v>
      </x:c>
      <x:c r="I174" s="28" t="n">
        <x:v>1</x:v>
      </x:c>
    </x:row>
    <x:row r="175" ht="50" customHeight="1">
      <x:c r="A175" s="28" t="str">
        <x:v>капуста</x:v>
      </x:c>
      <x:c r="B175" s="28" t="str">
        <x:v>Овощи, бобовые и грибы</x:v>
      </x:c>
      <x:c r="C175" s="28" t="str">
        <x:v>зелёный, землистый или умами</x:v>
      </x:c>
      <x:c r="D175" s="28" t="str">
        <x:v>альдегиды, сернистые соединения</x:v>
      </x:c>
      <x:c r="E175" s="28" t="str">
        <x:v>вкусовой баланс зависит от сорта, обработки и рецептуры</x:v>
      </x:c>
      <x:c r="F175" s="28" t="str">
        <x:v>обычно минимальный; острые специи и алкоголь могут давать выраженный тройничный эффект</x:v>
      </x:c>
      <x:c r="G175" s="28" t="str">
        <x:v>матрица определяется содержанием воды, жира, белка, сахара и полифенолов</x:v>
      </x:c>
      <x:c r="H175" s="28" t="str">
        <x:v>профиль необходимо проверять после рабочей обработки и при температуре подачи</x:v>
      </x:c>
      <x:c r="I175" s="28" t="n">
        <x:v>1</x:v>
      </x:c>
    </x:row>
    <x:row r="176" ht="50" customHeight="1">
      <x:c r="A176" s="28" t="str">
        <x:v>карамбола</x:v>
      </x:c>
      <x:c r="B176" s="28" t="str">
        <x:v>Прочее</x:v>
      </x:c>
      <x:c r="C176" s="28" t="str">
        <x:v>профиль зависит от конкретного продукта</x:v>
      </x:c>
      <x:c r="D176" s="28" t="str">
        <x:v>специфический профиль не детализирован</x:v>
      </x:c>
      <x:c r="E176" s="28" t="str">
        <x:v>вкусовой баланс зависит от сорта, обработки и рецептуры</x:v>
      </x:c>
      <x:c r="F176" s="28" t="str">
        <x:v>обычно минимальный; острые специи и алкоголь могут давать выраженный тройничный эффект</x:v>
      </x:c>
      <x:c r="G176" s="28" t="str">
        <x:v>матрица определяется содержанием воды, жира, белка, сахара и полифенолов</x:v>
      </x:c>
      <x:c r="H176" s="28" t="str">
        <x:v>профиль необходимо проверять после рабочей обработки и при температуре подачи</x:v>
      </x:c>
      <x:c r="I176" s="28" t="n">
        <x:v>1</x:v>
      </x:c>
    </x:row>
    <x:row r="177" ht="50" customHeight="1">
      <x:c r="A177" s="28" t="str">
        <x:v>карамель</x:v>
      </x:c>
      <x:c r="B177" s="28" t="str">
        <x:v>Выпечка, сахара и десерты</x:v>
      </x:c>
      <x:c r="C177" s="28" t="str">
        <x:v>жареный, карамельный</x:v>
      </x:c>
      <x:c r="D177" s="28" t="str">
        <x:v>мальтол, фураны</x:v>
      </x:c>
      <x:c r="E177" s="28" t="str">
        <x:v>вкусовой баланс зависит от сорта, обработки и рецептуры</x:v>
      </x:c>
      <x:c r="F177" s="28" t="str">
        <x:v>обычно минимальный; острые специи и алкоголь могут давать выраженный тройничный эффект</x:v>
      </x:c>
      <x:c r="G177" s="28" t="str">
        <x:v>матрица определяется содержанием воды, жира, белка, сахара и полифенолов</x:v>
      </x:c>
      <x:c r="H177" s="28" t="str">
        <x:v>профиль необходимо проверять после рабочей обработки и при температуре подачи</x:v>
      </x:c>
      <x:c r="I177" s="28" t="n">
        <x:v>5</x:v>
      </x:c>
    </x:row>
    <x:row r="178" ht="50" customHeight="1">
      <x:c r="A178" s="28" t="str">
        <x:v>кардамон</x:v>
      </x:c>
      <x:c r="B178" s="28" t="str">
        <x:v>Специи</x:v>
      </x:c>
      <x:c r="C178" s="28" t="str">
        <x:v>камфорный, цветочный, цитрусовый</x:v>
      </x:c>
      <x:c r="D178" s="28" t="str">
        <x:v>1,8-цинеол, линалоол</x:v>
      </x:c>
      <x:c r="E178" s="28" t="str">
        <x:v>вкусовой баланс зависит от сорта, обработки и рецептуры</x:v>
      </x:c>
      <x:c r="F178" s="28" t="str">
        <x:v>обычно минимальный; острые специи и алкоголь могут давать выраженный тройничный эффект</x:v>
      </x:c>
      <x:c r="G178" s="28" t="str">
        <x:v>матрица определяется содержанием воды, жира, белка, сахара и полифенолов</x:v>
      </x:c>
      <x:c r="H178" s="28" t="str">
        <x:v>профиль необходимо проверять после рабочей обработки и при температуре подачи</x:v>
      </x:c>
      <x:c r="I178" s="28" t="n">
        <x:v>10</x:v>
      </x:c>
    </x:row>
    <x:row r="179" ht="50" customHeight="1">
      <x:c r="A179" s="28" t="str">
        <x:v>картофель</x:v>
      </x:c>
      <x:c r="B179" s="28" t="str">
        <x:v>Овощи, бобовые и грибы</x:v>
      </x:c>
      <x:c r="C179" s="28" t="str">
        <x:v>зелёный, землистый или умами</x:v>
      </x:c>
      <x:c r="D179" s="28" t="str">
        <x:v>альдегиды, сернистые соединения</x:v>
      </x:c>
      <x:c r="E179" s="28" t="str">
        <x:v>вкусовой баланс зависит от сорта, обработки и рецептуры</x:v>
      </x:c>
      <x:c r="F179" s="28" t="str">
        <x:v>обычно минимальный; острые специи и алкоголь могут давать выраженный тройничный эффект</x:v>
      </x:c>
      <x:c r="G179" s="28" t="str">
        <x:v>матрица определяется содержанием воды, жира, белка, сахара и полифенолов</x:v>
      </x:c>
      <x:c r="H179" s="28" t="str">
        <x:v>профиль необходимо проверять после рабочей обработки и при температуре подачи</x:v>
      </x:c>
      <x:c r="I179" s="28" t="n">
        <x:v>1</x:v>
      </x:c>
    </x:row>
    <x:row r="180" ht="50" customHeight="1">
      <x:c r="A180" s="28" t="str">
        <x:v>картофель фри</x:v>
      </x:c>
      <x:c r="B180" s="28" t="str">
        <x:v>Овощи, бобовые и грибы</x:v>
      </x:c>
      <x:c r="C180" s="28" t="str">
        <x:v>зелёный, землистый или умами</x:v>
      </x:c>
      <x:c r="D180" s="28" t="str">
        <x:v>альдегиды, сернистые соединения</x:v>
      </x:c>
      <x:c r="E180" s="28" t="str">
        <x:v>вкусовой баланс зависит от сорта, обработки и рецептуры</x:v>
      </x:c>
      <x:c r="F180" s="28" t="str">
        <x:v>обычно минимальный; острые специи и алкоголь могут давать выраженный тройничный эффект</x:v>
      </x:c>
      <x:c r="G180" s="28" t="str">
        <x:v>матрица определяется содержанием воды, жира, белка, сахара и полифенолов</x:v>
      </x:c>
      <x:c r="H180" s="28" t="str">
        <x:v>профиль необходимо проверять после рабочей обработки и при температуре подачи</x:v>
      </x:c>
      <x:c r="I180" s="28" t="n">
        <x:v>4</x:v>
      </x:c>
    </x:row>
    <x:row r="181" ht="50" customHeight="1">
      <x:c r="A181" s="28" t="str">
        <x:v>каштан</x:v>
      </x:c>
      <x:c r="B181" s="28" t="str">
        <x:v>Орехи и семена</x:v>
      </x:c>
      <x:c r="C181" s="28" t="str">
        <x:v>крахмалистый, сладкий, древесный, слегка какаовый и печёный</x:v>
      </x:c>
      <x:c r="D181" s="28" t="str">
        <x:v>альдегиды, мальтол, пиразины, фураны</x:v>
      </x:c>
      <x:c r="E181" s="28" t="str">
        <x:v>мягкая сладость и крахмалистость при низкой жирности</x:v>
      </x:c>
      <x:c r="F181" s="28" t="str">
        <x:v>минимальный</x:v>
      </x:c>
      <x:c r="G181" s="28" t="str">
        <x:v>крахмальная, сравнительно нежирная; после приготовления становится пюреобразной</x:v>
      </x:c>
      <x:c r="H181" s="28" t="str">
        <x:v>хранение и нагрев превращают крахмал в более сладкий профиль; запекание создаёт фураны и карамельные ноты</x:v>
      </x:c>
      <x:c r="I181" s="28" t="n">
        <x:v>29</x:v>
      </x:c>
    </x:row>
    <x:row r="182" ht="50" customHeight="1">
      <x:c r="A182" s="28" t="str">
        <x:v>кедровый орех</x:v>
      </x:c>
      <x:c r="B182" s="28" t="str">
        <x:v>Орехи и семена</x:v>
      </x:c>
      <x:c r="C182" s="28" t="str">
        <x:v>смолистый, сливочный, зелёный и ореховый</x:v>
      </x:c>
      <x:c r="D182" s="28" t="str">
        <x:v>альдегиды, пинены, пиразины</x:v>
      </x:c>
      <x:c r="E182" s="28" t="str">
        <x:v>жирный, сладковатый и слегка смолистый</x:v>
      </x:c>
      <x:c r="F182" s="28" t="str">
        <x:v>минимальный</x:v>
      </x:c>
      <x:c r="G182" s="28" t="str">
        <x:v>жирная нежная матрица; быстро окисляется после очистки</x:v>
      </x:c>
      <x:c r="H182" s="28" t="str">
        <x:v>лёгкая обжарка усиливает ореховость, но быстро переходит в горечь</x:v>
      </x:c>
      <x:c r="I182" s="28" t="n">
        <x:v>13</x:v>
      </x:c>
    </x:row>
    <x:row r="183" ht="50" customHeight="1">
      <x:c r="A183" s="28" t="str">
        <x:v>кейл</x:v>
      </x:c>
      <x:c r="B183" s="28" t="str">
        <x:v>Прочее</x:v>
      </x:c>
      <x:c r="C183" s="28" t="str">
        <x:v>профиль зависит от конкретного продукта</x:v>
      </x:c>
      <x:c r="D183" s="28" t="str">
        <x:v>специфический профиль не детализирован</x:v>
      </x:c>
      <x:c r="E183" s="28" t="str">
        <x:v>вкусовой баланс зависит от сорта, обработки и рецептуры</x:v>
      </x:c>
      <x:c r="F183" s="28" t="str">
        <x:v>обычно минимальный; острые специи и алкоголь могут давать выраженный тройничный эффект</x:v>
      </x:c>
      <x:c r="G183" s="28" t="str">
        <x:v>матрица определяется содержанием воды, жира, белка, сахара и полифенолов</x:v>
      </x:c>
      <x:c r="H183" s="28" t="str">
        <x:v>профиль необходимо проверять после рабочей обработки и при температуре подачи</x:v>
      </x:c>
      <x:c r="I183" s="28" t="n">
        <x:v>1</x:v>
      </x:c>
    </x:row>
    <x:row r="184" ht="50" customHeight="1">
      <x:c r="A184" s="28" t="str">
        <x:v>кешью</x:v>
      </x:c>
      <x:c r="B184" s="28" t="str">
        <x:v>Орехи и семена</x:v>
      </x:c>
      <x:c r="C184" s="28" t="str">
        <x:v>сливочный, мягко-ореховый, сладковатый и жареный</x:v>
      </x:c>
      <x:c r="D184" s="28" t="str">
        <x:v>альдегиды, лактоны, пиразины, фураны</x:v>
      </x:c>
      <x:c r="E184" s="28" t="str">
        <x:v>высокая жирность, мягкая сладость и слабая горечь</x:v>
      </x:c>
      <x:c r="F184" s="28" t="str">
        <x:v>минимальный</x:v>
      </x:c>
      <x:c r="G184" s="28" t="str">
        <x:v>кремовая жирно-белковая матрица; легко образует эмульсии и пасты</x:v>
      </x:c>
      <x:c r="H184" s="28" t="str">
        <x:v>обжарка усиливает жареные ноты; замачивание создаёт нейтральную кремовую базу</x:v>
      </x:c>
      <x:c r="I184" s="28" t="n">
        <x:v>20</x:v>
      </x:c>
    </x:row>
    <x:row r="185" ht="50" customHeight="1">
      <x:c r="A185" s="28" t="str">
        <x:v>киви</x:v>
      </x:c>
      <x:c r="B185" s="28" t="str">
        <x:v>Фрукты и ягоды</x:v>
      </x:c>
      <x:c r="C185" s="28" t="str">
        <x:v>фруктовый, цветочный и свежий</x:v>
      </x:c>
      <x:c r="D185" s="28" t="str">
        <x:v>альдегиды, эфиры</x:v>
      </x:c>
      <x:c r="E185" s="28" t="str">
        <x:v>вкусовой баланс зависит от сорта, обработки и рецептуры</x:v>
      </x:c>
      <x:c r="F185" s="28" t="str">
        <x:v>обычно минимальный; острые специи и алкоголь могут давать выраженный тройничный эффект</x:v>
      </x:c>
      <x:c r="G185" s="28" t="str">
        <x:v>матрица определяется содержанием воды, жира, белка, сахара и полифенолов</x:v>
      </x:c>
      <x:c r="H185" s="28" t="str">
        <x:v>профиль необходимо проверять после рабочей обработки и при температуре подачи</x:v>
      </x:c>
      <x:c r="I185" s="28" t="n">
        <x:v>3</x:v>
      </x:c>
    </x:row>
    <x:row r="186" ht="50" customHeight="1">
      <x:c r="A186" s="28" t="str">
        <x:v>кленовый сироп</x:v>
      </x:c>
      <x:c r="B186" s="28" t="str">
        <x:v>Выпечка, сахара и десерты</x:v>
      </x:c>
      <x:c r="C186" s="28" t="str">
        <x:v>сладкий, карамельный и жареный</x:v>
      </x:c>
      <x:c r="D186" s="28" t="str">
        <x:v>мальтол, пиразины, фураны</x:v>
      </x:c>
      <x:c r="E186" s="28" t="str">
        <x:v>вкусовой баланс зависит от сорта, обработки и рецептуры</x:v>
      </x:c>
      <x:c r="F186" s="28" t="str">
        <x:v>обычно минимальный; острые специи и алкоголь могут давать выраженный тройничный эффект</x:v>
      </x:c>
      <x:c r="G186" s="28" t="str">
        <x:v>матрица определяется содержанием воды, жира, белка, сахара и полифенолов</x:v>
      </x:c>
      <x:c r="H186" s="28" t="str">
        <x:v>профиль необходимо проверять после рабочей обработки и при температуре подачи</x:v>
      </x:c>
      <x:c r="I186" s="28" t="n">
        <x:v>8</x:v>
      </x:c>
    </x:row>
    <x:row r="187" ht="50" customHeight="1">
      <x:c r="A187" s="28" t="str">
        <x:v>клубника</x:v>
      </x:c>
      <x:c r="B187" s="28" t="str">
        <x:v>Прочее</x:v>
      </x:c>
      <x:c r="C187" s="28" t="str">
        <x:v>зелёный, карамельный, фруктовый</x:v>
      </x:c>
      <x:c r="D187" s="28" t="str">
        <x:v>фуранеол, эфиры</x:v>
      </x:c>
      <x:c r="E187" s="28" t="str">
        <x:v>вкусовой баланс зависит от сорта, обработки и рецептуры</x:v>
      </x:c>
      <x:c r="F187" s="28" t="str">
        <x:v>обычно минимальный; острые специи и алкоголь могут давать выраженный тройничный эффект</x:v>
      </x:c>
      <x:c r="G187" s="28" t="str">
        <x:v>матрица определяется содержанием воды, жира, белка, сахара и полифенолов</x:v>
      </x:c>
      <x:c r="H187" s="28" t="str">
        <x:v>профиль необходимо проверять после рабочей обработки и при температуре подачи</x:v>
      </x:c>
      <x:c r="I187" s="28" t="n">
        <x:v>8</x:v>
      </x:c>
    </x:row>
    <x:row r="188" ht="50" customHeight="1">
      <x:c r="A188" s="28" t="str">
        <x:v>клюква</x:v>
      </x:c>
      <x:c r="B188" s="28" t="str">
        <x:v>Прочее</x:v>
      </x:c>
      <x:c r="C188" s="28" t="str">
        <x:v>профиль зависит от конкретного продукта</x:v>
      </x:c>
      <x:c r="D188" s="28" t="str">
        <x:v>специфический профиль не детализирован</x:v>
      </x:c>
      <x:c r="E188" s="28" t="str">
        <x:v>вкусовой баланс зависит от сорта, обработки и рецептуры</x:v>
      </x:c>
      <x:c r="F188" s="28" t="str">
        <x:v>обычно минимальный; острые специи и алкоголь могут давать выраженный тройничный эффект</x:v>
      </x:c>
      <x:c r="G188" s="28" t="str">
        <x:v>матрица определяется содержанием воды, жира, белка, сахара и полифенолов</x:v>
      </x:c>
      <x:c r="H188" s="28" t="str">
        <x:v>профиль необходимо проверять после рабочей обработки и при температуре подачи</x:v>
      </x:c>
      <x:c r="I188" s="28" t="n">
        <x:v>6</x:v>
      </x:c>
    </x:row>
    <x:row r="189" ht="50" customHeight="1">
      <x:c r="A189" s="28" t="str">
        <x:v>козий сыр</x:v>
      </x:c>
      <x:c r="B189" s="28" t="str">
        <x:v>Молочные продукты и сыры</x:v>
      </x:c>
      <x:c r="C189" s="28" t="str">
        <x:v>молочный, умами, ферментированный</x:v>
      </x:c>
      <x:c r="D189" s="28" t="str">
        <x:v>диацетил, жирные кислоты</x:v>
      </x:c>
      <x:c r="E189" s="28" t="str">
        <x:v>вкусовой баланс зависит от сорта, обработки и рецептуры</x:v>
      </x:c>
      <x:c r="F189" s="28" t="str">
        <x:v>обычно минимальный; острые специи и алкоголь могут давать выраженный тройничный эффект</x:v>
      </x:c>
      <x:c r="G189" s="28" t="str">
        <x:v>матрица определяется содержанием воды, жира, белка, сахара и полифенолов</x:v>
      </x:c>
      <x:c r="H189" s="28" t="str">
        <x:v>профиль необходимо проверять после рабочей обработки и при температуре подачи</x:v>
      </x:c>
      <x:c r="I189" s="28" t="n">
        <x:v>3</x:v>
      </x:c>
    </x:row>
    <x:row r="190" ht="50" customHeight="1">
      <x:c r="A190" s="28" t="str">
        <x:v>кокос</x:v>
      </x:c>
      <x:c r="B190" s="28" t="str">
        <x:v>Прочее</x:v>
      </x:c>
      <x:c r="C190" s="28" t="str">
        <x:v>лактонный, сливочный</x:v>
      </x:c>
      <x:c r="D190" s="28" t="str">
        <x:v>лактоны</x:v>
      </x:c>
      <x:c r="E190" s="28" t="str">
        <x:v>вкусовой баланс зависит от сорта, обработки и рецептуры</x:v>
      </x:c>
      <x:c r="F190" s="28" t="str">
        <x:v>обычно минимальный; острые специи и алкоголь могут давать выраженный тройничный эффект</x:v>
      </x:c>
      <x:c r="G190" s="28" t="str">
        <x:v>матрица определяется содержанием воды, жира, белка, сахара и полифенолов</x:v>
      </x:c>
      <x:c r="H190" s="28" t="str">
        <x:v>профиль необходимо проверять после рабочей обработки и при температуре подачи</x:v>
      </x:c>
      <x:c r="I190" s="28" t="n">
        <x:v>6</x:v>
      </x:c>
    </x:row>
    <x:row r="191" ht="50" customHeight="1">
      <x:c r="A191" s="28" t="str">
        <x:v>кокосовая вода</x:v>
      </x:c>
      <x:c r="B191" s="28" t="str">
        <x:v>Прочее</x:v>
      </x:c>
      <x:c r="C191" s="28" t="str">
        <x:v>лактонный, сливочный</x:v>
      </x:c>
      <x:c r="D191" s="28" t="str">
        <x:v>лактоны</x:v>
      </x:c>
      <x:c r="E191" s="28" t="str">
        <x:v>вкусовой баланс зависит от сорта, обработки и рецептуры</x:v>
      </x:c>
      <x:c r="F191" s="28" t="str">
        <x:v>обычно минимальный; острые специи и алкоголь могут давать выраженный тройничный эффект</x:v>
      </x:c>
      <x:c r="G191" s="28" t="str">
        <x:v>матрица определяется содержанием воды, жира, белка, сахара и полифенолов</x:v>
      </x:c>
      <x:c r="H191" s="28" t="str">
        <x:v>профиль необходимо проверять после рабочей обработки и при температуре подачи</x:v>
      </x:c>
      <x:c r="I191" s="28" t="n">
        <x:v>2</x:v>
      </x:c>
    </x:row>
    <x:row r="192" ht="50" customHeight="1">
      <x:c r="A192" s="28" t="str">
        <x:v>кольраби</x:v>
      </x:c>
      <x:c r="B192" s="28" t="str">
        <x:v>Прочее</x:v>
      </x:c>
      <x:c r="C192" s="28" t="str">
        <x:v>профиль зависит от конкретного продукта</x:v>
      </x:c>
      <x:c r="D192" s="28" t="str">
        <x:v>специфический профиль не детализирован</x:v>
      </x:c>
      <x:c r="E192" s="28" t="str">
        <x:v>вкусовой баланс зависит от сорта, обработки и рецептуры</x:v>
      </x:c>
      <x:c r="F192" s="28" t="str">
        <x:v>обычно минимальный; острые специи и алкоголь могут давать выраженный тройничный эффект</x:v>
      </x:c>
      <x:c r="G192" s="28" t="str">
        <x:v>матрица определяется содержанием воды, жира, белка, сахара и полифенолов</x:v>
      </x:c>
      <x:c r="H192" s="28" t="str">
        <x:v>профиль необходимо проверять после рабочей обработки и при температуре подачи</x:v>
      </x:c>
      <x:c r="I192" s="28" t="n">
        <x:v>1</x:v>
      </x:c>
    </x:row>
    <x:row r="193" ht="50" customHeight="1">
      <x:c r="A193" s="28" t="str">
        <x:v>корица</x:v>
      </x:c>
      <x:c r="B193" s="28" t="str">
        <x:v>Специи</x:v>
      </x:c>
      <x:c r="C193" s="28" t="str">
        <x:v>древесный, пряный</x:v>
      </x:c>
      <x:c r="D193" s="28" t="str">
        <x:v>циннамальдегид, эвгенол</x:v>
      </x:c>
      <x:c r="E193" s="28" t="str">
        <x:v>вкусовой баланс зависит от сорта, обработки и рецептуры</x:v>
      </x:c>
      <x:c r="F193" s="28" t="str">
        <x:v>обычно минимальный; острые специи и алкоголь могут давать выраженный тройничный эффект</x:v>
      </x:c>
      <x:c r="G193" s="28" t="str">
        <x:v>матрица определяется содержанием воды, жира, белка, сахара и полифенолов</x:v>
      </x:c>
      <x:c r="H193" s="28" t="str">
        <x:v>профиль необходимо проверять после рабочей обработки и при температуре подачи</x:v>
      </x:c>
      <x:c r="I193" s="28" t="n">
        <x:v>6</x:v>
      </x:c>
    </x:row>
    <x:row r="194" ht="50" customHeight="1">
      <x:c r="A194" s="28" t="str">
        <x:v>корица и кассия</x:v>
      </x:c>
      <x:c r="B194" s="28" t="str">
        <x:v>Специи</x:v>
      </x:c>
      <x:c r="C194" s="28" t="str">
        <x:v>древесный, пряный</x:v>
      </x:c>
      <x:c r="D194" s="28" t="str">
        <x:v>циннамальдегид, эвгенол</x:v>
      </x:c>
      <x:c r="E194" s="28" t="str">
        <x:v>вкусовой баланс зависит от сорта, обработки и рецептуры</x:v>
      </x:c>
      <x:c r="F194" s="28" t="str">
        <x:v>обычно минимальный; острые специи и алкоголь могут давать выраженный тройничный эффект</x:v>
      </x:c>
      <x:c r="G194" s="28" t="str">
        <x:v>матрица определяется содержанием воды, жира, белка, сахара и полифенолов</x:v>
      </x:c>
      <x:c r="H194" s="28" t="str">
        <x:v>профиль необходимо проверять после рабочей обработки и при температуре подачи</x:v>
      </x:c>
      <x:c r="I194" s="28" t="n">
        <x:v>5</x:v>
      </x:c>
    </x:row>
    <x:row r="195" ht="50" customHeight="1">
      <x:c r="A195" s="28" t="str">
        <x:v>корневой кервель</x:v>
      </x:c>
      <x:c r="B195" s="28" t="str">
        <x:v>Прочее</x:v>
      </x:c>
      <x:c r="C195" s="28" t="str">
        <x:v>профиль зависит от конкретного продукта</x:v>
      </x:c>
      <x:c r="D195" s="28" t="str">
        <x:v>специфический профиль не детализирован</x:v>
      </x:c>
      <x:c r="E195" s="28" t="str">
        <x:v>вкусовой баланс зависит от сорта, обработки и рецептуры</x:v>
      </x:c>
      <x:c r="F195" s="28" t="str">
        <x:v>обычно минимальный; острые специи и алкоголь могут давать выраженный тройничный эффект</x:v>
      </x:c>
      <x:c r="G195" s="28" t="str">
        <x:v>матрица определяется содержанием воды, жира, белка, сахара и полифенолов</x:v>
      </x:c>
      <x:c r="H195" s="28" t="str">
        <x:v>профиль необходимо проверять после рабочей обработки и при температуре подачи</x:v>
      </x:c>
      <x:c r="I195" s="28" t="n">
        <x:v>1</x:v>
      </x:c>
    </x:row>
    <x:row r="196" ht="50" customHeight="1">
      <x:c r="A196" s="28" t="str">
        <x:v>кофе</x:v>
      </x:c>
      <x:c r="B196" s="28" t="str">
        <x:v>Кофе</x:v>
      </x:c>
      <x:c r="C196" s="28" t="str">
        <x:v>жареный, ореховый, карамельный, цветочный, фруктовый, фенольный и древесный</x:v>
      </x:c>
      <x:c r="D196" s="28" t="str">
        <x:v>2-фурфурилтиол, гваякол, диацетил, пиразины, фураны</x:v>
      </x:c>
      <x:c r="E196" s="28" t="str">
        <x:v>горечь, кислотность и умеренная сладость; тело зависит от метода заваривания</x:v>
      </x:c>
      <x:c r="F196" s="28" t="str">
        <x:v>сухость и горечь; кофеин не имеет сильного запаха, но влияет на вкус и физиологию</x:v>
      </x:c>
      <x:c r="G196" s="28" t="str">
        <x:v>водный напиток с растворёнными кислотами, меланоидинами и маслами; в зерне — пористая обжаренная матрица</x:v>
      </x:c>
      <x:c r="H196" s="28" t="str">
        <x:v>обжарка формирует сотни летучих соединений; слишком длительное заваривание извлекает горечь и вяжущие вещества</x:v>
      </x:c>
      <x:c r="I196" s="28" t="n">
        <x:v>102</x:v>
      </x:c>
    </x:row>
    <x:row r="197" ht="50" customHeight="1">
      <x:c r="A197" s="28" t="str">
        <x:v>красный апельсин</x:v>
      </x:c>
      <x:c r="B197" s="28" t="str">
        <x:v>Фрукты и ягоды</x:v>
      </x:c>
      <x:c r="C197" s="28" t="str">
        <x:v>сладкий, цитрусовый</x:v>
      </x:c>
      <x:c r="D197" s="28" t="str">
        <x:v>лимонен, линалоол</x:v>
      </x:c>
      <x:c r="E197" s="28" t="str">
        <x:v>вкусовой баланс зависит от сорта, обработки и рецептуры</x:v>
      </x:c>
      <x:c r="F197" s="28" t="str">
        <x:v>обычно минимальный; острые специи и алкоголь могут давать выраженный тройничный эффект</x:v>
      </x:c>
      <x:c r="G197" s="28" t="str">
        <x:v>матрица определяется содержанием воды, жира, белка, сахара и полифенолов</x:v>
      </x:c>
      <x:c r="H197" s="28" t="str">
        <x:v>профиль необходимо проверять после рабочей обработки и при температуре подачи</x:v>
      </x:c>
      <x:c r="I197" s="28" t="n">
        <x:v>2</x:v>
      </x:c>
    </x:row>
    <x:row r="198" ht="50" customHeight="1">
      <x:c r="A198" s="28" t="str">
        <x:v>крыжовник</x:v>
      </x:c>
      <x:c r="B198" s="28" t="str">
        <x:v>Прочее</x:v>
      </x:c>
      <x:c r="C198" s="28" t="str">
        <x:v>профиль зависит от конкретного продукта</x:v>
      </x:c>
      <x:c r="D198" s="28" t="str">
        <x:v>специфический профиль не детализирован</x:v>
      </x:c>
      <x:c r="E198" s="28" t="str">
        <x:v>вкусовой баланс зависит от сорта, обработки и рецептуры</x:v>
      </x:c>
      <x:c r="F198" s="28" t="str">
        <x:v>обычно минимальный; острые специи и алкоголь могут давать выраженный тройничный эффект</x:v>
      </x:c>
      <x:c r="G198" s="28" t="str">
        <x:v>матрица определяется содержанием воды, жира, белка, сахара и полифенолов</x:v>
      </x:c>
      <x:c r="H198" s="28" t="str">
        <x:v>профиль необходимо проверять после рабочей обработки и при температуре подачи</x:v>
      </x:c>
      <x:c r="I198" s="28" t="n">
        <x:v>1</x:v>
      </x:c>
    </x:row>
    <x:row r="199" ht="50" customHeight="1">
      <x:c r="A199" s="28" t="str">
        <x:v>кумин (зира)</x:v>
      </x:c>
      <x:c r="B199" s="28" t="str">
        <x:v>Прочее</x:v>
      </x:c>
      <x:c r="C199" s="28" t="str">
        <x:v>профиль зависит от конкретного продукта</x:v>
      </x:c>
      <x:c r="D199" s="28" t="str">
        <x:v>специфический профиль не детализирован</x:v>
      </x:c>
      <x:c r="E199" s="28" t="str">
        <x:v>вкусовой баланс зависит от сорта, обработки и рецептуры</x:v>
      </x:c>
      <x:c r="F199" s="28" t="str">
        <x:v>обычно минимальный; острые специи и алкоголь могут давать выраженный тройничный эффект</x:v>
      </x:c>
      <x:c r="G199" s="28" t="str">
        <x:v>матрица определяется содержанием воды, жира, белка, сахара и полифенолов</x:v>
      </x:c>
      <x:c r="H199" s="28" t="str">
        <x:v>профиль необходимо проверять после рабочей обработки и при температуре подачи</x:v>
      </x:c>
      <x:c r="I199" s="28" t="n">
        <x:v>1</x:v>
      </x:c>
    </x:row>
    <x:row r="200" ht="50" customHeight="1">
      <x:c r="A200" s="28" t="str">
        <x:v>кумкват</x:v>
      </x:c>
      <x:c r="B200" s="28" t="str">
        <x:v>Прочее</x:v>
      </x:c>
      <x:c r="C200" s="28" t="str">
        <x:v>профиль зависит от конкретного продукта</x:v>
      </x:c>
      <x:c r="D200" s="28" t="str">
        <x:v>специфический профиль не детализирован</x:v>
      </x:c>
      <x:c r="E200" s="28" t="str">
        <x:v>вкусовой баланс зависит от сорта, обработки и рецептуры</x:v>
      </x:c>
      <x:c r="F200" s="28" t="str">
        <x:v>обычно минимальный; острые специи и алкоголь могут давать выраженный тройничный эффект</x:v>
      </x:c>
      <x:c r="G200" s="28" t="str">
        <x:v>матрица определяется содержанием воды, жира, белка, сахара и полифенолов</x:v>
      </x:c>
      <x:c r="H200" s="28" t="str">
        <x:v>профиль необходимо проверять после рабочей обработки и при температуре подачи</x:v>
      </x:c>
      <x:c r="I200" s="28" t="n">
        <x:v>2</x:v>
      </x:c>
    </x:row>
    <x:row r="201" ht="50" customHeight="1">
      <x:c r="A201" s="28" t="str">
        <x:v>куркума</x:v>
      </x:c>
      <x:c r="B201" s="28" t="str">
        <x:v>Прочее</x:v>
      </x:c>
      <x:c r="C201" s="28" t="str">
        <x:v>профиль зависит от конкретного продукта</x:v>
      </x:c>
      <x:c r="D201" s="28" t="str">
        <x:v>специфический профиль не детализирован</x:v>
      </x:c>
      <x:c r="E201" s="28" t="str">
        <x:v>вкусовой баланс зависит от сорта, обработки и рецептуры</x:v>
      </x:c>
      <x:c r="F201" s="28" t="str">
        <x:v>обычно минимальный; острые специи и алкоголь могут давать выраженный тройничный эффект</x:v>
      </x:c>
      <x:c r="G201" s="28" t="str">
        <x:v>матрица определяется содержанием воды, жира, белка, сахара и полифенолов</x:v>
      </x:c>
      <x:c r="H201" s="28" t="str">
        <x:v>профиль необходимо проверять после рабочей обработки и при температуре подачи</x:v>
      </x:c>
      <x:c r="I201" s="28" t="n">
        <x:v>1</x:v>
      </x:c>
    </x:row>
    <x:row r="202" ht="50" customHeight="1">
      <x:c r="A202" s="28" t="str">
        <x:v>лавровый лист</x:v>
      </x:c>
      <x:c r="B202" s="28" t="str">
        <x:v>Прочее</x:v>
      </x:c>
      <x:c r="C202" s="28" t="str">
        <x:v>профиль зависит от конкретного продукта</x:v>
      </x:c>
      <x:c r="D202" s="28" t="str">
        <x:v>специфический профиль не детализирован</x:v>
      </x:c>
      <x:c r="E202" s="28" t="str">
        <x:v>вкусовой баланс зависит от сорта, обработки и рецептуры</x:v>
      </x:c>
      <x:c r="F202" s="28" t="str">
        <x:v>обычно минимальный; острые специи и алкоголь могут давать выраженный тройничный эффект</x:v>
      </x:c>
      <x:c r="G202" s="28" t="str">
        <x:v>матрица определяется содержанием воды, жира, белка, сахара и полифенолов</x:v>
      </x:c>
      <x:c r="H202" s="28" t="str">
        <x:v>профиль необходимо проверять после рабочей обработки и при температуре подачи</x:v>
      </x:c>
      <x:c r="I202" s="28" t="n">
        <x:v>1</x:v>
      </x:c>
    </x:row>
    <x:row r="203" ht="50" customHeight="1">
      <x:c r="A203" s="28" t="str">
        <x:v>лайм</x:v>
      </x:c>
      <x:c r="B203" s="28" t="str">
        <x:v>Фрукты и ягоды</x:v>
      </x:c>
      <x:c r="C203" s="28" t="str">
        <x:v>зелёный, цитрусовый</x:v>
      </x:c>
      <x:c r="D203" s="28" t="str">
        <x:v>лимонен, цитраль</x:v>
      </x:c>
      <x:c r="E203" s="28" t="str">
        <x:v>вкусовой баланс зависит от сорта, обработки и рецептуры</x:v>
      </x:c>
      <x:c r="F203" s="28" t="str">
        <x:v>обычно минимальный; острые специи и алкоголь могут давать выраженный тройничный эффект</x:v>
      </x:c>
      <x:c r="G203" s="28" t="str">
        <x:v>матрица определяется содержанием воды, жира, белка, сахара и полифенолов</x:v>
      </x:c>
      <x:c r="H203" s="28" t="str">
        <x:v>профиль необходимо проверять после рабочей обработки и при температуре подачи</x:v>
      </x:c>
      <x:c r="I203" s="28" t="n">
        <x:v>2</x:v>
      </x:c>
    </x:row>
    <x:row r="204" ht="50" customHeight="1">
      <x:c r="A204" s="28" t="str">
        <x:v>лангустин</x:v>
      </x:c>
      <x:c r="B204" s="28" t="str">
        <x:v>Прочее</x:v>
      </x:c>
      <x:c r="C204" s="28" t="str">
        <x:v>профиль зависит от конкретного продукта</x:v>
      </x:c>
      <x:c r="D204" s="28" t="str">
        <x:v>специфический профиль не детализирован</x:v>
      </x:c>
      <x:c r="E204" s="28" t="str">
        <x:v>вкусовой баланс зависит от сорта, обработки и рецептуры</x:v>
      </x:c>
      <x:c r="F204" s="28" t="str">
        <x:v>обычно минимальный; острые специи и алкоголь могут давать выраженный тройничный эффект</x:v>
      </x:c>
      <x:c r="G204" s="28" t="str">
        <x:v>матрица определяется содержанием воды, жира, белка, сахара и полифенолов</x:v>
      </x:c>
      <x:c r="H204" s="28" t="str">
        <x:v>профиль необходимо проверять после рабочей обработки и при температуре подачи</x:v>
      </x:c>
      <x:c r="I204" s="28" t="n">
        <x:v>1</x:v>
      </x:c>
    </x:row>
    <x:row r="205" ht="50" customHeight="1">
      <x:c r="A205" s="28" t="str">
        <x:v>лепестки розы</x:v>
      </x:c>
      <x:c r="B205" s="28" t="str">
        <x:v>Прочее</x:v>
      </x:c>
      <x:c r="C205" s="28" t="str">
        <x:v>профиль зависит от конкретного продукта</x:v>
      </x:c>
      <x:c r="D205" s="28" t="str">
        <x:v>специфический профиль не детализирован</x:v>
      </x:c>
      <x:c r="E205" s="28" t="str">
        <x:v>вкусовой баланс зависит от сорта, обработки и рецептуры</x:v>
      </x:c>
      <x:c r="F205" s="28" t="str">
        <x:v>обычно минимальный; острые специи и алкоголь могут давать выраженный тройничный эффект</x:v>
      </x:c>
      <x:c r="G205" s="28" t="str">
        <x:v>матрица определяется содержанием воды, жира, белка, сахара и полифенолов</x:v>
      </x:c>
      <x:c r="H205" s="28" t="str">
        <x:v>профиль необходимо проверять после рабочей обработки и при температуре подачи</x:v>
      </x:c>
      <x:c r="I205" s="28" t="n">
        <x:v>2</x:v>
      </x:c>
    </x:row>
    <x:row r="206" ht="50" customHeight="1">
      <x:c r="A206" s="28" t="str">
        <x:v>лимон</x:v>
      </x:c>
      <x:c r="B206" s="28" t="str">
        <x:v>Фрукты и ягоды</x:v>
      </x:c>
      <x:c r="C206" s="28" t="str">
        <x:v>кислый, цитрусовый</x:v>
      </x:c>
      <x:c r="D206" s="28" t="str">
        <x:v>лимонен, цитраль</x:v>
      </x:c>
      <x:c r="E206" s="28" t="str">
        <x:v>вкусовой баланс зависит от сорта, обработки и рецептуры</x:v>
      </x:c>
      <x:c r="F206" s="28" t="str">
        <x:v>обычно минимальный; острые специи и алкоголь могут давать выраженный тройничный эффект</x:v>
      </x:c>
      <x:c r="G206" s="28" t="str">
        <x:v>матрица определяется содержанием воды, жира, белка, сахара и полифенолов</x:v>
      </x:c>
      <x:c r="H206" s="28" t="str">
        <x:v>профиль необходимо проверять после рабочей обработки и при температуре подачи</x:v>
      </x:c>
      <x:c r="I206" s="28" t="n">
        <x:v>8</x:v>
      </x:c>
    </x:row>
    <x:row r="207" ht="50" customHeight="1">
      <x:c r="A207" s="28" t="str">
        <x:v>лист макрут-лайма</x:v>
      </x:c>
      <x:c r="B207" s="28" t="str">
        <x:v>Фрукты и ягоды</x:v>
      </x:c>
      <x:c r="C207" s="28" t="str">
        <x:v>зелёный, цитрусовый</x:v>
      </x:c>
      <x:c r="D207" s="28" t="str">
        <x:v>лимонен, цитраль</x:v>
      </x:c>
      <x:c r="E207" s="28" t="str">
        <x:v>вкусовой баланс зависит от сорта, обработки и рецептуры</x:v>
      </x:c>
      <x:c r="F207" s="28" t="str">
        <x:v>обычно минимальный; острые специи и алкоголь могут давать выраженный тройничный эффект</x:v>
      </x:c>
      <x:c r="G207" s="28" t="str">
        <x:v>матрица определяется содержанием воды, жира, белка, сахара и полифенолов</x:v>
      </x:c>
      <x:c r="H207" s="28" t="str">
        <x:v>профиль необходимо проверять после рабочей обработки и при температуре подачи</x:v>
      </x:c>
      <x:c r="I207" s="28" t="n">
        <x:v>1</x:v>
      </x:c>
    </x:row>
    <x:row r="208" ht="50" customHeight="1">
      <x:c r="A208" s="28" t="str">
        <x:v>листья кассии</x:v>
      </x:c>
      <x:c r="B208" s="28" t="str">
        <x:v>Прочее</x:v>
      </x:c>
      <x:c r="C208" s="28" t="str">
        <x:v>профиль зависит от конкретного продукта</x:v>
      </x:c>
      <x:c r="D208" s="28" t="str">
        <x:v>специфический профиль не детализирован</x:v>
      </x:c>
      <x:c r="E208" s="28" t="str">
        <x:v>вкусовой баланс зависит от сорта, обработки и рецептуры</x:v>
      </x:c>
      <x:c r="F208" s="28" t="str">
        <x:v>обычно минимальный; острые специи и алкоголь могут давать выраженный тройничный эффект</x:v>
      </x:c>
      <x:c r="G208" s="28" t="str">
        <x:v>матрица определяется содержанием воды, жира, белка, сахара и полифенолов</x:v>
      </x:c>
      <x:c r="H208" s="28" t="str">
        <x:v>профиль необходимо проверять после рабочей обработки и при температуре подачи</x:v>
      </x:c>
      <x:c r="I208" s="28" t="n">
        <x:v>1</x:v>
      </x:c>
    </x:row>
    <x:row r="209" ht="50" customHeight="1">
      <x:c r="A209" s="28" t="str">
        <x:v>листья кориандра</x:v>
      </x:c>
      <x:c r="B209" s="28" t="str">
        <x:v>Травы, цветы и листья</x:v>
      </x:c>
      <x:c r="C209" s="28" t="str">
        <x:v>зелёный, цветочный и терпеновый</x:v>
      </x:c>
      <x:c r="D209" s="28" t="str">
        <x:v>линалоол, терпены</x:v>
      </x:c>
      <x:c r="E209" s="28" t="str">
        <x:v>вкусовой баланс зависит от сорта, обработки и рецептуры</x:v>
      </x:c>
      <x:c r="F209" s="28" t="str">
        <x:v>обычно минимальный; острые специи и алкоголь могут давать выраженный тройничный эффект</x:v>
      </x:c>
      <x:c r="G209" s="28" t="str">
        <x:v>матрица определяется содержанием воды, жира, белка, сахара и полифенолов</x:v>
      </x:c>
      <x:c r="H209" s="28" t="str">
        <x:v>профиль необходимо проверять после рабочей обработки и при температуре подачи</x:v>
      </x:c>
      <x:c r="I209" s="28" t="n">
        <x:v>1</x:v>
      </x:c>
    </x:row>
    <x:row r="210" ht="50" customHeight="1">
      <x:c r="A210" s="28" t="str">
        <x:v>личи</x:v>
      </x:c>
      <x:c r="B210" s="28" t="str">
        <x:v>Фрукты и ягоды</x:v>
      </x:c>
      <x:c r="C210" s="28" t="str">
        <x:v>фруктовый, цветочный и свежий</x:v>
      </x:c>
      <x:c r="D210" s="28" t="str">
        <x:v>альдегиды, эфиры</x:v>
      </x:c>
      <x:c r="E210" s="28" t="str">
        <x:v>вкусовой баланс зависит от сорта, обработки и рецептуры</x:v>
      </x:c>
      <x:c r="F210" s="28" t="str">
        <x:v>обычно минимальный; острые специи и алкоголь могут давать выраженный тройничный эффект</x:v>
      </x:c>
      <x:c r="G210" s="28" t="str">
        <x:v>матрица определяется содержанием воды, жира, белка, сахара и полифенолов</x:v>
      </x:c>
      <x:c r="H210" s="28" t="str">
        <x:v>профиль необходимо проверять после рабочей обработки и при температуре подачи</x:v>
      </x:c>
      <x:c r="I210" s="28" t="n">
        <x:v>1</x:v>
      </x:c>
    </x:row>
    <x:row r="211" ht="50" customHeight="1">
      <x:c r="A211" s="28" t="str">
        <x:v>мадрасская паста карри</x:v>
      </x:c>
      <x:c r="B211" s="28" t="str">
        <x:v>Прочее</x:v>
      </x:c>
      <x:c r="C211" s="28" t="str">
        <x:v>профиль зависит от конкретного продукта</x:v>
      </x:c>
      <x:c r="D211" s="28" t="str">
        <x:v>специфический профиль не детализирован</x:v>
      </x:c>
      <x:c r="E211" s="28" t="str">
        <x:v>вкусовой баланс зависит от сорта, обработки и рецептуры</x:v>
      </x:c>
      <x:c r="F211" s="28" t="str">
        <x:v>обычно минимальный; острые специи и алкоголь могут давать выраженный тройничный эффект</x:v>
      </x:c>
      <x:c r="G211" s="28" t="str">
        <x:v>матрица определяется содержанием воды, жира, белка, сахара и полифенолов</x:v>
      </x:c>
      <x:c r="H211" s="28" t="str">
        <x:v>профиль необходимо проверять после рабочей обработки и при температуре подачи</x:v>
      </x:c>
      <x:c r="I211" s="28" t="n">
        <x:v>2</x:v>
      </x:c>
    </x:row>
    <x:row r="212" ht="50" customHeight="1">
      <x:c r="A212" s="28" t="str">
        <x:v>макадамия</x:v>
      </x:c>
      <x:c r="B212" s="28" t="str">
        <x:v>Орехи и семена</x:v>
      </x:c>
      <x:c r="C212" s="28" t="str">
        <x:v>сливочный, маслянистый, сладко-ореховый и мягко-жареный</x:v>
      </x:c>
      <x:c r="D212" s="28" t="str">
        <x:v>альдегиды, лактоны, пиразины, фураны</x:v>
      </x:c>
      <x:c r="E212" s="28" t="str">
        <x:v>очень высокая жирность и мягкая сладость</x:v>
      </x:c>
      <x:c r="F212" s="28" t="str">
        <x:v>минимальный</x:v>
      </x:c>
      <x:c r="G212" s="28" t="str">
        <x:v>очень жирная и кремовая; хорошо переносит липофильные ароматы</x:v>
      </x:c>
      <x:c r="H212" s="28" t="str">
        <x:v>лёгкая обжарка добавляет карамельные ноты; длительный нагрев даёт тяжёлую маслянистость</x:v>
      </x:c>
      <x:c r="I212" s="28" t="n">
        <x:v>16</x:v>
      </x:c>
    </x:row>
    <x:row r="213" ht="50" customHeight="1">
      <x:c r="A213" s="28" t="str">
        <x:v>малина</x:v>
      </x:c>
      <x:c r="B213" s="28" t="str">
        <x:v>Прочее</x:v>
      </x:c>
      <x:c r="C213" s="28" t="str">
        <x:v>цветочный, ягодный</x:v>
      </x:c>
      <x:c r="D213" s="28" t="str">
        <x:v>иононы, малиновый кетон</x:v>
      </x:c>
      <x:c r="E213" s="28" t="str">
        <x:v>вкусовой баланс зависит от сорта, обработки и рецептуры</x:v>
      </x:c>
      <x:c r="F213" s="28" t="str">
        <x:v>обычно минимальный; острые специи и алкоголь могут давать выраженный тройничный эффект</x:v>
      </x:c>
      <x:c r="G213" s="28" t="str">
        <x:v>матрица определяется содержанием воды, жира, белка, сахара и полифенолов</x:v>
      </x:c>
      <x:c r="H213" s="28" t="str">
        <x:v>профиль необходимо проверять после рабочей обработки и при температуре подачи</x:v>
      </x:c>
      <x:c r="I213" s="28" t="n">
        <x:v>4</x:v>
      </x:c>
    </x:row>
    <x:row r="214" ht="50" customHeight="1">
      <x:c r="A214" s="28" t="str">
        <x:v>манго</x:v>
      </x:c>
      <x:c r="B214" s="28" t="str">
        <x:v>Фрукты и ягоды</x:v>
      </x:c>
      <x:c r="C214" s="28" t="str">
        <x:v>фруктовый, цветочный и свежий</x:v>
      </x:c>
      <x:c r="D214" s="28" t="str">
        <x:v>альдегиды, эфиры</x:v>
      </x:c>
      <x:c r="E214" s="28" t="str">
        <x:v>вкусовой баланс зависит от сорта, обработки и рецептуры</x:v>
      </x:c>
      <x:c r="F214" s="28" t="str">
        <x:v>обычно минимальный; острые специи и алкоголь могут давать выраженный тройничный эффект</x:v>
      </x:c>
      <x:c r="G214" s="28" t="str">
        <x:v>матрица определяется содержанием воды, жира, белка, сахара и полифенолов</x:v>
      </x:c>
      <x:c r="H214" s="28" t="str">
        <x:v>профиль необходимо проверять после рабочей обработки и при температуре подачи</x:v>
      </x:c>
      <x:c r="I214" s="28" t="n">
        <x:v>3</x:v>
      </x:c>
    </x:row>
    <x:row r="215" ht="50" customHeight="1">
      <x:c r="A215" s="28" t="str">
        <x:v>мандарин</x:v>
      </x:c>
      <x:c r="B215" s="28" t="str">
        <x:v>Прочее</x:v>
      </x:c>
      <x:c r="C215" s="28" t="str">
        <x:v>профиль зависит от конкретного продукта</x:v>
      </x:c>
      <x:c r="D215" s="28" t="str">
        <x:v>специфический профиль не детализирован</x:v>
      </x:c>
      <x:c r="E215" s="28" t="str">
        <x:v>вкусовой баланс зависит от сорта, обработки и рецептуры</x:v>
      </x:c>
      <x:c r="F215" s="28" t="str">
        <x:v>обычно минимальный; острые специи и алкоголь могут давать выраженный тройничный эффект</x:v>
      </x:c>
      <x:c r="G215" s="28" t="str">
        <x:v>матрица определяется содержанием воды, жира, белка, сахара и полифенолов</x:v>
      </x:c>
      <x:c r="H215" s="28" t="str">
        <x:v>профиль необходимо проверять после рабочей обработки и при температуре подачи</x:v>
      </x:c>
      <x:c r="I215" s="28" t="n">
        <x:v>2</x:v>
      </x:c>
    </x:row>
    <x:row r="216" ht="50" customHeight="1">
      <x:c r="A216" s="28" t="str">
        <x:v>маниок</x:v>
      </x:c>
      <x:c r="B216" s="28" t="str">
        <x:v>Прочее</x:v>
      </x:c>
      <x:c r="C216" s="28" t="str">
        <x:v>профиль зависит от конкретного продукта</x:v>
      </x:c>
      <x:c r="D216" s="28" t="str">
        <x:v>специфический профиль не детализирован</x:v>
      </x:c>
      <x:c r="E216" s="28" t="str">
        <x:v>вкусовой баланс зависит от сорта, обработки и рецептуры</x:v>
      </x:c>
      <x:c r="F216" s="28" t="str">
        <x:v>обычно минимальный; острые специи и алкоголь могут давать выраженный тройничный эффект</x:v>
      </x:c>
      <x:c r="G216" s="28" t="str">
        <x:v>матрица определяется содержанием воды, жира, белка, сахара и полифенолов</x:v>
      </x:c>
      <x:c r="H216" s="28" t="str">
        <x:v>профиль необходимо проверять после рабочей обработки и при температуре подачи</x:v>
      </x:c>
      <x:c r="I216" s="28" t="n">
        <x:v>2</x:v>
      </x:c>
    </x:row>
    <x:row r="217" ht="50" customHeight="1">
      <x:c r="A217" s="28" t="str">
        <x:v>маракуйя</x:v>
      </x:c>
      <x:c r="B217" s="28" t="str">
        <x:v>Прочее</x:v>
      </x:c>
      <x:c r="C217" s="28" t="str">
        <x:v>профиль зависит от конкретного продукта</x:v>
      </x:c>
      <x:c r="D217" s="28" t="str">
        <x:v>специфический профиль не детализирован</x:v>
      </x:c>
      <x:c r="E217" s="28" t="str">
        <x:v>вкусовой баланс зависит от сорта, обработки и рецептуры</x:v>
      </x:c>
      <x:c r="F217" s="28" t="str">
        <x:v>обычно минимальный; острые специи и алкоголь могут давать выраженный тройничный эффект</x:v>
      </x:c>
      <x:c r="G217" s="28" t="str">
        <x:v>матрица определяется содержанием воды, жира, белка, сахара и полифенолов</x:v>
      </x:c>
      <x:c r="H217" s="28" t="str">
        <x:v>профиль необходимо проверять после рабочей обработки и при температуре подачи</x:v>
      </x:c>
      <x:c r="I217" s="28" t="n">
        <x:v>1</x:v>
      </x:c>
    </x:row>
    <x:row r="218" ht="50" customHeight="1">
      <x:c r="A218" s="28" t="str">
        <x:v>миндаль</x:v>
      </x:c>
      <x:c r="B218" s="28" t="str">
        <x:v>Орехи и семена</x:v>
      </x:c>
      <x:c r="C218" s="28" t="str">
        <x:v>ореховый, сладкий, марципановый, слегка зелёный; после обжарки — карамельный и жареный</x:v>
      </x:c>
      <x:c r="D218" s="28" t="str">
        <x:v>бензальдегид, гексаналь, пиразины, фураны</x:v>
      </x:c>
      <x:c r="E218" s="28" t="str">
        <x:v>мягкая сладость, жирность и слабая терпкость кожицы</x:v>
      </x:c>
      <x:c r="F218" s="28" t="str">
        <x:v>минимальный</x:v>
      </x:c>
      <x:c r="G218" s="28" t="str">
        <x:v>жирная белково-клетчаточная матрица; гидрофобные ароматические вещества хорошо удерживаются липидами</x:v>
      </x:c>
      <x:c r="H218" s="28" t="str">
        <x:v>обжарка усиливает пиразины и фураны; измельчение ускоряет окисление; бланширование удаляет горьковатую кожицу</x:v>
      </x:c>
      <x:c r="I218" s="28" t="n">
        <x:v>79</x:v>
      </x:c>
    </x:row>
    <x:row r="219" ht="50" customHeight="1">
      <x:c r="A219" s="28" t="str">
        <x:v>мирин</x:v>
      </x:c>
      <x:c r="B219" s="28" t="str">
        <x:v>Прочее</x:v>
      </x:c>
      <x:c r="C219" s="28" t="str">
        <x:v>профиль зависит от конкретного продукта</x:v>
      </x:c>
      <x:c r="D219" s="28" t="str">
        <x:v>специфический профиль не детализирован</x:v>
      </x:c>
      <x:c r="E219" s="28" t="str">
        <x:v>вкусовой баланс зависит от сорта, обработки и рецептуры</x:v>
      </x:c>
      <x:c r="F219" s="28" t="str">
        <x:v>обычно минимальный; острые специи и алкоголь могут давать выраженный тройничный эффект</x:v>
      </x:c>
      <x:c r="G219" s="28" t="str">
        <x:v>матрица определяется содержанием воды, жира, белка, сахара и полифенолов</x:v>
      </x:c>
      <x:c r="H219" s="28" t="str">
        <x:v>профиль необходимо проверять после рабочей обработки и при температуре подачи</x:v>
      </x:c>
      <x:c r="I219" s="28" t="n">
        <x:v>1</x:v>
      </x:c>
    </x:row>
    <x:row r="220" ht="50" customHeight="1">
      <x:c r="A220" s="28" t="str">
        <x:v>моллюски</x:v>
      </x:c>
      <x:c r="B220" s="28" t="str">
        <x:v>Прочее</x:v>
      </x:c>
      <x:c r="C220" s="28" t="str">
        <x:v>профиль зависит от конкретного продукта</x:v>
      </x:c>
      <x:c r="D220" s="28" t="str">
        <x:v>специфический профиль не детализирован</x:v>
      </x:c>
      <x:c r="E220" s="28" t="str">
        <x:v>вкусовой баланс зависит от сорта, обработки и рецептуры</x:v>
      </x:c>
      <x:c r="F220" s="28" t="str">
        <x:v>обычно минимальный; острые специи и алкоголь могут давать выраженный тройничный эффект</x:v>
      </x:c>
      <x:c r="G220" s="28" t="str">
        <x:v>матрица определяется содержанием воды, жира, белка, сахара и полифенолов</x:v>
      </x:c>
      <x:c r="H220" s="28" t="str">
        <x:v>профиль необходимо проверять после рабочей обработки и при температуре подачи</x:v>
      </x:c>
      <x:c r="I220" s="28" t="n">
        <x:v>3</x:v>
      </x:c>
    </x:row>
    <x:row r="221" ht="50" customHeight="1">
      <x:c r="A221" s="28" t="str">
        <x:v>молочный шоколад</x:v>
      </x:c>
      <x:c r="B221" s="28" t="str">
        <x:v>Какао и шоколад</x:v>
      </x:c>
      <x:c r="C221" s="28" t="str">
        <x:v>какаовый, молочный, карамельный и ванильный</x:v>
      </x:c>
      <x:c r="D221" s="28" t="str">
        <x:v>ванилин, диацетил, лактоны, пиразины, фураны</x:v>
      </x:c>
      <x:c r="E221" s="28" t="str">
        <x:v>сладость, жирность, умеренная какаовая горечь</x:v>
      </x:c>
      <x:c r="F221" s="28" t="str">
        <x:v>минимальный</x:v>
      </x:c>
      <x:c r="G221" s="28" t="str">
        <x:v>какао-масло, молочный жир, сахар и какао-сухие вещества</x:v>
      </x:c>
      <x:c r="H221" s="28" t="str">
        <x:v>нагрев усиливает карамельные ноты, но может нарушить эмульсию и темперирование</x:v>
      </x:c>
      <x:c r="I221" s="28" t="n">
        <x:v>8</x:v>
      </x:c>
    </x:row>
    <x:row r="222" ht="50" customHeight="1">
      <x:c r="A222" s="28" t="str">
        <x:v>морковь</x:v>
      </x:c>
      <x:c r="B222" s="28" t="str">
        <x:v>Овощи, бобовые и грибы</x:v>
      </x:c>
      <x:c r="C222" s="28" t="str">
        <x:v>зелёный, землистый или умами</x:v>
      </x:c>
      <x:c r="D222" s="28" t="str">
        <x:v>альдегиды, сернистые соединения</x:v>
      </x:c>
      <x:c r="E222" s="28" t="str">
        <x:v>вкусовой баланс зависит от сорта, обработки и рецептуры</x:v>
      </x:c>
      <x:c r="F222" s="28" t="str">
        <x:v>обычно минимальный; острые специи и алкоголь могут давать выраженный тройничный эффект</x:v>
      </x:c>
      <x:c r="G222" s="28" t="str">
        <x:v>матрица определяется содержанием воды, жира, белка, сахара и полифенолов</x:v>
      </x:c>
      <x:c r="H222" s="28" t="str">
        <x:v>профиль необходимо проверять после рабочей обработки и при температуре подачи</x:v>
      </x:c>
      <x:c r="I222" s="28" t="n">
        <x:v>3</x:v>
      </x:c>
    </x:row>
    <x:row r="223" ht="50" customHeight="1">
      <x:c r="A223" s="28" t="str">
        <x:v>морошка</x:v>
      </x:c>
      <x:c r="B223" s="28" t="str">
        <x:v>Прочее</x:v>
      </x:c>
      <x:c r="C223" s="28" t="str">
        <x:v>профиль зависит от конкретного продукта</x:v>
      </x:c>
      <x:c r="D223" s="28" t="str">
        <x:v>специфический профиль не детализирован</x:v>
      </x:c>
      <x:c r="E223" s="28" t="str">
        <x:v>вкусовой баланс зависит от сорта, обработки и рецептуры</x:v>
      </x:c>
      <x:c r="F223" s="28" t="str">
        <x:v>обычно минимальный; острые специи и алкоголь могут давать выраженный тройничный эффект</x:v>
      </x:c>
      <x:c r="G223" s="28" t="str">
        <x:v>матрица определяется содержанием воды, жира, белка, сахара и полифенолов</x:v>
      </x:c>
      <x:c r="H223" s="28" t="str">
        <x:v>профиль необходимо проверять после рабочей обработки и при температуре подачи</x:v>
      </x:c>
      <x:c r="I223" s="28" t="n">
        <x:v>1</x:v>
      </x:c>
    </x:row>
    <x:row r="224" ht="50" customHeight="1">
      <x:c r="A224" s="28" t="str">
        <x:v>морской фенхель</x:v>
      </x:c>
      <x:c r="B224" s="28" t="str">
        <x:v>Прочее</x:v>
      </x:c>
      <x:c r="C224" s="28" t="str">
        <x:v>профиль зависит от конкретного продукта</x:v>
      </x:c>
      <x:c r="D224" s="28" t="str">
        <x:v>специфический профиль не детализирован</x:v>
      </x:c>
      <x:c r="E224" s="28" t="str">
        <x:v>вкусовой баланс зависит от сорта, обработки и рецептуры</x:v>
      </x:c>
      <x:c r="F224" s="28" t="str">
        <x:v>обычно минимальный; острые специи и алкоголь могут давать выраженный тройничный эффект</x:v>
      </x:c>
      <x:c r="G224" s="28" t="str">
        <x:v>матрица определяется содержанием воды, жира, белка, сахара и полифенолов</x:v>
      </x:c>
      <x:c r="H224" s="28" t="str">
        <x:v>профиль необходимо проверять после рабочей обработки и при температуре подачи</x:v>
      </x:c>
      <x:c r="I224" s="28" t="n">
        <x:v>1</x:v>
      </x:c>
    </x:row>
    <x:row r="225" ht="50" customHeight="1">
      <x:c r="A225" s="28" t="str">
        <x:v>мускатный орех</x:v>
      </x:c>
      <x:c r="B225" s="28" t="str">
        <x:v>Орехи и семена</x:v>
      </x:c>
      <x:c r="C225" s="28" t="str">
        <x:v>камфорный, ореховый, пряный</x:v>
      </x:c>
      <x:c r="D225" s="28" t="str">
        <x:v>пинены, сабинен</x:v>
      </x:c>
      <x:c r="E225" s="28" t="str">
        <x:v>вкусовой баланс зависит от сорта, обработки и рецептуры</x:v>
      </x:c>
      <x:c r="F225" s="28" t="str">
        <x:v>обычно минимальный; острые специи и алкоголь могут давать выраженный тройничный эффект</x:v>
      </x:c>
      <x:c r="G225" s="28" t="str">
        <x:v>матрица определяется содержанием воды, жира, белка, сахара и полифенолов</x:v>
      </x:c>
      <x:c r="H225" s="28" t="str">
        <x:v>профиль необходимо проверять после рабочей обработки и при температуре подачи</x:v>
      </x:c>
      <x:c r="I225" s="28" t="n">
        <x:v>9</x:v>
      </x:c>
    </x:row>
    <x:row r="226" ht="50" customHeight="1">
      <x:c r="A226" s="28" t="str">
        <x:v>мягкий сыр</x:v>
      </x:c>
      <x:c r="B226" s="28" t="str">
        <x:v>Молочные продукты и сыры</x:v>
      </x:c>
      <x:c r="C226" s="28" t="str">
        <x:v>молочный, умами, ферментированный</x:v>
      </x:c>
      <x:c r="D226" s="28" t="str">
        <x:v>диацетил, жирные кислоты</x:v>
      </x:c>
      <x:c r="E226" s="28" t="str">
        <x:v>вкусовой баланс зависит от сорта, обработки и рецептуры</x:v>
      </x:c>
      <x:c r="F226" s="28" t="str">
        <x:v>обычно минимальный; острые специи и алкоголь могут давать выраженный тройничный эффект</x:v>
      </x:c>
      <x:c r="G226" s="28" t="str">
        <x:v>матрица определяется содержанием воды, жира, белка, сахара и полифенолов</x:v>
      </x:c>
      <x:c r="H226" s="28" t="str">
        <x:v>профиль необходимо проверять после рабочей обработки и при температуре подачи</x:v>
      </x:c>
      <x:c r="I226" s="28" t="n">
        <x:v>2</x:v>
      </x:c>
    </x:row>
    <x:row r="227" ht="50" customHeight="1">
      <x:c r="A227" s="28" t="str">
        <x:v>мята</x:v>
      </x:c>
      <x:c r="B227" s="28" t="str">
        <x:v>Травы, цветы и листья</x:v>
      </x:c>
      <x:c r="C227" s="28" t="str">
        <x:v>зелёный, холодящий</x:v>
      </x:c>
      <x:c r="D227" s="28" t="str">
        <x:v>ментол</x:v>
      </x:c>
      <x:c r="E227" s="28" t="str">
        <x:v>вкусовой баланс зависит от сорта, обработки и рецептуры</x:v>
      </x:c>
      <x:c r="F227" s="28" t="str">
        <x:v>обычно минимальный; острые специи и алкоголь могут давать выраженный тройничный эффект</x:v>
      </x:c>
      <x:c r="G227" s="28" t="str">
        <x:v>матрица определяется содержанием воды, жира, белка, сахара и полифенолов</x:v>
      </x:c>
      <x:c r="H227" s="28" t="str">
        <x:v>профиль необходимо проверять после рабочей обработки и при температуре подачи</x:v>
      </x:c>
      <x:c r="I227" s="28" t="n">
        <x:v>4</x:v>
      </x:c>
    </x:row>
    <x:row r="228" ht="50" customHeight="1">
      <x:c r="A228" s="28" t="str">
        <x:v>мёд</x:v>
      </x:c>
      <x:c r="B228" s="28" t="str">
        <x:v>Выпечка, сахара и десерты</x:v>
      </x:c>
      <x:c r="C228" s="28" t="str">
        <x:v>медовый, цветочный</x:v>
      </x:c>
      <x:c r="D228" s="28" t="str">
        <x:v>норизопреноиды, фенилуксусная кислота</x:v>
      </x:c>
      <x:c r="E228" s="28" t="str">
        <x:v>вкусовой баланс зависит от сорта, обработки и рецептуры</x:v>
      </x:c>
      <x:c r="F228" s="28" t="str">
        <x:v>обычно минимальный; острые специи и алкоголь могут давать выраженный тройничный эффект</x:v>
      </x:c>
      <x:c r="G228" s="28" t="str">
        <x:v>матрица определяется содержанием воды, жира, белка, сахара и полифенолов</x:v>
      </x:c>
      <x:c r="H228" s="28" t="str">
        <x:v>профиль необходимо проверять после рабочей обработки и при температуре подачи</x:v>
      </x:c>
      <x:c r="I228" s="28" t="n">
        <x:v>6</x:v>
      </x:c>
    </x:row>
    <x:row r="229" ht="50" customHeight="1">
      <x:c r="A229" s="28" t="str">
        <x:v>нектарин</x:v>
      </x:c>
      <x:c r="B229" s="28" t="str">
        <x:v>Прочее</x:v>
      </x:c>
      <x:c r="C229" s="28" t="str">
        <x:v>профиль зависит от конкретного продукта</x:v>
      </x:c>
      <x:c r="D229" s="28" t="str">
        <x:v>специфический профиль не детализирован</x:v>
      </x:c>
      <x:c r="E229" s="28" t="str">
        <x:v>вкусовой баланс зависит от сорта, обработки и рецептуры</x:v>
      </x:c>
      <x:c r="F229" s="28" t="str">
        <x:v>обычно минимальный; острые специи и алкоголь могут давать выраженный тройничный эффект</x:v>
      </x:c>
      <x:c r="G229" s="28" t="str">
        <x:v>матрица определяется содержанием воды, жира, белка, сахара и полифенолов</x:v>
      </x:c>
      <x:c r="H229" s="28" t="str">
        <x:v>профиль необходимо проверять после рабочей обработки и при температуре подачи</x:v>
      </x:c>
      <x:c r="I229" s="28" t="n">
        <x:v>5</x:v>
      </x:c>
    </x:row>
    <x:row r="230" ht="50" customHeight="1">
      <x:c r="A230" s="28" t="str">
        <x:v>обжаренный корень цикория</x:v>
      </x:c>
      <x:c r="B230" s="28" t="str">
        <x:v>Прочее</x:v>
      </x:c>
      <x:c r="C230" s="28" t="str">
        <x:v>профиль зависит от конкретного продукта</x:v>
      </x:c>
      <x:c r="D230" s="28" t="str">
        <x:v>специфический профиль не детализирован</x:v>
      </x:c>
      <x:c r="E230" s="28" t="str">
        <x:v>вкусовой баланс зависит от сорта, обработки и рецептуры</x:v>
      </x:c>
      <x:c r="F230" s="28" t="str">
        <x:v>обычно минимальный; острые специи и алкоголь могут давать выраженный тройничный эффект</x:v>
      </x:c>
      <x:c r="G230" s="28" t="str">
        <x:v>матрица определяется содержанием воды, жира, белка, сахара и полифенолов</x:v>
      </x:c>
      <x:c r="H230" s="28" t="str">
        <x:v>профиль необходимо проверять после рабочей обработки и при температуре подачи</x:v>
      </x:c>
      <x:c r="I230" s="28" t="n">
        <x:v>1</x:v>
      </x:c>
    </x:row>
    <x:row r="231" ht="50" customHeight="1">
      <x:c r="A231" s="28" t="str">
        <x:v>огурцы</x:v>
      </x:c>
      <x:c r="B231" s="28" t="str">
        <x:v>Овощи, бобовые и грибы</x:v>
      </x:c>
      <x:c r="C231" s="28" t="str">
        <x:v>зелёный, землистый или умами</x:v>
      </x:c>
      <x:c r="D231" s="28" t="str">
        <x:v>альдегиды, сернистые соединения</x:v>
      </x:c>
      <x:c r="E231" s="28" t="str">
        <x:v>вкусовой баланс зависит от сорта, обработки и рецептуры</x:v>
      </x:c>
      <x:c r="F231" s="28" t="str">
        <x:v>обычно минимальный; острые специи и алкоголь могут давать выраженный тройничный эффект</x:v>
      </x:c>
      <x:c r="G231" s="28" t="str">
        <x:v>матрица определяется содержанием воды, жира, белка, сахара и полифенолов</x:v>
      </x:c>
      <x:c r="H231" s="28" t="str">
        <x:v>профиль необходимо проверять после рабочей обработки и при температуре подачи</x:v>
      </x:c>
      <x:c r="I231" s="28" t="n">
        <x:v>1</x:v>
      </x:c>
    </x:row>
    <x:row r="232" ht="50" customHeight="1">
      <x:c r="A232" s="28" t="str">
        <x:v>оливки</x:v>
      </x:c>
      <x:c r="B232" s="28" t="str">
        <x:v>Прочее</x:v>
      </x:c>
      <x:c r="C232" s="28" t="str">
        <x:v>профиль зависит от конкретного продукта</x:v>
      </x:c>
      <x:c r="D232" s="28" t="str">
        <x:v>специфический профиль не детализирован</x:v>
      </x:c>
      <x:c r="E232" s="28" t="str">
        <x:v>вкусовой баланс зависит от сорта, обработки и рецептуры</x:v>
      </x:c>
      <x:c r="F232" s="28" t="str">
        <x:v>обычно минимальный; острые специи и алкоголь могут давать выраженный тройничный эффект</x:v>
      </x:c>
      <x:c r="G232" s="28" t="str">
        <x:v>матрица определяется содержанием воды, жира, белка, сахара и полифенолов</x:v>
      </x:c>
      <x:c r="H232" s="28" t="str">
        <x:v>профиль необходимо проверять после рабочей обработки и при температуре подачи</x:v>
      </x:c>
      <x:c r="I232" s="28" t="n">
        <x:v>2</x:v>
      </x:c>
    </x:row>
    <x:row r="233" ht="50" customHeight="1">
      <x:c r="A233" s="28" t="str">
        <x:v>оливковое масло</x:v>
      </x:c>
      <x:c r="B233" s="28" t="str">
        <x:v>Масла и жиры</x:v>
      </x:c>
      <x:c r="C233" s="28" t="str">
        <x:v>жирный и мягкий</x:v>
      </x:c>
      <x:c r="D233" s="28" t="str">
        <x:v>альдегиды, лактоны</x:v>
      </x:c>
      <x:c r="E233" s="28" t="str">
        <x:v>вкусовой баланс зависит от сорта, обработки и рецептуры</x:v>
      </x:c>
      <x:c r="F233" s="28" t="str">
        <x:v>обычно минимальный; острые специи и алкоголь могут давать выраженный тройничный эффект</x:v>
      </x:c>
      <x:c r="G233" s="28" t="str">
        <x:v>матрица определяется содержанием воды, жира, белка, сахара и полифенолов</x:v>
      </x:c>
      <x:c r="H233" s="28" t="str">
        <x:v>профиль необходимо проверять после рабочей обработки и при температуре подачи</x:v>
      </x:c>
      <x:c r="I233" s="28" t="n">
        <x:v>7</x:v>
      </x:c>
    </x:row>
    <x:row r="234" ht="50" customHeight="1">
      <x:c r="A234" s="28" t="str">
        <x:v>оливковое масло арбекина</x:v>
      </x:c>
      <x:c r="B234" s="28" t="str">
        <x:v>Масла и жиры</x:v>
      </x:c>
      <x:c r="C234" s="28" t="str">
        <x:v>жирный и мягкий</x:v>
      </x:c>
      <x:c r="D234" s="28" t="str">
        <x:v>альдегиды, лактоны</x:v>
      </x:c>
      <x:c r="E234" s="28" t="str">
        <x:v>вкусовой баланс зависит от сорта, обработки и рецептуры</x:v>
      </x:c>
      <x:c r="F234" s="28" t="str">
        <x:v>обычно минимальный; острые специи и алкоголь могут давать выраженный тройничный эффект</x:v>
      </x:c>
      <x:c r="G234" s="28" t="str">
        <x:v>матрица определяется содержанием воды, жира, белка, сахара и полифенолов</x:v>
      </x:c>
      <x:c r="H234" s="28" t="str">
        <x:v>профиль необходимо проверять после рабочей обработки и при температуре подачи</x:v>
      </x:c>
      <x:c r="I234" s="28" t="n">
        <x:v>2</x:v>
      </x:c>
    </x:row>
    <x:row r="235" ht="50" customHeight="1">
      <x:c r="A235" s="28" t="str">
        <x:v>орегано</x:v>
      </x:c>
      <x:c r="B235" s="28" t="str">
        <x:v>Прочее</x:v>
      </x:c>
      <x:c r="C235" s="28" t="str">
        <x:v>профиль зависит от конкретного продукта</x:v>
      </x:c>
      <x:c r="D235" s="28" t="str">
        <x:v>специфический профиль не детализирован</x:v>
      </x:c>
      <x:c r="E235" s="28" t="str">
        <x:v>вкусовой баланс зависит от сорта, обработки и рецептуры</x:v>
      </x:c>
      <x:c r="F235" s="28" t="str">
        <x:v>обычно минимальный; острые специи и алкоголь могут давать выраженный тройничный эффект</x:v>
      </x:c>
      <x:c r="G235" s="28" t="str">
        <x:v>матрица определяется содержанием воды, жира, белка, сахара и полифенолов</x:v>
      </x:c>
      <x:c r="H235" s="28" t="str">
        <x:v>профиль необходимо проверять после рабочей обработки и при температуре подачи</x:v>
      </x:c>
      <x:c r="I235" s="28" t="n">
        <x:v>1</x:v>
      </x:c>
    </x:row>
    <x:row r="236" ht="50" customHeight="1">
      <x:c r="A236" s="28" t="str">
        <x:v>пак-чой</x:v>
      </x:c>
      <x:c r="B236" s="28" t="str">
        <x:v>Прочее</x:v>
      </x:c>
      <x:c r="C236" s="28" t="str">
        <x:v>профиль зависит от конкретного продукта</x:v>
      </x:c>
      <x:c r="D236" s="28" t="str">
        <x:v>специфический профиль не детализирован</x:v>
      </x:c>
      <x:c r="E236" s="28" t="str">
        <x:v>вкусовой баланс зависит от сорта, обработки и рецептуры</x:v>
      </x:c>
      <x:c r="F236" s="28" t="str">
        <x:v>обычно минимальный; острые специи и алкоголь могут давать выраженный тройничный эффект</x:v>
      </x:c>
      <x:c r="G236" s="28" t="str">
        <x:v>матрица определяется содержанием воды, жира, белка, сахара и полифенолов</x:v>
      </x:c>
      <x:c r="H236" s="28" t="str">
        <x:v>профиль необходимо проверять после рабочей обработки и при температуре подачи</x:v>
      </x:c>
      <x:c r="I236" s="28" t="n">
        <x:v>2</x:v>
      </x:c>
    </x:row>
    <x:row r="237" ht="50" customHeight="1">
      <x:c r="A237" s="28" t="str">
        <x:v>папайя</x:v>
      </x:c>
      <x:c r="B237" s="28" t="str">
        <x:v>Прочее</x:v>
      </x:c>
      <x:c r="C237" s="28" t="str">
        <x:v>профиль зависит от конкретного продукта</x:v>
      </x:c>
      <x:c r="D237" s="28" t="str">
        <x:v>специфический профиль не детализирован</x:v>
      </x:c>
      <x:c r="E237" s="28" t="str">
        <x:v>вкусовой баланс зависит от сорта, обработки и рецептуры</x:v>
      </x:c>
      <x:c r="F237" s="28" t="str">
        <x:v>обычно минимальный; острые специи и алкоголь могут давать выраженный тройничный эффект</x:v>
      </x:c>
      <x:c r="G237" s="28" t="str">
        <x:v>матрица определяется содержанием воды, жира, белка, сахара и полифенолов</x:v>
      </x:c>
      <x:c r="H237" s="28" t="str">
        <x:v>профиль необходимо проверять после рабочей обработки и при температуре подачи</x:v>
      </x:c>
      <x:c r="I237" s="28" t="n">
        <x:v>1</x:v>
      </x:c>
    </x:row>
    <x:row r="238" ht="50" customHeight="1">
      <x:c r="A238" s="28" t="str">
        <x:v>паприка</x:v>
      </x:c>
      <x:c r="B238" s="28" t="str">
        <x:v>Прочее</x:v>
      </x:c>
      <x:c r="C238" s="28" t="str">
        <x:v>профиль зависит от конкретного продукта</x:v>
      </x:c>
      <x:c r="D238" s="28" t="str">
        <x:v>специфический профиль не детализирован</x:v>
      </x:c>
      <x:c r="E238" s="28" t="str">
        <x:v>вкусовой баланс зависит от сорта, обработки и рецептуры</x:v>
      </x:c>
      <x:c r="F238" s="28" t="str">
        <x:v>обычно минимальный; острые специи и алкоголь могут давать выраженный тройничный эффект</x:v>
      </x:c>
      <x:c r="G238" s="28" t="str">
        <x:v>матрица определяется содержанием воды, жира, белка, сахара и полифенолов</x:v>
      </x:c>
      <x:c r="H238" s="28" t="str">
        <x:v>профиль необходимо проверять после рабочей обработки и при температуре подачи</x:v>
      </x:c>
      <x:c r="I238" s="28" t="n">
        <x:v>2</x:v>
      </x:c>
    </x:row>
    <x:row r="239" ht="50" customHeight="1">
      <x:c r="A239" s="28" t="str">
        <x:v>пармезан</x:v>
      </x:c>
      <x:c r="B239" s="28" t="str">
        <x:v>Прочее</x:v>
      </x:c>
      <x:c r="C239" s="28" t="str">
        <x:v>профиль зависит от конкретного продукта</x:v>
      </x:c>
      <x:c r="D239" s="28" t="str">
        <x:v>специфический профиль не детализирован</x:v>
      </x:c>
      <x:c r="E239" s="28" t="str">
        <x:v>вкусовой баланс зависит от сорта, обработки и рецептуры</x:v>
      </x:c>
      <x:c r="F239" s="28" t="str">
        <x:v>обычно минимальный; острые специи и алкоголь могут давать выраженный тройничный эффект</x:v>
      </x:c>
      <x:c r="G239" s="28" t="str">
        <x:v>матрица определяется содержанием воды, жира, белка, сахара и полифенолов</x:v>
      </x:c>
      <x:c r="H239" s="28" t="str">
        <x:v>профиль необходимо проверять после рабочей обработки и при температуре подачи</x:v>
      </x:c>
      <x:c r="I239" s="28" t="n">
        <x:v>3</x:v>
      </x:c>
    </x:row>
    <x:row r="240" ht="50" customHeight="1">
      <x:c r="A240" s="28" t="str">
        <x:v>пастернак</x:v>
      </x:c>
      <x:c r="B240" s="28" t="str">
        <x:v>Прочее</x:v>
      </x:c>
      <x:c r="C240" s="28" t="str">
        <x:v>профиль зависит от конкретного продукта</x:v>
      </x:c>
      <x:c r="D240" s="28" t="str">
        <x:v>специфический профиль не детализирован</x:v>
      </x:c>
      <x:c r="E240" s="28" t="str">
        <x:v>вкусовой баланс зависит от сорта, обработки и рецептуры</x:v>
      </x:c>
      <x:c r="F240" s="28" t="str">
        <x:v>обычно минимальный; острые специи и алкоголь могут давать выраженный тройничный эффект</x:v>
      </x:c>
      <x:c r="G240" s="28" t="str">
        <x:v>матрица определяется содержанием воды, жира, белка, сахара и полифенолов</x:v>
      </x:c>
      <x:c r="H240" s="28" t="str">
        <x:v>профиль необходимо проверять после рабочей обработки и при температуре подачи</x:v>
      </x:c>
      <x:c r="I240" s="28" t="n">
        <x:v>1</x:v>
      </x:c>
    </x:row>
    <x:row r="241" ht="50" customHeight="1">
      <x:c r="A241" s="28" t="str">
        <x:v>пекан</x:v>
      </x:c>
      <x:c r="B241" s="28" t="str">
        <x:v>Орехи и семена</x:v>
      </x:c>
      <x:c r="C241" s="28" t="str">
        <x:v>маслянистый, сладкий, карамельный и древесно-ореховый</x:v>
      </x:c>
      <x:c r="D241" s="28" t="str">
        <x:v>гексаналь, лактоны, пиразины, фураны</x:v>
      </x:c>
      <x:c r="E241" s="28" t="str">
        <x:v>жирный, сладковатый и слабо терпкий</x:v>
      </x:c>
      <x:c r="F241" s="28" t="str">
        <x:v>минимальный</x:v>
      </x:c>
      <x:c r="G241" s="28" t="str">
        <x:v>высокожировая и хрупкая; хорошо связывает карамель и шоколад</x:v>
      </x:c>
      <x:c r="H241" s="28" t="str">
        <x:v>обжарка усиливает пралиновый профиль; сахарная карамелизация создаёт устойчивую десертную связь</x:v>
      </x:c>
      <x:c r="I241" s="28" t="n">
        <x:v>22</x:v>
      </x:c>
    </x:row>
    <x:row r="242" ht="50" customHeight="1">
      <x:c r="A242" s="28" t="str">
        <x:v>перец</x:v>
      </x:c>
      <x:c r="B242" s="28" t="str">
        <x:v>Специи</x:v>
      </x:c>
      <x:c r="C242" s="28" t="str">
        <x:v>пряный и древесный</x:v>
      </x:c>
      <x:c r="D242" s="28" t="str">
        <x:v>терпены, фенилпропаноиды</x:v>
      </x:c>
      <x:c r="E242" s="28" t="str">
        <x:v>вкусовой баланс зависит от сорта, обработки и рецептуры</x:v>
      </x:c>
      <x:c r="F242" s="28" t="str">
        <x:v>обычно минимальный; острые специи и алкоголь могут давать выраженный тройничный эффект</x:v>
      </x:c>
      <x:c r="G242" s="28" t="str">
        <x:v>матрица определяется содержанием воды, жира, белка, сахара и полифенолов</x:v>
      </x:c>
      <x:c r="H242" s="28" t="str">
        <x:v>профиль необходимо проверять после рабочей обработки и при температуре подачи</x:v>
      </x:c>
      <x:c r="I242" s="28" t="n">
        <x:v>1</x:v>
      </x:c>
    </x:row>
    <x:row r="243" ht="50" customHeight="1">
      <x:c r="A243" s="28" t="str">
        <x:v>перечная мята</x:v>
      </x:c>
      <x:c r="B243" s="28" t="str">
        <x:v>Травы, цветы и листья</x:v>
      </x:c>
      <x:c r="C243" s="28" t="str">
        <x:v>зелёный, холодящий</x:v>
      </x:c>
      <x:c r="D243" s="28" t="str">
        <x:v>ментол</x:v>
      </x:c>
      <x:c r="E243" s="28" t="str">
        <x:v>вкусовой баланс зависит от сорта, обработки и рецептуры</x:v>
      </x:c>
      <x:c r="F243" s="28" t="str">
        <x:v>обычно минимальный; острые специи и алкоголь могут давать выраженный тройничный эффект</x:v>
      </x:c>
      <x:c r="G243" s="28" t="str">
        <x:v>матрица определяется содержанием воды, жира, белка, сахара и полифенолов</x:v>
      </x:c>
      <x:c r="H243" s="28" t="str">
        <x:v>профиль необходимо проверять после рабочей обработки и при температуре подачи</x:v>
      </x:c>
      <x:c r="I243" s="28" t="n">
        <x:v>1</x:v>
      </x:c>
    </x:row>
    <x:row r="244" ht="50" customHeight="1">
      <x:c r="A244" s="28" t="str">
        <x:v>персик</x:v>
      </x:c>
      <x:c r="B244" s="28" t="str">
        <x:v>Фрукты и ягоды</x:v>
      </x:c>
      <x:c r="C244" s="28" t="str">
        <x:v>лактонный, фруктовый, цветочный</x:v>
      </x:c>
      <x:c r="D244" s="28" t="str">
        <x:v>лактоны, линалоол</x:v>
      </x:c>
      <x:c r="E244" s="28" t="str">
        <x:v>вкусовой баланс зависит от сорта, обработки и рецептуры</x:v>
      </x:c>
      <x:c r="F244" s="28" t="str">
        <x:v>обычно минимальный; острые специи и алкоголь могут давать выраженный тройничный эффект</x:v>
      </x:c>
      <x:c r="G244" s="28" t="str">
        <x:v>матрица определяется содержанием воды, жира, белка, сахара и полифенолов</x:v>
      </x:c>
      <x:c r="H244" s="28" t="str">
        <x:v>профиль необходимо проверять после рабочей обработки и при температуре подачи</x:v>
      </x:c>
      <x:c r="I244" s="28" t="n">
        <x:v>9</x:v>
      </x:c>
    </x:row>
    <x:row r="245" ht="50" customHeight="1">
      <x:c r="A245" s="28" t="str">
        <x:v>персики</x:v>
      </x:c>
      <x:c r="B245" s="28" t="str">
        <x:v>Фрукты и ягоды</x:v>
      </x:c>
      <x:c r="C245" s="28" t="str">
        <x:v>лактонный, фруктовый, цветочный</x:v>
      </x:c>
      <x:c r="D245" s="28" t="str">
        <x:v>лактоны, линалоол</x:v>
      </x:c>
      <x:c r="E245" s="28" t="str">
        <x:v>вкусовой баланс зависит от сорта, обработки и рецептуры</x:v>
      </x:c>
      <x:c r="F245" s="28" t="str">
        <x:v>обычно минимальный; острые специи и алкоголь могут давать выраженный тройничный эффект</x:v>
      </x:c>
      <x:c r="G245" s="28" t="str">
        <x:v>матрица определяется содержанием воды, жира, белка, сахара и полифенолов</x:v>
      </x:c>
      <x:c r="H245" s="28" t="str">
        <x:v>профиль необходимо проверять после рабочей обработки и при температуре подачи</x:v>
      </x:c>
      <x:c r="I245" s="28" t="n">
        <x:v>1</x:v>
      </x:c>
    </x:row>
    <x:row r="246" ht="50" customHeight="1">
      <x:c r="A246" s="28" t="str">
        <x:v>петрушка</x:v>
      </x:c>
      <x:c r="B246" s="28" t="str">
        <x:v>Травы, цветы и листья</x:v>
      </x:c>
      <x:c r="C246" s="28" t="str">
        <x:v>зелёный, цветочный и терпеновый</x:v>
      </x:c>
      <x:c r="D246" s="28" t="str">
        <x:v>линалоол, терпены</x:v>
      </x:c>
      <x:c r="E246" s="28" t="str">
        <x:v>вкусовой баланс зависит от сорта, обработки и рецептуры</x:v>
      </x:c>
      <x:c r="F246" s="28" t="str">
        <x:v>обычно минимальный; острые специи и алкоголь могут давать выраженный тройничный эффект</x:v>
      </x:c>
      <x:c r="G246" s="28" t="str">
        <x:v>матрица определяется содержанием воды, жира, белка, сахара и полифенолов</x:v>
      </x:c>
      <x:c r="H246" s="28" t="str">
        <x:v>профиль необходимо проверять после рабочей обработки и при температуре подачи</x:v>
      </x:c>
      <x:c r="I246" s="28" t="n">
        <x:v>6</x:v>
      </x:c>
    </x:row>
    <x:row r="247" ht="50" customHeight="1">
      <x:c r="A247" s="28" t="str">
        <x:v>питахайя (dragon fruit)</x:v>
      </x:c>
      <x:c r="B247" s="28" t="str">
        <x:v>Прочее</x:v>
      </x:c>
      <x:c r="C247" s="28" t="str">
        <x:v>профиль зависит от конкретного продукта</x:v>
      </x:c>
      <x:c r="D247" s="28" t="str">
        <x:v>специфический профиль не детализирован</x:v>
      </x:c>
      <x:c r="E247" s="28" t="str">
        <x:v>вкусовой баланс зависит от сорта, обработки и рецептуры</x:v>
      </x:c>
      <x:c r="F247" s="28" t="str">
        <x:v>обычно минимальный; острые специи и алкоголь могут давать выраженный тройничный эффект</x:v>
      </x:c>
      <x:c r="G247" s="28" t="str">
        <x:v>матрица определяется содержанием воды, жира, белка, сахара и полифенолов</x:v>
      </x:c>
      <x:c r="H247" s="28" t="str">
        <x:v>профиль необходимо проверять после рабочей обработки и при температуре подачи</x:v>
      </x:c>
      <x:c r="I247" s="28" t="n">
        <x:v>1</x:v>
      </x:c>
    </x:row>
    <x:row r="248" ht="50" customHeight="1">
      <x:c r="A248" s="28" t="str">
        <x:v>полба</x:v>
      </x:c>
      <x:c r="B248" s="28" t="str">
        <x:v>Прочее</x:v>
      </x:c>
      <x:c r="C248" s="28" t="str">
        <x:v>профиль зависит от конкретного продукта</x:v>
      </x:c>
      <x:c r="D248" s="28" t="str">
        <x:v>специфический профиль не детализирован</x:v>
      </x:c>
      <x:c r="E248" s="28" t="str">
        <x:v>вкусовой баланс зависит от сорта, обработки и рецептуры</x:v>
      </x:c>
      <x:c r="F248" s="28" t="str">
        <x:v>обычно минимальный; острые специи и алкоголь могут давать выраженный тройничный эффект</x:v>
      </x:c>
      <x:c r="G248" s="28" t="str">
        <x:v>матрица определяется содержанием воды, жира, белка, сахара и полифенолов</x:v>
      </x:c>
      <x:c r="H248" s="28" t="str">
        <x:v>профиль необходимо проверять после рабочей обработки и при температуре подачи</x:v>
      </x:c>
      <x:c r="I248" s="28" t="n">
        <x:v>1</x:v>
      </x:c>
    </x:row>
    <x:row r="249" ht="50" customHeight="1">
      <x:c r="A249" s="28" t="str">
        <x:v>портвейн</x:v>
      </x:c>
      <x:c r="B249" s="28" t="str">
        <x:v>Алкогольные напитки</x:v>
      </x:c>
      <x:c r="C249" s="28" t="str">
        <x:v>спиртовой, фруктовый или древесный</x:v>
      </x:c>
      <x:c r="D249" s="28" t="str">
        <x:v>альдегиды, эфиры</x:v>
      </x:c>
      <x:c r="E249" s="28" t="str">
        <x:v>вкусовой баланс зависит от сорта, обработки и рецептуры</x:v>
      </x:c>
      <x:c r="F249" s="28" t="str">
        <x:v>обычно минимальный; острые специи и алкоголь могут давать выраженный тройничный эффект</x:v>
      </x:c>
      <x:c r="G249" s="28" t="str">
        <x:v>матрица определяется содержанием воды, жира, белка, сахара и полифенолов</x:v>
      </x:c>
      <x:c r="H249" s="28" t="str">
        <x:v>профиль необходимо проверять после рабочей обработки и при температуре подачи</x:v>
      </x:c>
      <x:c r="I249" s="28" t="n">
        <x:v>1</x:v>
      </x:c>
    </x:row>
    <x:row r="250" ht="50" customHeight="1">
      <x:c r="A250" s="28" t="str">
        <x:v>прошутто</x:v>
      </x:c>
      <x:c r="B250" s="28" t="str">
        <x:v>Прочее</x:v>
      </x:c>
      <x:c r="C250" s="28" t="str">
        <x:v>профиль зависит от конкретного продукта</x:v>
      </x:c>
      <x:c r="D250" s="28" t="str">
        <x:v>специфический профиль не детализирован</x:v>
      </x:c>
      <x:c r="E250" s="28" t="str">
        <x:v>вкусовой баланс зависит от сорта, обработки и рецептуры</x:v>
      </x:c>
      <x:c r="F250" s="28" t="str">
        <x:v>обычно минимальный; острые специи и алкоголь могут давать выраженный тройничный эффект</x:v>
      </x:c>
      <x:c r="G250" s="28" t="str">
        <x:v>матрица определяется содержанием воды, жира, белка, сахара и полифенолов</x:v>
      </x:c>
      <x:c r="H250" s="28" t="str">
        <x:v>профиль необходимо проверять после рабочей обработки и при температуре подачи</x:v>
      </x:c>
      <x:c r="I250" s="28" t="n">
        <x:v>1</x:v>
      </x:c>
    </x:row>
    <x:row r="251" ht="50" customHeight="1">
      <x:c r="A251" s="28" t="str">
        <x:v>пулькоги</x:v>
      </x:c>
      <x:c r="B251" s="28" t="str">
        <x:v>Прочее</x:v>
      </x:c>
      <x:c r="C251" s="28" t="str">
        <x:v>профиль зависит от конкретного продукта</x:v>
      </x:c>
      <x:c r="D251" s="28" t="str">
        <x:v>специфический профиль не детализирован</x:v>
      </x:c>
      <x:c r="E251" s="28" t="str">
        <x:v>вкусовой баланс зависит от сорта, обработки и рецептуры</x:v>
      </x:c>
      <x:c r="F251" s="28" t="str">
        <x:v>обычно минимальный; острые специи и алкоголь могут давать выраженный тройничный эффект</x:v>
      </x:c>
      <x:c r="G251" s="28" t="str">
        <x:v>матрица определяется содержанием воды, жира, белка, сахара и полифенолов</x:v>
      </x:c>
      <x:c r="H251" s="28" t="str">
        <x:v>профиль необходимо проверять после рабочей обработки и при температуре подачи</x:v>
      </x:c>
      <x:c r="I251" s="28" t="n">
        <x:v>1</x:v>
      </x:c>
    </x:row>
    <x:row r="252" ht="50" customHeight="1">
      <x:c r="A252" s="28" t="str">
        <x:v>рассольный сыр</x:v>
      </x:c>
      <x:c r="B252" s="28" t="str">
        <x:v>Молочные продукты и сыры</x:v>
      </x:c>
      <x:c r="C252" s="28" t="str">
        <x:v>молочный, умами, ферментированный</x:v>
      </x:c>
      <x:c r="D252" s="28" t="str">
        <x:v>диацетил, жирные кислоты</x:v>
      </x:c>
      <x:c r="E252" s="28" t="str">
        <x:v>вкусовой баланс зависит от сорта, обработки и рецептуры</x:v>
      </x:c>
      <x:c r="F252" s="28" t="str">
        <x:v>обычно минимальный; острые специи и алкоголь могут давать выраженный тройничный эффект</x:v>
      </x:c>
      <x:c r="G252" s="28" t="str">
        <x:v>матрица определяется содержанием воды, жира, белка, сахара и полифенолов</x:v>
      </x:c>
      <x:c r="H252" s="28" t="str">
        <x:v>профиль необходимо проверять после рабочей обработки и при температуре подачи</x:v>
      </x:c>
      <x:c r="I252" s="28" t="n">
        <x:v>1</x:v>
      </x:c>
    </x:row>
    <x:row r="253" ht="50" customHeight="1">
      <x:c r="A253" s="28" t="str">
        <x:v>ревень</x:v>
      </x:c>
      <x:c r="B253" s="28" t="str">
        <x:v>Фрукты и ягоды</x:v>
      </x:c>
      <x:c r="C253" s="28" t="str">
        <x:v>фруктовый, цветочный и свежий</x:v>
      </x:c>
      <x:c r="D253" s="28" t="str">
        <x:v>альдегиды, эфиры</x:v>
      </x:c>
      <x:c r="E253" s="28" t="str">
        <x:v>вкусовой баланс зависит от сорта, обработки и рецептуры</x:v>
      </x:c>
      <x:c r="F253" s="28" t="str">
        <x:v>обычно минимальный; острые специи и алкоголь могут давать выраженный тройничный эффект</x:v>
      </x:c>
      <x:c r="G253" s="28" t="str">
        <x:v>матрица определяется содержанием воды, жира, белка, сахара и полифенолов</x:v>
      </x:c>
      <x:c r="H253" s="28" t="str">
        <x:v>профиль необходимо проверять после рабочей обработки и при температуре подачи</x:v>
      </x:c>
      <x:c r="I253" s="28" t="n">
        <x:v>1</x:v>
      </x:c>
    </x:row>
    <x:row r="254" ht="50" customHeight="1">
      <x:c r="A254" s="28" t="str">
        <x:v>роза</x:v>
      </x:c>
      <x:c r="B254" s="28" t="str">
        <x:v>Травы, цветы и листья</x:v>
      </x:c>
      <x:c r="C254" s="28" t="str">
        <x:v>цветочный</x:v>
      </x:c>
      <x:c r="D254" s="28" t="str">
        <x:v>гераниол, цитронеллол</x:v>
      </x:c>
      <x:c r="E254" s="28" t="str">
        <x:v>вкусовой баланс зависит от сорта, обработки и рецептуры</x:v>
      </x:c>
      <x:c r="F254" s="28" t="str">
        <x:v>обычно минимальный; острые специи и алкоголь могут давать выраженный тройничный эффект</x:v>
      </x:c>
      <x:c r="G254" s="28" t="str">
        <x:v>матрица определяется содержанием воды, жира, белка, сахара и полифенолов</x:v>
      </x:c>
      <x:c r="H254" s="28" t="str">
        <x:v>профиль необходимо проверять после рабочей обработки и при температуре подачи</x:v>
      </x:c>
      <x:c r="I254" s="28" t="n">
        <x:v>3</x:v>
      </x:c>
    </x:row>
    <x:row r="255" ht="50" customHeight="1">
      <x:c r="A255" s="28" t="str">
        <x:v>розмарин</x:v>
      </x:c>
      <x:c r="B255" s="28" t="str">
        <x:v>Травы, цветы и листья</x:v>
      </x:c>
      <x:c r="C255" s="28" t="str">
        <x:v>зелёный, цветочный и терпеновый</x:v>
      </x:c>
      <x:c r="D255" s="28" t="str">
        <x:v>линалоол, терпены</x:v>
      </x:c>
      <x:c r="E255" s="28" t="str">
        <x:v>вкусовой баланс зависит от сорта, обработки и рецептуры</x:v>
      </x:c>
      <x:c r="F255" s="28" t="str">
        <x:v>обычно минимальный; острые специи и алкоголь могут давать выраженный тройничный эффект</x:v>
      </x:c>
      <x:c r="G255" s="28" t="str">
        <x:v>матрица определяется содержанием воды, жира, белка, сахара и полифенолов</x:v>
      </x:c>
      <x:c r="H255" s="28" t="str">
        <x:v>профиль необходимо проверять после рабочей обработки и при температуре подачи</x:v>
      </x:c>
      <x:c r="I255" s="28" t="n">
        <x:v>7</x:v>
      </x:c>
    </x:row>
    <x:row r="256" ht="50" customHeight="1">
      <x:c r="A256" s="28" t="str">
        <x:v>ройбуш</x:v>
      </x:c>
      <x:c r="B256" s="28" t="str">
        <x:v>Чай</x:v>
      </x:c>
      <x:c r="C256" s="28" t="str">
        <x:v>медовый, древесный, ванильный и слегка ореховый</x:v>
      </x:c>
      <x:c r="D256" s="28" t="str">
        <x:v>ванилин, гваякол, фенольные соединения, фураны</x:v>
      </x:c>
      <x:c r="E256" s="28" t="str">
        <x:v>мягкая сладость, слабая терпкость, без кофеина</x:v>
      </x:c>
      <x:c r="F256" s="28" t="str">
        <x:v>минимальный</x:v>
      </x:c>
      <x:c r="G256" s="28" t="str">
        <x:v>водный настой с низкой танинностью</x:v>
      </x:c>
      <x:c r="H256" s="28" t="str">
        <x:v>длительное заваривание переносит лучше чая, но может усилить древесность</x:v>
      </x:c>
      <x:c r="I256" s="28" t="n">
        <x:v>2</x:v>
      </x:c>
    </x:row>
    <x:row r="257" ht="50" customHeight="1">
      <x:c r="A257" s="28" t="str">
        <x:v>ромашка</x:v>
      </x:c>
      <x:c r="B257" s="28" t="str">
        <x:v>Алкогольные напитки</x:v>
      </x:c>
      <x:c r="C257" s="28" t="str">
        <x:v>спиртовой, фруктовый или древесный</x:v>
      </x:c>
      <x:c r="D257" s="28" t="str">
        <x:v>альдегиды, эфиры</x:v>
      </x:c>
      <x:c r="E257" s="28" t="str">
        <x:v>вкусовой баланс зависит от сорта, обработки и рецептуры</x:v>
      </x:c>
      <x:c r="F257" s="28" t="str">
        <x:v>обычно минимальный; острые специи и алкоголь могут давать выраженный тройничный эффект</x:v>
      </x:c>
      <x:c r="G257" s="28" t="str">
        <x:v>матрица определяется содержанием воды, жира, белка, сахара и полифенолов</x:v>
      </x:c>
      <x:c r="H257" s="28" t="str">
        <x:v>профиль необходимо проверять после рабочей обработки и при температуре подачи</x:v>
      </x:c>
      <x:c r="I257" s="28" t="n">
        <x:v>2</x:v>
      </x:c>
    </x:row>
    <x:row r="258" ht="50" customHeight="1">
      <x:c r="A258" s="28" t="str">
        <x:v>ростки пшеницы</x:v>
      </x:c>
      <x:c r="B258" s="28" t="str">
        <x:v>Прочее</x:v>
      </x:c>
      <x:c r="C258" s="28" t="str">
        <x:v>профиль зависит от конкретного продукта</x:v>
      </x:c>
      <x:c r="D258" s="28" t="str">
        <x:v>специфический профиль не детализирован</x:v>
      </x:c>
      <x:c r="E258" s="28" t="str">
        <x:v>вкусовой баланс зависит от сорта, обработки и рецептуры</x:v>
      </x:c>
      <x:c r="F258" s="28" t="str">
        <x:v>обычно минимальный; острые специи и алкоголь могут давать выраженный тройничный эффект</x:v>
      </x:c>
      <x:c r="G258" s="28" t="str">
        <x:v>матрица определяется содержанием воды, жира, белка, сахара и полифенолов</x:v>
      </x:c>
      <x:c r="H258" s="28" t="str">
        <x:v>профиль необходимо проверять после рабочей обработки и при температуре подачи</x:v>
      </x:c>
      <x:c r="I258" s="28" t="n">
        <x:v>1</x:v>
      </x:c>
    </x:row>
    <x:row r="259" ht="50" customHeight="1">
      <x:c r="A259" s="28" t="str">
        <x:v>руккола</x:v>
      </x:c>
      <x:c r="B259" s="28" t="str">
        <x:v>Прочее</x:v>
      </x:c>
      <x:c r="C259" s="28" t="str">
        <x:v>профиль зависит от конкретного продукта</x:v>
      </x:c>
      <x:c r="D259" s="28" t="str">
        <x:v>специфический профиль не детализирован</x:v>
      </x:c>
      <x:c r="E259" s="28" t="str">
        <x:v>вкусовой баланс зависит от сорта, обработки и рецептуры</x:v>
      </x:c>
      <x:c r="F259" s="28" t="str">
        <x:v>обычно минимальный; острые специи и алкоголь могут давать выраженный тройничный эффект</x:v>
      </x:c>
      <x:c r="G259" s="28" t="str">
        <x:v>матрица определяется содержанием воды, жира, белка, сахара и полифенолов</x:v>
      </x:c>
      <x:c r="H259" s="28" t="str">
        <x:v>профиль необходимо проверять после рабочей обработки и при температуре подачи</x:v>
      </x:c>
      <x:c r="I259" s="28" t="n">
        <x:v>1</x:v>
      </x:c>
    </x:row>
    <x:row r="260" ht="50" customHeight="1">
      <x:c r="A260" s="28" t="str">
        <x:v>саке</x:v>
      </x:c>
      <x:c r="B260" s="28" t="str">
        <x:v>Алкогольные напитки</x:v>
      </x:c>
      <x:c r="C260" s="28" t="str">
        <x:v>спиртовой, фруктовый или древесный</x:v>
      </x:c>
      <x:c r="D260" s="28" t="str">
        <x:v>альдегиды, эфиры</x:v>
      </x:c>
      <x:c r="E260" s="28" t="str">
        <x:v>вкусовой баланс зависит от сорта, обработки и рецептуры</x:v>
      </x:c>
      <x:c r="F260" s="28" t="str">
        <x:v>обычно минимальный; острые специи и алкоголь могут давать выраженный тройничный эффект</x:v>
      </x:c>
      <x:c r="G260" s="28" t="str">
        <x:v>матрица определяется содержанием воды, жира, белка, сахара и полифенолов</x:v>
      </x:c>
      <x:c r="H260" s="28" t="str">
        <x:v>профиль необходимо проверять после рабочей обработки и при температуре подачи</x:v>
      </x:c>
      <x:c r="I260" s="28" t="n">
        <x:v>1</x:v>
      </x:c>
    </x:row>
    <x:row r="261" ht="50" customHeight="1">
      <x:c r="A261" s="28" t="str">
        <x:v>свекла</x:v>
      </x:c>
      <x:c r="B261" s="28" t="str">
        <x:v>Овощи, бобовые и грибы</x:v>
      </x:c>
      <x:c r="C261" s="28" t="str">
        <x:v>землистый, сладкий</x:v>
      </x:c>
      <x:c r="D261" s="28" t="str">
        <x:v>геосмин</x:v>
      </x:c>
      <x:c r="E261" s="28" t="str">
        <x:v>вкусовой баланс зависит от сорта, обработки и рецептуры</x:v>
      </x:c>
      <x:c r="F261" s="28" t="str">
        <x:v>обычно минимальный; острые специи и алкоголь могут давать выраженный тройничный эффект</x:v>
      </x:c>
      <x:c r="G261" s="28" t="str">
        <x:v>матрица определяется содержанием воды, жира, белка, сахара и полифенолов</x:v>
      </x:c>
      <x:c r="H261" s="28" t="str">
        <x:v>профиль необходимо проверять после рабочей обработки и при температуре подачи</x:v>
      </x:c>
      <x:c r="I261" s="28" t="n">
        <x:v>2</x:v>
      </x:c>
    </x:row>
    <x:row r="262" ht="50" customHeight="1">
      <x:c r="A262" s="28" t="str">
        <x:v>свинина</x:v>
      </x:c>
      <x:c r="B262" s="28" t="str">
        <x:v>Мясо и птица</x:v>
      </x:c>
      <x:c r="C262" s="28" t="str">
        <x:v>жареный, мясной и умами</x:v>
      </x:c>
      <x:c r="D262" s="28" t="str">
        <x:v>пиразины, сернистые соединения</x:v>
      </x:c>
      <x:c r="E262" s="28" t="str">
        <x:v>вкусовой баланс зависит от сорта, обработки и рецептуры</x:v>
      </x:c>
      <x:c r="F262" s="28" t="str">
        <x:v>обычно минимальный; острые специи и алкоголь могут давать выраженный тройничный эффект</x:v>
      </x:c>
      <x:c r="G262" s="28" t="str">
        <x:v>матрица определяется содержанием воды, жира, белка, сахара и полифенолов</x:v>
      </x:c>
      <x:c r="H262" s="28" t="str">
        <x:v>профиль необходимо проверять после рабочей обработки и при температуре подачи</x:v>
      </x:c>
      <x:c r="I262" s="28" t="n">
        <x:v>2</x:v>
      </x:c>
    </x:row>
    <x:row r="263" ht="50" customHeight="1">
      <x:c r="A263" s="28" t="str">
        <x:v>свёкла</x:v>
      </x:c>
      <x:c r="B263" s="28" t="str">
        <x:v>Овощи, бобовые и грибы</x:v>
      </x:c>
      <x:c r="C263" s="28" t="str">
        <x:v>землистый, сладкий</x:v>
      </x:c>
      <x:c r="D263" s="28" t="str">
        <x:v>геосмин</x:v>
      </x:c>
      <x:c r="E263" s="28" t="str">
        <x:v>вкусовой баланс зависит от сорта, обработки и рецептуры</x:v>
      </x:c>
      <x:c r="F263" s="28" t="str">
        <x:v>обычно минимальный; острые специи и алкоголь могут давать выраженный тройничный эффект</x:v>
      </x:c>
      <x:c r="G263" s="28" t="str">
        <x:v>матрица определяется содержанием воды, жира, белка, сахара и полифенолов</x:v>
      </x:c>
      <x:c r="H263" s="28" t="str">
        <x:v>профиль необходимо проверять после рабочей обработки и при температуре подачи</x:v>
      </x:c>
      <x:c r="I263" s="28" t="n">
        <x:v>5</x:v>
      </x:c>
    </x:row>
    <x:row r="264" ht="50" customHeight="1">
      <x:c r="A264" s="28" t="str">
        <x:v>сельдерей</x:v>
      </x:c>
      <x:c r="B264" s="28" t="str">
        <x:v>Прочее</x:v>
      </x:c>
      <x:c r="C264" s="28" t="str">
        <x:v>профиль зависит от конкретного продукта</x:v>
      </x:c>
      <x:c r="D264" s="28" t="str">
        <x:v>специфический профиль не детализирован</x:v>
      </x:c>
      <x:c r="E264" s="28" t="str">
        <x:v>вкусовой баланс зависит от сорта, обработки и рецептуры</x:v>
      </x:c>
      <x:c r="F264" s="28" t="str">
        <x:v>обычно минимальный; острые специи и алкоголь могут давать выраженный тройничный эффект</x:v>
      </x:c>
      <x:c r="G264" s="28" t="str">
        <x:v>матрица определяется содержанием воды, жира, белка, сахара и полифенолов</x:v>
      </x:c>
      <x:c r="H264" s="28" t="str">
        <x:v>профиль необходимо проверять после рабочей обработки и при температуре подачи</x:v>
      </x:c>
      <x:c r="I264" s="28" t="n">
        <x:v>3</x:v>
      </x:c>
    </x:row>
    <x:row r="265" ht="50" customHeight="1">
      <x:c r="A265" s="28" t="str">
        <x:v>сельдерей корневой</x:v>
      </x:c>
      <x:c r="B265" s="28" t="str">
        <x:v>Прочее</x:v>
      </x:c>
      <x:c r="C265" s="28" t="str">
        <x:v>профиль зависит от конкретного продукта</x:v>
      </x:c>
      <x:c r="D265" s="28" t="str">
        <x:v>специфический профиль не детализирован</x:v>
      </x:c>
      <x:c r="E265" s="28" t="str">
        <x:v>вкусовой баланс зависит от сорта, обработки и рецептуры</x:v>
      </x:c>
      <x:c r="F265" s="28" t="str">
        <x:v>обычно минимальный; острые специи и алкоголь могут давать выраженный тройничный эффект</x:v>
      </x:c>
      <x:c r="G265" s="28" t="str">
        <x:v>матрица определяется содержанием воды, жира, белка, сахара и полифенолов</x:v>
      </x:c>
      <x:c r="H265" s="28" t="str">
        <x:v>профиль необходимо проверять после рабочей обработки и при температуре подачи</x:v>
      </x:c>
      <x:c r="I265" s="28" t="n">
        <x:v>1</x:v>
      </x:c>
    </x:row>
    <x:row r="266" ht="50" customHeight="1">
      <x:c r="A266" s="28" t="str">
        <x:v>семена кориандра</x:v>
      </x:c>
      <x:c r="B266" s="28" t="str">
        <x:v>Травы, цветы и листья</x:v>
      </x:c>
      <x:c r="C266" s="28" t="str">
        <x:v>зелёный, цветочный и терпеновый</x:v>
      </x:c>
      <x:c r="D266" s="28" t="str">
        <x:v>линалоол, терпены</x:v>
      </x:c>
      <x:c r="E266" s="28" t="str">
        <x:v>вкусовой баланс зависит от сорта, обработки и рецептуры</x:v>
      </x:c>
      <x:c r="F266" s="28" t="str">
        <x:v>обычно минимальный; острые специи и алкоголь могут давать выраженный тройничный эффект</x:v>
      </x:c>
      <x:c r="G266" s="28" t="str">
        <x:v>матрица определяется содержанием воды, жира, белка, сахара и полифенолов</x:v>
      </x:c>
      <x:c r="H266" s="28" t="str">
        <x:v>профиль необходимо проверять после рабочей обработки и при температуре подачи</x:v>
      </x:c>
      <x:c r="I266" s="28" t="n">
        <x:v>1</x:v>
      </x:c>
    </x:row>
    <x:row r="267" ht="50" customHeight="1">
      <x:c r="A267" s="28" t="str">
        <x:v>семена нигеллы</x:v>
      </x:c>
      <x:c r="B267" s="28" t="str">
        <x:v>Прочее</x:v>
      </x:c>
      <x:c r="C267" s="28" t="str">
        <x:v>профиль зависит от конкретного продукта</x:v>
      </x:c>
      <x:c r="D267" s="28" t="str">
        <x:v>специфический профиль не детализирован</x:v>
      </x:c>
      <x:c r="E267" s="28" t="str">
        <x:v>вкусовой баланс зависит от сорта, обработки и рецептуры</x:v>
      </x:c>
      <x:c r="F267" s="28" t="str">
        <x:v>обычно минимальный; острые специи и алкоголь могут давать выраженный тройничный эффект</x:v>
      </x:c>
      <x:c r="G267" s="28" t="str">
        <x:v>матрица определяется содержанием воды, жира, белка, сахара и полифенолов</x:v>
      </x:c>
      <x:c r="H267" s="28" t="str">
        <x:v>профиль необходимо проверять после рабочей обработки и при температуре подачи</x:v>
      </x:c>
      <x:c r="I267" s="28" t="n">
        <x:v>1</x:v>
      </x:c>
    </x:row>
    <x:row r="268" ht="50" customHeight="1">
      <x:c r="A268" s="28" t="str">
        <x:v>семена фенхеля</x:v>
      </x:c>
      <x:c r="B268" s="28" t="str">
        <x:v>Прочее</x:v>
      </x:c>
      <x:c r="C268" s="28" t="str">
        <x:v>профиль зависит от конкретного продукта</x:v>
      </x:c>
      <x:c r="D268" s="28" t="str">
        <x:v>специфический профиль не детализирован</x:v>
      </x:c>
      <x:c r="E268" s="28" t="str">
        <x:v>вкусовой баланс зависит от сорта, обработки и рецептуры</x:v>
      </x:c>
      <x:c r="F268" s="28" t="str">
        <x:v>обычно минимальный; острые специи и алкоголь могут давать выраженный тройничный эффект</x:v>
      </x:c>
      <x:c r="G268" s="28" t="str">
        <x:v>матрица определяется содержанием воды, жира, белка, сахара и полифенолов</x:v>
      </x:c>
      <x:c r="H268" s="28" t="str">
        <x:v>профиль необходимо проверять после рабочей обработки и при температуре подачи</x:v>
      </x:c>
      <x:c r="I268" s="28" t="n">
        <x:v>1</x:v>
      </x:c>
    </x:row>
    <x:row r="269" ht="50" customHeight="1">
      <x:c r="A269" s="28" t="str">
        <x:v>сладкая паприка</x:v>
      </x:c>
      <x:c r="B269" s="28" t="str">
        <x:v>Прочее</x:v>
      </x:c>
      <x:c r="C269" s="28" t="str">
        <x:v>профиль зависит от конкретного продукта</x:v>
      </x:c>
      <x:c r="D269" s="28" t="str">
        <x:v>специфический профиль не детализирован</x:v>
      </x:c>
      <x:c r="E269" s="28" t="str">
        <x:v>вкусовой баланс зависит от сорта, обработки и рецептуры</x:v>
      </x:c>
      <x:c r="F269" s="28" t="str">
        <x:v>обычно минимальный; острые специи и алкоголь могут давать выраженный тройничный эффект</x:v>
      </x:c>
      <x:c r="G269" s="28" t="str">
        <x:v>матрица определяется содержанием воды, жира, белка, сахара и полифенолов</x:v>
      </x:c>
      <x:c r="H269" s="28" t="str">
        <x:v>профиль необходимо проверять после рабочей обработки и при температуре подачи</x:v>
      </x:c>
      <x:c r="I269" s="28" t="n">
        <x:v>1</x:v>
      </x:c>
    </x:row>
    <x:row r="270" ht="50" customHeight="1">
      <x:c r="A270" s="28" t="str">
        <x:v>слива</x:v>
      </x:c>
      <x:c r="B270" s="28" t="str">
        <x:v>Фрукты и ягоды</x:v>
      </x:c>
      <x:c r="C270" s="28" t="str">
        <x:v>фруктовый, цветочный и свежий</x:v>
      </x:c>
      <x:c r="D270" s="28" t="str">
        <x:v>альдегиды, эфиры</x:v>
      </x:c>
      <x:c r="E270" s="28" t="str">
        <x:v>вкусовой баланс зависит от сорта, обработки и рецептуры</x:v>
      </x:c>
      <x:c r="F270" s="28" t="str">
        <x:v>обычно минимальный; острые специи и алкоголь могут давать выраженный тройничный эффект</x:v>
      </x:c>
      <x:c r="G270" s="28" t="str">
        <x:v>матрица определяется содержанием воды, жира, белка, сахара и полифенолов</x:v>
      </x:c>
      <x:c r="H270" s="28" t="str">
        <x:v>профиль необходимо проверять после рабочей обработки и при температуре подачи</x:v>
      </x:c>
      <x:c r="I270" s="28" t="n">
        <x:v>8</x:v>
      </x:c>
    </x:row>
    <x:row r="271" ht="50" customHeight="1">
      <x:c r="A271" s="28" t="str">
        <x:v>сливочное масло</x:v>
      </x:c>
      <x:c r="B271" s="28" t="str">
        <x:v>Фрукты и ягоды</x:v>
      </x:c>
      <x:c r="C271" s="28" t="str">
        <x:v>фруктовый, цветочный и свежий</x:v>
      </x:c>
      <x:c r="D271" s="28" t="str">
        <x:v>альдегиды, эфиры</x:v>
      </x:c>
      <x:c r="E271" s="28" t="str">
        <x:v>вкусовой баланс зависит от сорта, обработки и рецептуры</x:v>
      </x:c>
      <x:c r="F271" s="28" t="str">
        <x:v>обычно минимальный; острые специи и алкоголь могут давать выраженный тройничный эффект</x:v>
      </x:c>
      <x:c r="G271" s="28" t="str">
        <x:v>матрица определяется содержанием воды, жира, белка, сахара и полифенолов</x:v>
      </x:c>
      <x:c r="H271" s="28" t="str">
        <x:v>профиль необходимо проверять после рабочей обработки и при температуре подачи</x:v>
      </x:c>
      <x:c r="I271" s="28" t="n">
        <x:v>1</x:v>
      </x:c>
    </x:row>
    <x:row r="272" ht="50" customHeight="1">
      <x:c r="A272" s="28" t="str">
        <x:v>сливочный сыр</x:v>
      </x:c>
      <x:c r="B272" s="28" t="str">
        <x:v>Молочные продукты и сыры</x:v>
      </x:c>
      <x:c r="C272" s="28" t="str">
        <x:v>молочный, умами, ферментированный</x:v>
      </x:c>
      <x:c r="D272" s="28" t="str">
        <x:v>диацетил, жирные кислоты</x:v>
      </x:c>
      <x:c r="E272" s="28" t="str">
        <x:v>вкусовой баланс зависит от сорта, обработки и рецептуры</x:v>
      </x:c>
      <x:c r="F272" s="28" t="str">
        <x:v>обычно минимальный; острые специи и алкоголь могут давать выраженный тройничный эффект</x:v>
      </x:c>
      <x:c r="G272" s="28" t="str">
        <x:v>матрица определяется содержанием воды, жира, белка, сахара и полифенолов</x:v>
      </x:c>
      <x:c r="H272" s="28" t="str">
        <x:v>профиль необходимо проверять после рабочей обработки и при температуре подачи</x:v>
      </x:c>
      <x:c r="I272" s="28" t="n">
        <x:v>1</x:v>
      </x:c>
    </x:row>
    <x:row r="273" ht="50" customHeight="1">
      <x:c r="A273" s="28" t="str">
        <x:v>см. также чеснок</x:v>
      </x:c>
      <x:c r="B273" s="28" t="str">
        <x:v>Овощи, бобовые и грибы</x:v>
      </x:c>
      <x:c r="C273" s="28" t="str">
        <x:v>зелёный, землистый или умами</x:v>
      </x:c>
      <x:c r="D273" s="28" t="str">
        <x:v>альдегиды, сернистые соединения</x:v>
      </x:c>
      <x:c r="E273" s="28" t="str">
        <x:v>вкусовой баланс зависит от сорта, обработки и рецептуры</x:v>
      </x:c>
      <x:c r="F273" s="28" t="str">
        <x:v>обычно минимальный; острые специи и алкоголь могут давать выраженный тройничный эффект</x:v>
      </x:c>
      <x:c r="G273" s="28" t="str">
        <x:v>матрица определяется содержанием воды, жира, белка, сахара и полифенолов</x:v>
      </x:c>
      <x:c r="H273" s="28" t="str">
        <x:v>профиль необходимо проверять после рабочей обработки и при температуре подачи</x:v>
      </x:c>
      <x:c r="I273" s="28" t="n">
        <x:v>1</x:v>
      </x:c>
    </x:row>
    <x:row r="274" ht="50" customHeight="1">
      <x:c r="A274" s="28" t="str">
        <x:v>соевые продукты</x:v>
      </x:c>
      <x:c r="B274" s="28" t="str">
        <x:v>Прочее</x:v>
      </x:c>
      <x:c r="C274" s="28" t="str">
        <x:v>профиль зависит от конкретного продукта</x:v>
      </x:c>
      <x:c r="D274" s="28" t="str">
        <x:v>специфический профиль не детализирован</x:v>
      </x:c>
      <x:c r="E274" s="28" t="str">
        <x:v>вкусовой баланс зависит от сорта, обработки и рецептуры</x:v>
      </x:c>
      <x:c r="F274" s="28" t="str">
        <x:v>обычно минимальный; острые специи и алкоголь могут давать выраженный тройничный эффект</x:v>
      </x:c>
      <x:c r="G274" s="28" t="str">
        <x:v>матрица определяется содержанием воды, жира, белка, сахара и полифенолов</x:v>
      </x:c>
      <x:c r="H274" s="28" t="str">
        <x:v>профиль необходимо проверять после рабочей обработки и при температуре подачи</x:v>
      </x:c>
      <x:c r="I274" s="28" t="n">
        <x:v>1</x:v>
      </x:c>
    </x:row>
    <x:row r="275" ht="50" customHeight="1">
      <x:c r="A275" s="28" t="str">
        <x:v>соевый соус</x:v>
      </x:c>
      <x:c r="B275" s="28" t="str">
        <x:v>Ферментированные продукты и соусы</x:v>
      </x:c>
      <x:c r="C275" s="28" t="str">
        <x:v>жареный, умами, ферментированный</x:v>
      </x:c>
      <x:c r="D275" s="28" t="str">
        <x:v>пиразины, фураны, эфиры</x:v>
      </x:c>
      <x:c r="E275" s="28" t="str">
        <x:v>вкусовой баланс зависит от сорта, обработки и рецептуры</x:v>
      </x:c>
      <x:c r="F275" s="28" t="str">
        <x:v>обычно минимальный; острые специи и алкоголь могут давать выраженный тройничный эффект</x:v>
      </x:c>
      <x:c r="G275" s="28" t="str">
        <x:v>матрица определяется содержанием воды, жира, белка, сахара и полифенолов</x:v>
      </x:c>
      <x:c r="H275" s="28" t="str">
        <x:v>профиль необходимо проверять после рабочей обработки и при температуре подачи</x:v>
      </x:c>
      <x:c r="I275" s="28" t="n">
        <x:v>2</x:v>
      </x:c>
    </x:row>
    <x:row r="276" ht="50" customHeight="1">
      <x:c r="A276" s="28" t="str">
        <x:v>соус тукупи</x:v>
      </x:c>
      <x:c r="B276" s="28" t="str">
        <x:v>Ферментированные продукты и соусы</x:v>
      </x:c>
      <x:c r="C276" s="28" t="str">
        <x:v>ферментированный, умами и сложный</x:v>
      </x:c>
      <x:c r="D276" s="28" t="str">
        <x:v>пиразины, фураны, эфиры</x:v>
      </x:c>
      <x:c r="E276" s="28" t="str">
        <x:v>вкусовой баланс зависит от сорта, обработки и рецептуры</x:v>
      </x:c>
      <x:c r="F276" s="28" t="str">
        <x:v>обычно минимальный; острые специи и алкоголь могут давать выраженный тройничный эффект</x:v>
      </x:c>
      <x:c r="G276" s="28" t="str">
        <x:v>матрица определяется содержанием воды, жира, белка, сахара и полифенолов</x:v>
      </x:c>
      <x:c r="H276" s="28" t="str">
        <x:v>профиль необходимо проверять после рабочей обработки и при температуре подачи</x:v>
      </x:c>
      <x:c r="I276" s="28" t="n">
        <x:v>1</x:v>
      </x:c>
    </x:row>
    <x:row r="277" ht="50" customHeight="1">
      <x:c r="A277" s="28" t="str">
        <x:v>спаржа</x:v>
      </x:c>
      <x:c r="B277" s="28" t="str">
        <x:v>Овощи, бобовые и грибы</x:v>
      </x:c>
      <x:c r="C277" s="28" t="str">
        <x:v>зелёный, землистый или умами</x:v>
      </x:c>
      <x:c r="D277" s="28" t="str">
        <x:v>альдегиды, сернистые соединения</x:v>
      </x:c>
      <x:c r="E277" s="28" t="str">
        <x:v>вкусовой баланс зависит от сорта, обработки и рецептуры</x:v>
      </x:c>
      <x:c r="F277" s="28" t="str">
        <x:v>обычно минимальный; острые специи и алкоголь могут давать выраженный тройничный эффект</x:v>
      </x:c>
      <x:c r="G277" s="28" t="str">
        <x:v>матрица определяется содержанием воды, жира, белка, сахара и полифенолов</x:v>
      </x:c>
      <x:c r="H277" s="28" t="str">
        <x:v>профиль необходимо проверять после рабочей обработки и при температуре подачи</x:v>
      </x:c>
      <x:c r="I277" s="28" t="n">
        <x:v>2</x:v>
      </x:c>
    </x:row>
    <x:row r="278" ht="50" customHeight="1">
      <x:c r="A278" s="28" t="str">
        <x:v>сыр</x:v>
      </x:c>
      <x:c r="B278" s="28" t="str">
        <x:v>Молочные продукты и сыры</x:v>
      </x:c>
      <x:c r="C278" s="28" t="str">
        <x:v>молочный, умами, ферментированный</x:v>
      </x:c>
      <x:c r="D278" s="28" t="str">
        <x:v>диацетил, жирные кислоты</x:v>
      </x:c>
      <x:c r="E278" s="28" t="str">
        <x:v>вкусовой баланс зависит от сорта, обработки и рецептуры</x:v>
      </x:c>
      <x:c r="F278" s="28" t="str">
        <x:v>обычно минимальный; острые специи и алкоголь могут давать выраженный тройничный эффект</x:v>
      </x:c>
      <x:c r="G278" s="28" t="str">
        <x:v>матрица определяется содержанием воды, жира, белка, сахара и полифенолов</x:v>
      </x:c>
      <x:c r="H278" s="28" t="str">
        <x:v>профиль необходимо проверять после рабочей обработки и при температуре подачи</x:v>
      </x:c>
      <x:c r="I278" s="28" t="n">
        <x:v>1</x:v>
      </x:c>
    </x:row>
    <x:row r="279" ht="50" customHeight="1">
      <x:c r="A279" s="28" t="str">
        <x:v>таитянская ваниль</x:v>
      </x:c>
      <x:c r="B279" s="28" t="str">
        <x:v>Специи</x:v>
      </x:c>
      <x:c r="C279" s="28" t="str">
        <x:v>ванильный, цветочный</x:v>
      </x:c>
      <x:c r="D279" s="28" t="str">
        <x:v>ванилин</x:v>
      </x:c>
      <x:c r="E279" s="28" t="str">
        <x:v>вкусовой баланс зависит от сорта, обработки и рецептуры</x:v>
      </x:c>
      <x:c r="F279" s="28" t="str">
        <x:v>обычно минимальный; острые специи и алкоголь могут давать выраженный тройничный эффект</x:v>
      </x:c>
      <x:c r="G279" s="28" t="str">
        <x:v>матрица определяется содержанием воды, жира, белка, сахара и полифенолов</x:v>
      </x:c>
      <x:c r="H279" s="28" t="str">
        <x:v>профиль необходимо проверять после рабочей обработки и при температуре подачи</x:v>
      </x:c>
      <x:c r="I279" s="28" t="n">
        <x:v>1</x:v>
      </x:c>
    </x:row>
    <x:row r="280" ht="50" customHeight="1">
      <x:c r="A280" s="28" t="str">
        <x:v>твердый сыр</x:v>
      </x:c>
      <x:c r="B280" s="28" t="str">
        <x:v>Молочные продукты и сыры</x:v>
      </x:c>
      <x:c r="C280" s="28" t="str">
        <x:v>молочный, умами, ферментированный</x:v>
      </x:c>
      <x:c r="D280" s="28" t="str">
        <x:v>диацетил, жирные кислоты</x:v>
      </x:c>
      <x:c r="E280" s="28" t="str">
        <x:v>вкусовой баланс зависит от сорта, обработки и рецептуры</x:v>
      </x:c>
      <x:c r="F280" s="28" t="str">
        <x:v>обычно минимальный; острые специи и алкоголь могут давать выраженный тройничный эффект</x:v>
      </x:c>
      <x:c r="G280" s="28" t="str">
        <x:v>матрица определяется содержанием воды, жира, белка, сахара и полифенолов</x:v>
      </x:c>
      <x:c r="H280" s="28" t="str">
        <x:v>профиль необходимо проверять после рабочей обработки и при температуре подачи</x:v>
      </x:c>
      <x:c r="I280" s="28" t="n">
        <x:v>2</x:v>
      </x:c>
    </x:row>
    <x:row r="281" ht="50" customHeight="1">
      <x:c r="A281" s="28" t="str">
        <x:v>текила</x:v>
      </x:c>
      <x:c r="B281" s="28" t="str">
        <x:v>Прочее</x:v>
      </x:c>
      <x:c r="C281" s="28" t="str">
        <x:v>профиль зависит от конкретного продукта</x:v>
      </x:c>
      <x:c r="D281" s="28" t="str">
        <x:v>специфический профиль не детализирован</x:v>
      </x:c>
      <x:c r="E281" s="28" t="str">
        <x:v>вкусовой баланс зависит от сорта, обработки и рецептуры</x:v>
      </x:c>
      <x:c r="F281" s="28" t="str">
        <x:v>обычно минимальный; острые специи и алкоголь могут давать выраженный тройничный эффект</x:v>
      </x:c>
      <x:c r="G281" s="28" t="str">
        <x:v>матрица определяется содержанием воды, жира, белка, сахара и полифенолов</x:v>
      </x:c>
      <x:c r="H281" s="28" t="str">
        <x:v>профиль необходимо проверять после рабочей обработки и при температуре подачи</x:v>
      </x:c>
      <x:c r="I281" s="28" t="n">
        <x:v>1</x:v>
      </x:c>
    </x:row>
    <x:row r="282" ht="50" customHeight="1">
      <x:c r="A282" s="28" t="str">
        <x:v>тимьян</x:v>
      </x:c>
      <x:c r="B282" s="28" t="str">
        <x:v>Травы, цветы и листья</x:v>
      </x:c>
      <x:c r="C282" s="28" t="str">
        <x:v>зелёный, цветочный и терпеновый</x:v>
      </x:c>
      <x:c r="D282" s="28" t="str">
        <x:v>линалоол, терпены</x:v>
      </x:c>
      <x:c r="E282" s="28" t="str">
        <x:v>вкусовой баланс зависит от сорта, обработки и рецептуры</x:v>
      </x:c>
      <x:c r="F282" s="28" t="str">
        <x:v>обычно минимальный; острые специи и алкоголь могут давать выраженный тройничный эффект</x:v>
      </x:c>
      <x:c r="G282" s="28" t="str">
        <x:v>матрица определяется содержанием воды, жира, белка, сахара и полифенолов</x:v>
      </x:c>
      <x:c r="H282" s="28" t="str">
        <x:v>профиль необходимо проверять после рабочей обработки и при температуре подачи</x:v>
      </x:c>
      <x:c r="I282" s="28" t="n">
        <x:v>2</x:v>
      </x:c>
    </x:row>
    <x:row r="283" ht="50" customHeight="1">
      <x:c r="A283" s="28" t="str">
        <x:v>томат</x:v>
      </x:c>
      <x:c r="B283" s="28" t="str">
        <x:v>Овощи, бобовые и грибы</x:v>
      </x:c>
      <x:c r="C283" s="28" t="str">
        <x:v>зелёный, умами, фруктовый</x:v>
      </x:c>
      <x:c r="D283" s="28" t="str">
        <x:v>гексаналь, ионoны</x:v>
      </x:c>
      <x:c r="E283" s="28" t="str">
        <x:v>вкусовой баланс зависит от сорта, обработки и рецептуры</x:v>
      </x:c>
      <x:c r="F283" s="28" t="str">
        <x:v>обычно минимальный; острые специи и алкоголь могут давать выраженный тройничный эффект</x:v>
      </x:c>
      <x:c r="G283" s="28" t="str">
        <x:v>матрица определяется содержанием воды, жира, белка, сахара и полифенолов</x:v>
      </x:c>
      <x:c r="H283" s="28" t="str">
        <x:v>профиль необходимо проверять после рабочей обработки и при температуре подачи</x:v>
      </x:c>
      <x:c r="I283" s="28" t="n">
        <x:v>1</x:v>
      </x:c>
    </x:row>
    <x:row r="284" ht="50" customHeight="1">
      <x:c r="A284" s="28" t="str">
        <x:v>томат черри</x:v>
      </x:c>
      <x:c r="B284" s="28" t="str">
        <x:v>Овощи, бобовые и грибы</x:v>
      </x:c>
      <x:c r="C284" s="28" t="str">
        <x:v>зелёный, умами, фруктовый</x:v>
      </x:c>
      <x:c r="D284" s="28" t="str">
        <x:v>гексаналь, ионoны</x:v>
      </x:c>
      <x:c r="E284" s="28" t="str">
        <x:v>вкусовой баланс зависит от сорта, обработки и рецептуры</x:v>
      </x:c>
      <x:c r="F284" s="28" t="str">
        <x:v>обычно минимальный; острые специи и алкоголь могут давать выраженный тройничный эффект</x:v>
      </x:c>
      <x:c r="G284" s="28" t="str">
        <x:v>матрица определяется содержанием воды, жира, белка, сахара и полифенолов</x:v>
      </x:c>
      <x:c r="H284" s="28" t="str">
        <x:v>профиль необходимо проверять после рабочей обработки и при температуре подачи</x:v>
      </x:c>
      <x:c r="I284" s="28" t="n">
        <x:v>1</x:v>
      </x:c>
    </x:row>
    <x:row r="285" ht="50" customHeight="1">
      <x:c r="A285" s="28" t="str">
        <x:v>томаты</x:v>
      </x:c>
      <x:c r="B285" s="28" t="str">
        <x:v>Овощи, бобовые и грибы</x:v>
      </x:c>
      <x:c r="C285" s="28" t="str">
        <x:v>зелёный, умами, фруктовый</x:v>
      </x:c>
      <x:c r="D285" s="28" t="str">
        <x:v>гексаналь, ионoны</x:v>
      </x:c>
      <x:c r="E285" s="28" t="str">
        <x:v>вкусовой баланс зависит от сорта, обработки и рецептуры</x:v>
      </x:c>
      <x:c r="F285" s="28" t="str">
        <x:v>обычно минимальный; острые специи и алкоголь могут давать выраженный тройничный эффект</x:v>
      </x:c>
      <x:c r="G285" s="28" t="str">
        <x:v>матрица определяется содержанием воды, жира, белка, сахара и полифенолов</x:v>
      </x:c>
      <x:c r="H285" s="28" t="str">
        <x:v>профиль необходимо проверять после рабочей обработки и при температуре подачи</x:v>
      </x:c>
      <x:c r="I285" s="28" t="n">
        <x:v>2</x:v>
      </x:c>
    </x:row>
    <x:row r="286" ht="50" customHeight="1">
      <x:c r="A286" s="28" t="str">
        <x:v>торфяной виски</x:v>
      </x:c>
      <x:c r="B286" s="28" t="str">
        <x:v>Алкогольные напитки</x:v>
      </x:c>
      <x:c r="C286" s="28" t="str">
        <x:v>спиртовой, фруктовый или древесный</x:v>
      </x:c>
      <x:c r="D286" s="28" t="str">
        <x:v>альдегиды, эфиры</x:v>
      </x:c>
      <x:c r="E286" s="28" t="str">
        <x:v>вкусовой баланс зависит от сорта, обработки и рецептуры</x:v>
      </x:c>
      <x:c r="F286" s="28" t="str">
        <x:v>обычно минимальный; острые специи и алкоголь могут давать выраженный тройничный эффект</x:v>
      </x:c>
      <x:c r="G286" s="28" t="str">
        <x:v>матрица определяется содержанием воды, жира, белка, сахара и полифенолов</x:v>
      </x:c>
      <x:c r="H286" s="28" t="str">
        <x:v>профиль необходимо проверять после рабочей обработки и при температуре подачи</x:v>
      </x:c>
      <x:c r="I286" s="28" t="n">
        <x:v>1</x:v>
      </x:c>
    </x:row>
    <x:row r="287" ht="50" customHeight="1">
      <x:c r="A287" s="28" t="str">
        <x:v>трюфель</x:v>
      </x:c>
      <x:c r="B287" s="28" t="str">
        <x:v>Прочее</x:v>
      </x:c>
      <x:c r="C287" s="28" t="str">
        <x:v>профиль зависит от конкретного продукта</x:v>
      </x:c>
      <x:c r="D287" s="28" t="str">
        <x:v>специфический профиль не детализирован</x:v>
      </x:c>
      <x:c r="E287" s="28" t="str">
        <x:v>вкусовой баланс зависит от сорта, обработки и рецептуры</x:v>
      </x:c>
      <x:c r="F287" s="28" t="str">
        <x:v>обычно минимальный; острые специи и алкоголь могут давать выраженный тройничный эффект</x:v>
      </x:c>
      <x:c r="G287" s="28" t="str">
        <x:v>матрица определяется содержанием воды, жира, белка, сахара и полифенолов</x:v>
      </x:c>
      <x:c r="H287" s="28" t="str">
        <x:v>профиль необходимо проверять после рабочей обработки и при температуре подачи</x:v>
      </x:c>
      <x:c r="I287" s="28" t="n">
        <x:v>3</x:v>
      </x:c>
    </x:row>
    <x:row r="288" ht="50" customHeight="1">
      <x:c r="A288" s="28" t="str">
        <x:v>тушёная мольва</x:v>
      </x:c>
      <x:c r="B288" s="28" t="str">
        <x:v>Прочее</x:v>
      </x:c>
      <x:c r="C288" s="28" t="str">
        <x:v>профиль зависит от конкретного продукта</x:v>
      </x:c>
      <x:c r="D288" s="28" t="str">
        <x:v>специфический профиль не детализирован</x:v>
      </x:c>
      <x:c r="E288" s="28" t="str">
        <x:v>вкусовой баланс зависит от сорта, обработки и рецептуры</x:v>
      </x:c>
      <x:c r="F288" s="28" t="str">
        <x:v>обычно минимальный; острые специи и алкоголь могут давать выраженный тройничный эффект</x:v>
      </x:c>
      <x:c r="G288" s="28" t="str">
        <x:v>матрица определяется содержанием воды, жира, белка, сахара и полифенолов</x:v>
      </x:c>
      <x:c r="H288" s="28" t="str">
        <x:v>профиль необходимо проверять после рабочей обработки и при температуре подачи</x:v>
      </x:c>
      <x:c r="I288" s="28" t="n">
        <x:v>1</x:v>
      </x:c>
    </x:row>
    <x:row r="289" ht="50" customHeight="1">
      <x:c r="A289" s="28" t="str">
        <x:v>тыква</x:v>
      </x:c>
      <x:c r="B289" s="28" t="str">
        <x:v>Овощи, бобовые и грибы</x:v>
      </x:c>
      <x:c r="C289" s="28" t="str">
        <x:v>зелёный, землистый или умами</x:v>
      </x:c>
      <x:c r="D289" s="28" t="str">
        <x:v>альдегиды, сернистые соединения</x:v>
      </x:c>
      <x:c r="E289" s="28" t="str">
        <x:v>вкусовой баланс зависит от сорта, обработки и рецептуры</x:v>
      </x:c>
      <x:c r="F289" s="28" t="str">
        <x:v>обычно минимальный; острые специи и алкоголь могут давать выраженный тройничный эффект</x:v>
      </x:c>
      <x:c r="G289" s="28" t="str">
        <x:v>матрица определяется содержанием воды, жира, белка, сахара и полифенолов</x:v>
      </x:c>
      <x:c r="H289" s="28" t="str">
        <x:v>профиль необходимо проверять после рабочей обработки и при температуре подачи</x:v>
      </x:c>
      <x:c r="I289" s="28" t="n">
        <x:v>2</x:v>
      </x:c>
    </x:row>
    <x:row r="290" ht="50" customHeight="1">
      <x:c r="A290" s="28" t="str">
        <x:v>тыква баттернат</x:v>
      </x:c>
      <x:c r="B290" s="28" t="str">
        <x:v>Овощи, бобовые и грибы</x:v>
      </x:c>
      <x:c r="C290" s="28" t="str">
        <x:v>зелёный, землистый или умами</x:v>
      </x:c>
      <x:c r="D290" s="28" t="str">
        <x:v>альдегиды, сернистые соединения</x:v>
      </x:c>
      <x:c r="E290" s="28" t="str">
        <x:v>вкусовой баланс зависит от сорта, обработки и рецептуры</x:v>
      </x:c>
      <x:c r="F290" s="28" t="str">
        <x:v>обычно минимальный; острые специи и алкоголь могут давать выраженный тройничный эффект</x:v>
      </x:c>
      <x:c r="G290" s="28" t="str">
        <x:v>матрица определяется содержанием воды, жира, белка, сахара и полифенолов</x:v>
      </x:c>
      <x:c r="H290" s="28" t="str">
        <x:v>профиль необходимо проверять после рабочей обработки и при температуре подачи</x:v>
      </x:c>
      <x:c r="I290" s="28" t="n">
        <x:v>2</x:v>
      </x:c>
    </x:row>
    <x:row r="291" ht="50" customHeight="1">
      <x:c r="A291" s="28" t="str">
        <x:v>тёмный соевый соус</x:v>
      </x:c>
      <x:c r="B291" s="28" t="str">
        <x:v>Ферментированные продукты и соусы</x:v>
      </x:c>
      <x:c r="C291" s="28" t="str">
        <x:v>жареный, умами, ферментированный</x:v>
      </x:c>
      <x:c r="D291" s="28" t="str">
        <x:v>пиразины, фураны, эфиры</x:v>
      </x:c>
      <x:c r="E291" s="28" t="str">
        <x:v>вкусовой баланс зависит от сорта, обработки и рецептуры</x:v>
      </x:c>
      <x:c r="F291" s="28" t="str">
        <x:v>обычно минимальный; острые специи и алкоголь могут давать выраженный тройничный эффект</x:v>
      </x:c>
      <x:c r="G291" s="28" t="str">
        <x:v>матрица определяется содержанием воды, жира, белка, сахара и полифенолов</x:v>
      </x:c>
      <x:c r="H291" s="28" t="str">
        <x:v>профиль необходимо проверять после рабочей обработки и при температуре подачи</x:v>
      </x:c>
      <x:c r="I291" s="28" t="n">
        <x:v>1</x:v>
      </x:c>
    </x:row>
    <x:row r="292" ht="50" customHeight="1">
      <x:c r="A292" s="28" t="str">
        <x:v>уакаатай</x:v>
      </x:c>
      <x:c r="B292" s="28" t="str">
        <x:v>Прочее</x:v>
      </x:c>
      <x:c r="C292" s="28" t="str">
        <x:v>профиль зависит от конкретного продукта</x:v>
      </x:c>
      <x:c r="D292" s="28" t="str">
        <x:v>специфический профиль не детализирован</x:v>
      </x:c>
      <x:c r="E292" s="28" t="str">
        <x:v>вкусовой баланс зависит от сорта, обработки и рецептуры</x:v>
      </x:c>
      <x:c r="F292" s="28" t="str">
        <x:v>обычно минимальный; острые специи и алкоголь могут давать выраженный тройничный эффект</x:v>
      </x:c>
      <x:c r="G292" s="28" t="str">
        <x:v>матрица определяется содержанием воды, жира, белка, сахара и полифенолов</x:v>
      </x:c>
      <x:c r="H292" s="28" t="str">
        <x:v>профиль необходимо проверять после рабочей обработки и при температуре подачи</x:v>
      </x:c>
      <x:c r="I292" s="28" t="n">
        <x:v>1</x:v>
      </x:c>
    </x:row>
    <x:row r="293" ht="50" customHeight="1">
      <x:c r="A293" s="28" t="str">
        <x:v>укроп</x:v>
      </x:c>
      <x:c r="B293" s="28" t="str">
        <x:v>Прочее</x:v>
      </x:c>
      <x:c r="C293" s="28" t="str">
        <x:v>профиль зависит от конкретного продукта</x:v>
      </x:c>
      <x:c r="D293" s="28" t="str">
        <x:v>специфический профиль не детализирован</x:v>
      </x:c>
      <x:c r="E293" s="28" t="str">
        <x:v>вкусовой баланс зависит от сорта, обработки и рецептуры</x:v>
      </x:c>
      <x:c r="F293" s="28" t="str">
        <x:v>обычно минимальный; острые специи и алкоголь могут давать выраженный тройничный эффект</x:v>
      </x:c>
      <x:c r="G293" s="28" t="str">
        <x:v>матрица определяется содержанием воды, жира, белка, сахара и полифенолов</x:v>
      </x:c>
      <x:c r="H293" s="28" t="str">
        <x:v>профиль необходимо проверять после рабочей обработки и при температуре подачи</x:v>
      </x:c>
      <x:c r="I293" s="28" t="n">
        <x:v>1</x:v>
      </x:c>
    </x:row>
    <x:row r="294" ht="50" customHeight="1">
      <x:c r="A294" s="28" t="str">
        <x:v>улун</x:v>
      </x:c>
      <x:c r="B294" s="28" t="str">
        <x:v>Чай</x:v>
      </x:c>
      <x:c r="C294" s="28" t="str">
        <x:v>цветочный, фруктовый, сливочный и слегка жареный</x:v>
      </x:c>
      <x:c r="D294" s="28" t="str">
        <x:v>гераниол, жасмонаты, линалол, норизопреноиды</x:v>
      </x:c>
      <x:c r="E294" s="28" t="str">
        <x:v>умеренная терпкость, сладость и минеральность</x:v>
      </x:c>
      <x:c r="F294" s="28" t="str">
        <x:v>лёгкая сухость</x:v>
      </x:c>
      <x:c r="G294" s="28" t="str">
        <x:v>водный настой частично окисленного листа</x:v>
      </x:c>
      <x:c r="H294" s="28" t="str">
        <x:v>многократные короткие проливы раскрывают слои; перегрев стирает цветочность</x:v>
      </x:c>
      <x:c r="I294" s="28" t="n">
        <x:v>1</x:v>
      </x:c>
    </x:row>
    <x:row r="295" ht="50" customHeight="1">
      <x:c r="A295" s="28" t="str">
        <x:v>фиалка</x:v>
      </x:c>
      <x:c r="B295" s="28" t="str">
        <x:v>Прочее</x:v>
      </x:c>
      <x:c r="C295" s="28" t="str">
        <x:v>профиль зависит от конкретного продукта</x:v>
      </x:c>
      <x:c r="D295" s="28" t="str">
        <x:v>специфический профиль не детализирован</x:v>
      </x:c>
      <x:c r="E295" s="28" t="str">
        <x:v>вкусовой баланс зависит от сорта, обработки и рецептуры</x:v>
      </x:c>
      <x:c r="F295" s="28" t="str">
        <x:v>обычно минимальный; острые специи и алкоголь могут давать выраженный тройничный эффект</x:v>
      </x:c>
      <x:c r="G295" s="28" t="str">
        <x:v>матрица определяется содержанием воды, жира, белка, сахара и полифенолов</x:v>
      </x:c>
      <x:c r="H295" s="28" t="str">
        <x:v>профиль необходимо проверять после рабочей обработки и при температуре подачи</x:v>
      </x:c>
      <x:c r="I295" s="28" t="n">
        <x:v>1</x:v>
      </x:c>
    </x:row>
    <x:row r="296" ht="50" customHeight="1">
      <x:c r="A296" s="28" t="str">
        <x:v>финик</x:v>
      </x:c>
      <x:c r="B296" s="28" t="str">
        <x:v>Прочее</x:v>
      </x:c>
      <x:c r="C296" s="28" t="str">
        <x:v>профиль зависит от конкретного продукта</x:v>
      </x:c>
      <x:c r="D296" s="28" t="str">
        <x:v>специфический профиль не детализирован</x:v>
      </x:c>
      <x:c r="E296" s="28" t="str">
        <x:v>вкусовой баланс зависит от сорта, обработки и рецептуры</x:v>
      </x:c>
      <x:c r="F296" s="28" t="str">
        <x:v>обычно минимальный; острые специи и алкоголь могут давать выраженный тройничный эффект</x:v>
      </x:c>
      <x:c r="G296" s="28" t="str">
        <x:v>матрица определяется содержанием воды, жира, белка, сахара и полифенолов</x:v>
      </x:c>
      <x:c r="H296" s="28" t="str">
        <x:v>профиль необходимо проверять после рабочей обработки и при температуре подачи</x:v>
      </x:c>
      <x:c r="I296" s="28" t="n">
        <x:v>6</x:v>
      </x:c>
    </x:row>
    <x:row r="297" ht="50" customHeight="1">
      <x:c r="A297" s="28" t="str">
        <x:v>фисташка</x:v>
      </x:c>
      <x:c r="B297" s="28" t="str">
        <x:v>Орехи и семена</x:v>
      </x:c>
      <x:c r="C297" s="28" t="str">
        <x:v>зелёный, ореховый, смолистый, сладкий и слегка цветочный</x:v>
      </x:c>
      <x:c r="D297" s="28" t="str">
        <x:v>гексаналь, пиразины, терпены, фураны</x:v>
      </x:c>
      <x:c r="E297" s="28" t="str">
        <x:v>жирность, мягкая сладость и лёгкая зелёная горечь</x:v>
      </x:c>
      <x:c r="F297" s="28" t="str">
        <x:v>минимальный</x:v>
      </x:c>
      <x:c r="G297" s="28" t="str">
        <x:v>жирная белково-клетчаточная матрица; зелёные пигменты чувствительны к перегреву</x:v>
      </x:c>
      <x:c r="H297" s="28" t="str">
        <x:v>лёгкая обжарка усиливает ореховость; сильный нагрев приглушает зелёный профиль</x:v>
      </x:c>
      <x:c r="I297" s="28" t="n">
        <x:v>24</x:v>
      </x:c>
    </x:row>
    <x:row r="298" ht="50" customHeight="1">
      <x:c r="A298" s="28" t="str">
        <x:v>фрике</x:v>
      </x:c>
      <x:c r="B298" s="28" t="str">
        <x:v>Прочее</x:v>
      </x:c>
      <x:c r="C298" s="28" t="str">
        <x:v>профиль зависит от конкретного продукта</x:v>
      </x:c>
      <x:c r="D298" s="28" t="str">
        <x:v>специфический профиль не детализирован</x:v>
      </x:c>
      <x:c r="E298" s="28" t="str">
        <x:v>вкусовой баланс зависит от сорта, обработки и рецептуры</x:v>
      </x:c>
      <x:c r="F298" s="28" t="str">
        <x:v>обычно минимальный; острые специи и алкоголь могут давать выраженный тройничный эффект</x:v>
      </x:c>
      <x:c r="G298" s="28" t="str">
        <x:v>матрица определяется содержанием воды, жира, белка, сахара и полифенолов</x:v>
      </x:c>
      <x:c r="H298" s="28" t="str">
        <x:v>профиль необходимо проверять после рабочей обработки и при температуре подачи</x:v>
      </x:c>
      <x:c r="I298" s="28" t="n">
        <x:v>1</x:v>
      </x:c>
    </x:row>
    <x:row r="299" ht="50" customHeight="1">
      <x:c r="A299" s="28" t="str">
        <x:v>фундук</x:v>
      </x:c>
      <x:c r="B299" s="28" t="str">
        <x:v>Орехи и семена</x:v>
      </x:c>
      <x:c r="C299" s="28" t="str">
        <x:v>ореховый, жареный, сладкий, землистый и какаоподобный</x:v>
      </x:c>
      <x:c r="D299" s="28" t="str">
        <x:v>альдегиды, пиразины, фильбертон, фураны</x:v>
      </x:c>
      <x:c r="E299" s="28" t="str">
        <x:v>сладковатый, жирный, с лёгкой горечью кожицы</x:v>
      </x:c>
      <x:c r="F299" s="28" t="str">
        <x:v>минимальный</x:v>
      </x:c>
      <x:c r="G299" s="28" t="str">
        <x:v>высокожировая матрица с белком; эффективно переносит аромат в пралине и пастах</x:v>
      </x:c>
      <x:c r="H299" s="28" t="str">
        <x:v>обжарка резко усиливает фильбертон, пиразины и жареные ноты; снятие кожицы снижает горечь</x:v>
      </x:c>
      <x:c r="I299" s="28" t="n">
        <x:v>105</x:v>
      </x:c>
    </x:row>
    <x:row r="300" ht="50" customHeight="1">
      <x:c r="A300" s="28" t="str">
        <x:v>хурма</x:v>
      </x:c>
      <x:c r="B300" s="28" t="str">
        <x:v>Прочее</x:v>
      </x:c>
      <x:c r="C300" s="28" t="str">
        <x:v>профиль зависит от конкретного продукта</x:v>
      </x:c>
      <x:c r="D300" s="28" t="str">
        <x:v>специфический профиль не детализирован</x:v>
      </x:c>
      <x:c r="E300" s="28" t="str">
        <x:v>вкусовой баланс зависит от сорта, обработки и рецептуры</x:v>
      </x:c>
      <x:c r="F300" s="28" t="str">
        <x:v>обычно минимальный; острые специи и алкоголь могут давать выраженный тройничный эффект</x:v>
      </x:c>
      <x:c r="G300" s="28" t="str">
        <x:v>матрица определяется содержанием воды, жира, белка, сахара и полифенолов</x:v>
      </x:c>
      <x:c r="H300" s="28" t="str">
        <x:v>профиль необходимо проверять после рабочей обработки и при температуре подачи</x:v>
      </x:c>
      <x:c r="I300" s="28" t="n">
        <x:v>1</x:v>
      </x:c>
    </x:row>
    <x:row r="301" ht="50" customHeight="1">
      <x:c r="A301" s="28" t="str">
        <x:v>цветная капуста</x:v>
      </x:c>
      <x:c r="B301" s="28" t="str">
        <x:v>Овощи, бобовые и грибы</x:v>
      </x:c>
      <x:c r="C301" s="28" t="str">
        <x:v>зелёный, землистый или умами</x:v>
      </x:c>
      <x:c r="D301" s="28" t="str">
        <x:v>альдегиды, сернистые соединения</x:v>
      </x:c>
      <x:c r="E301" s="28" t="str">
        <x:v>вкусовой баланс зависит от сорта, обработки и рецептуры</x:v>
      </x:c>
      <x:c r="F301" s="28" t="str">
        <x:v>обычно минимальный; острые специи и алкоголь могут давать выраженный тройничный эффект</x:v>
      </x:c>
      <x:c r="G301" s="28" t="str">
        <x:v>матрица определяется содержанием воды, жира, белка, сахара и полифенолов</x:v>
      </x:c>
      <x:c r="H301" s="28" t="str">
        <x:v>профиль необходимо проверять после рабочей обработки и при температуре подачи</x:v>
      </x:c>
      <x:c r="I301" s="28" t="n">
        <x:v>4</x:v>
      </x:c>
    </x:row>
    <x:row r="302" ht="50" customHeight="1">
      <x:c r="A302" s="28" t="str">
        <x:v>цветы бузины</x:v>
      </x:c>
      <x:c r="B302" s="28" t="str">
        <x:v>Травы, цветы и листья</x:v>
      </x:c>
      <x:c r="C302" s="28" t="str">
        <x:v>зелёный, цветочный и терпеновый</x:v>
      </x:c>
      <x:c r="D302" s="28" t="str">
        <x:v>линалоол, терпены</x:v>
      </x:c>
      <x:c r="E302" s="28" t="str">
        <x:v>вкусовой баланс зависит от сорта, обработки и рецептуры</x:v>
      </x:c>
      <x:c r="F302" s="28" t="str">
        <x:v>обычно минимальный; острые специи и алкоголь могут давать выраженный тройничный эффект</x:v>
      </x:c>
      <x:c r="G302" s="28" t="str">
        <x:v>матрица определяется содержанием воды, жира, белка, сахара и полифенолов</x:v>
      </x:c>
      <x:c r="H302" s="28" t="str">
        <x:v>профиль необходимо проверять после рабочей обработки и при температуре подачи</x:v>
      </x:c>
      <x:c r="I302" s="28" t="n">
        <x:v>2</x:v>
      </x:c>
    </x:row>
    <x:row r="303" ht="50" customHeight="1">
      <x:c r="A303" s="28" t="str">
        <x:v>цесарка</x:v>
      </x:c>
      <x:c r="B303" s="28" t="str">
        <x:v>Прочее</x:v>
      </x:c>
      <x:c r="C303" s="28" t="str">
        <x:v>профиль зависит от конкретного продукта</x:v>
      </x:c>
      <x:c r="D303" s="28" t="str">
        <x:v>специфический профиль не детализирован</x:v>
      </x:c>
      <x:c r="E303" s="28" t="str">
        <x:v>вкусовой баланс зависит от сорта, обработки и рецептуры</x:v>
      </x:c>
      <x:c r="F303" s="28" t="str">
        <x:v>обычно минимальный; острые специи и алкоголь могут давать выраженный тройничный эффект</x:v>
      </x:c>
      <x:c r="G303" s="28" t="str">
        <x:v>матрица определяется содержанием воды, жира, белка, сахара и полифенолов</x:v>
      </x:c>
      <x:c r="H303" s="28" t="str">
        <x:v>профиль необходимо проверять после рабочей обработки и при температуре подачи</x:v>
      </x:c>
      <x:c r="I303" s="28" t="n">
        <x:v>2</x:v>
      </x:c>
    </x:row>
    <x:row r="304" ht="50" customHeight="1">
      <x:c r="A304" s="28" t="str">
        <x:v>цитрусовые</x:v>
      </x:c>
      <x:c r="B304" s="28" t="str">
        <x:v>Прочее</x:v>
      </x:c>
      <x:c r="C304" s="28" t="str">
        <x:v>профиль зависит от конкретного продукта</x:v>
      </x:c>
      <x:c r="D304" s="28" t="str">
        <x:v>специфический профиль не детализирован</x:v>
      </x:c>
      <x:c r="E304" s="28" t="str">
        <x:v>вкусовой баланс зависит от сорта, обработки и рецептуры</x:v>
      </x:c>
      <x:c r="F304" s="28" t="str">
        <x:v>обычно минимальный; острые специи и алкоголь могут давать выраженный тройничный эффект</x:v>
      </x:c>
      <x:c r="G304" s="28" t="str">
        <x:v>матрица определяется содержанием воды, жира, белка, сахара и полифенолов</x:v>
      </x:c>
      <x:c r="H304" s="28" t="str">
        <x:v>профиль необходимо проверять после рабочей обработки и при температуре подачи</x:v>
      </x:c>
      <x:c r="I304" s="28" t="n">
        <x:v>1</x:v>
      </x:c>
    </x:row>
    <x:row r="305" ht="50" customHeight="1">
      <x:c r="A305" s="28" t="str">
        <x:v>цыпленок</x:v>
      </x:c>
      <x:c r="B305" s="28" t="str">
        <x:v>Прочее</x:v>
      </x:c>
      <x:c r="C305" s="28" t="str">
        <x:v>профиль зависит от конкретного продукта</x:v>
      </x:c>
      <x:c r="D305" s="28" t="str">
        <x:v>специфический профиль не детализирован</x:v>
      </x:c>
      <x:c r="E305" s="28" t="str">
        <x:v>вкусовой баланс зависит от сорта, обработки и рецептуры</x:v>
      </x:c>
      <x:c r="F305" s="28" t="str">
        <x:v>обычно минимальный; острые специи и алкоголь могут давать выраженный тройничный эффект</x:v>
      </x:c>
      <x:c r="G305" s="28" t="str">
        <x:v>матрица определяется содержанием воды, жира, белка, сахара и полифенолов</x:v>
      </x:c>
      <x:c r="H305" s="28" t="str">
        <x:v>профиль необходимо проверять после рабочей обработки и при температуре подачи</x:v>
      </x:c>
      <x:c r="I305" s="28" t="n">
        <x:v>5</x:v>
      </x:c>
    </x:row>
    <x:row r="306" ht="50" customHeight="1">
      <x:c r="A306" s="28" t="str">
        <x:v>черешня</x:v>
      </x:c>
      <x:c r="B306" s="28" t="str">
        <x:v>Прочее</x:v>
      </x:c>
      <x:c r="C306" s="28" t="str">
        <x:v>профиль зависит от конкретного продукта</x:v>
      </x:c>
      <x:c r="D306" s="28" t="str">
        <x:v>специфический профиль не детализирован</x:v>
      </x:c>
      <x:c r="E306" s="28" t="str">
        <x:v>вкусовой баланс зависит от сорта, обработки и рецептуры</x:v>
      </x:c>
      <x:c r="F306" s="28" t="str">
        <x:v>обычно минимальный; острые специи и алкоголь могут давать выраженный тройничный эффект</x:v>
      </x:c>
      <x:c r="G306" s="28" t="str">
        <x:v>матрица определяется содержанием воды, жира, белка, сахара и полифенолов</x:v>
      </x:c>
      <x:c r="H306" s="28" t="str">
        <x:v>профиль необходимо проверять после рабочей обработки и при температуре подачи</x:v>
      </x:c>
      <x:c r="I306" s="28" t="n">
        <x:v>1</x:v>
      </x:c>
    </x:row>
    <x:row r="307" ht="50" customHeight="1">
      <x:c r="A307" s="28" t="str">
        <x:v>черная икра</x:v>
      </x:c>
      <x:c r="B307" s="28" t="str">
        <x:v>Рыба и морепродукты</x:v>
      </x:c>
      <x:c r="C307" s="28" t="str">
        <x:v>морской, солоноватый и умами</x:v>
      </x:c>
      <x:c r="D307" s="28" t="str">
        <x:v>альдегиды, амины</x:v>
      </x:c>
      <x:c r="E307" s="28" t="str">
        <x:v>вкусовой баланс зависит от сорта, обработки и рецептуры</x:v>
      </x:c>
      <x:c r="F307" s="28" t="str">
        <x:v>обычно минимальный; острые специи и алкоголь могут давать выраженный тройничный эффект</x:v>
      </x:c>
      <x:c r="G307" s="28" t="str">
        <x:v>матрица определяется содержанием воды, жира, белка, сахара и полифенолов</x:v>
      </x:c>
      <x:c r="H307" s="28" t="str">
        <x:v>профиль необходимо проверять после рабочей обработки и при температуре подачи</x:v>
      </x:c>
      <x:c r="I307" s="28" t="n">
        <x:v>2</x:v>
      </x:c>
    </x:row>
    <x:row r="308" ht="50" customHeight="1">
      <x:c r="A308" s="28" t="str">
        <x:v>черная смородина</x:v>
      </x:c>
      <x:c r="B308" s="28" t="str">
        <x:v>Прочее</x:v>
      </x:c>
      <x:c r="C308" s="28" t="str">
        <x:v>профиль зависит от конкретного продукта</x:v>
      </x:c>
      <x:c r="D308" s="28" t="str">
        <x:v>специфический профиль не детализирован</x:v>
      </x:c>
      <x:c r="E308" s="28" t="str">
        <x:v>вкусовой баланс зависит от сорта, обработки и рецептуры</x:v>
      </x:c>
      <x:c r="F308" s="28" t="str">
        <x:v>обычно минимальный; острые специи и алкоголь могут давать выраженный тройничный эффект</x:v>
      </x:c>
      <x:c r="G308" s="28" t="str">
        <x:v>матрица определяется содержанием воды, жира, белка, сахара и полифенолов</x:v>
      </x:c>
      <x:c r="H308" s="28" t="str">
        <x:v>профиль необходимо проверять после рабочей обработки и при температуре подачи</x:v>
      </x:c>
      <x:c r="I308" s="28" t="n">
        <x:v>4</x:v>
      </x:c>
    </x:row>
    <x:row r="309" ht="50" customHeight="1">
      <x:c r="A309" s="28" t="str">
        <x:v>черника</x:v>
      </x:c>
      <x:c r="B309" s="28" t="str">
        <x:v>Прочее</x:v>
      </x:c>
      <x:c r="C309" s="28" t="str">
        <x:v>профиль зависит от конкретного продукта</x:v>
      </x:c>
      <x:c r="D309" s="28" t="str">
        <x:v>специфический профиль не детализирован</x:v>
      </x:c>
      <x:c r="E309" s="28" t="str">
        <x:v>вкусовой баланс зависит от сорта, обработки и рецептуры</x:v>
      </x:c>
      <x:c r="F309" s="28" t="str">
        <x:v>обычно минимальный; острые специи и алкоголь могут давать выраженный тройничный эффект</x:v>
      </x:c>
      <x:c r="G309" s="28" t="str">
        <x:v>матрица определяется содержанием воды, жира, белка, сахара и полифенолов</x:v>
      </x:c>
      <x:c r="H309" s="28" t="str">
        <x:v>профиль необходимо проверять после рабочей обработки и при температуре подачи</x:v>
      </x:c>
      <x:c r="I309" s="28" t="n">
        <x:v>1</x:v>
      </x:c>
    </x:row>
    <x:row r="310" ht="50" customHeight="1">
      <x:c r="A310" s="28" t="str">
        <x:v>чернослив</x:v>
      </x:c>
      <x:c r="B310" s="28" t="str">
        <x:v>Фрукты и ягоды</x:v>
      </x:c>
      <x:c r="C310" s="28" t="str">
        <x:v>фруктовый, цветочный и свежий</x:v>
      </x:c>
      <x:c r="D310" s="28" t="str">
        <x:v>альдегиды, эфиры</x:v>
      </x:c>
      <x:c r="E310" s="28" t="str">
        <x:v>вкусовой баланс зависит от сорта, обработки и рецептуры</x:v>
      </x:c>
      <x:c r="F310" s="28" t="str">
        <x:v>обычно минимальный; острые специи и алкоголь могут давать выраженный тройничный эффект</x:v>
      </x:c>
      <x:c r="G310" s="28" t="str">
        <x:v>матрица определяется содержанием воды, жира, белка, сахара и полифенолов</x:v>
      </x:c>
      <x:c r="H310" s="28" t="str">
        <x:v>профиль необходимо проверять после рабочей обработки и при температуре подачи</x:v>
      </x:c>
      <x:c r="I310" s="28" t="n">
        <x:v>7</x:v>
      </x:c>
    </x:row>
    <x:row r="311" ht="50" customHeight="1">
      <x:c r="A311" s="28" t="str">
        <x:v>чернослив ажен</x:v>
      </x:c>
      <x:c r="B311" s="28" t="str">
        <x:v>Фрукты и ягоды</x:v>
      </x:c>
      <x:c r="C311" s="28" t="str">
        <x:v>фруктовый, цветочный и свежий</x:v>
      </x:c>
      <x:c r="D311" s="28" t="str">
        <x:v>альдегиды, эфиры</x:v>
      </x:c>
      <x:c r="E311" s="28" t="str">
        <x:v>вкусовой баланс зависит от сорта, обработки и рецептуры</x:v>
      </x:c>
      <x:c r="F311" s="28" t="str">
        <x:v>обычно минимальный; острые специи и алкоголь могут давать выраженный тройничный эффект</x:v>
      </x:c>
      <x:c r="G311" s="28" t="str">
        <x:v>матрица определяется содержанием воды, жира, белка, сахара и полифенолов</x:v>
      </x:c>
      <x:c r="H311" s="28" t="str">
        <x:v>профиль необходимо проверять после рабочей обработки и при температуре подачи</x:v>
      </x:c>
      <x:c r="I311" s="28" t="n">
        <x:v>1</x:v>
      </x:c>
    </x:row>
    <x:row r="312" ht="50" customHeight="1">
      <x:c r="A312" s="28" t="str">
        <x:v>чеснок</x:v>
      </x:c>
      <x:c r="B312" s="28" t="str">
        <x:v>Овощи, бобовые и грибы</x:v>
      </x:c>
      <x:c r="C312" s="28" t="str">
        <x:v>зелёный, землистый или умами</x:v>
      </x:c>
      <x:c r="D312" s="28" t="str">
        <x:v>альдегиды, сернистые соединения</x:v>
      </x:c>
      <x:c r="E312" s="28" t="str">
        <x:v>вкусовой баланс зависит от сорта, обработки и рецептуры</x:v>
      </x:c>
      <x:c r="F312" s="28" t="str">
        <x:v>обычно минимальный; острые специи и алкоголь могут давать выраженный тройничный эффект</x:v>
      </x:c>
      <x:c r="G312" s="28" t="str">
        <x:v>матрица определяется содержанием воды, жира, белка, сахара и полифенолов</x:v>
      </x:c>
      <x:c r="H312" s="28" t="str">
        <x:v>профиль необходимо проверять после рабочей обработки и при температуре подачи</x:v>
      </x:c>
      <x:c r="I312" s="28" t="n">
        <x:v>3</x:v>
      </x:c>
    </x:row>
    <x:row r="313" ht="50" customHeight="1">
      <x:c r="A313" s="28" t="str">
        <x:v>чили</x:v>
      </x:c>
      <x:c r="B313" s="28" t="str">
        <x:v>Специи</x:v>
      </x:c>
      <x:c r="C313" s="28" t="str">
        <x:v>пряный и древесный</x:v>
      </x:c>
      <x:c r="D313" s="28" t="str">
        <x:v>терпены, фенилпропаноиды</x:v>
      </x:c>
      <x:c r="E313" s="28" t="str">
        <x:v>вкусовой баланс зависит от сорта, обработки и рецептуры</x:v>
      </x:c>
      <x:c r="F313" s="28" t="str">
        <x:v>обычно минимальный; острые специи и алкоголь могут давать выраженный тройничный эффект</x:v>
      </x:c>
      <x:c r="G313" s="28" t="str">
        <x:v>матрица определяется содержанием воды, жира, белка, сахара и полифенолов</x:v>
      </x:c>
      <x:c r="H313" s="28" t="str">
        <x:v>профиль необходимо проверять после рабочей обработки и при температуре подачи</x:v>
      </x:c>
      <x:c r="I313" s="28" t="n">
        <x:v>4</x:v>
      </x:c>
    </x:row>
    <x:row r="314" ht="50" customHeight="1">
      <x:c r="A314" s="28" t="str">
        <x:v>чили (перцы)</x:v>
      </x:c>
      <x:c r="B314" s="28" t="str">
        <x:v>Специи</x:v>
      </x:c>
      <x:c r="C314" s="28" t="str">
        <x:v>пряный и древесный</x:v>
      </x:c>
      <x:c r="D314" s="28" t="str">
        <x:v>терпены, фенилпропаноиды</x:v>
      </x:c>
      <x:c r="E314" s="28" t="str">
        <x:v>вкусовой баланс зависит от сорта, обработки и рецептуры</x:v>
      </x:c>
      <x:c r="F314" s="28" t="str">
        <x:v>обычно минимальный; острые специи и алкоголь могут давать выраженный тройничный эффект</x:v>
      </x:c>
      <x:c r="G314" s="28" t="str">
        <x:v>матрица определяется содержанием воды, жира, белка, сахара и полифенолов</x:v>
      </x:c>
      <x:c r="H314" s="28" t="str">
        <x:v>профиль необходимо проверять после рабочей обработки и при температуре подачи</x:v>
      </x:c>
      <x:c r="I314" s="28" t="n">
        <x:v>1</x:v>
      </x:c>
    </x:row>
    <x:row r="315" ht="50" customHeight="1">
      <x:c r="A315" s="28" t="str">
        <x:v>чоризо</x:v>
      </x:c>
      <x:c r="B315" s="28" t="str">
        <x:v>Прочее</x:v>
      </x:c>
      <x:c r="C315" s="28" t="str">
        <x:v>профиль зависит от конкретного продукта</x:v>
      </x:c>
      <x:c r="D315" s="28" t="str">
        <x:v>специфический профиль не детализирован</x:v>
      </x:c>
      <x:c r="E315" s="28" t="str">
        <x:v>вкусовой баланс зависит от сорта, обработки и рецептуры</x:v>
      </x:c>
      <x:c r="F315" s="28" t="str">
        <x:v>обычно минимальный; острые специи и алкоголь могут давать выраженный тройничный эффект</x:v>
      </x:c>
      <x:c r="G315" s="28" t="str">
        <x:v>матрица определяется содержанием воды, жира, белка, сахара и полифенолов</x:v>
      </x:c>
      <x:c r="H315" s="28" t="str">
        <x:v>профиль необходимо проверять после рабочей обработки и при температуре подачи</x:v>
      </x:c>
      <x:c r="I315" s="28" t="n">
        <x:v>2</x:v>
      </x:c>
    </x:row>
    <x:row r="316" ht="50" customHeight="1">
      <x:c r="A316" s="28" t="str">
        <x:v>чёрная оливка пикваль</x:v>
      </x:c>
      <x:c r="B316" s="28" t="str">
        <x:v>Прочее</x:v>
      </x:c>
      <x:c r="C316" s="28" t="str">
        <x:v>профиль зависит от конкретного продукта</x:v>
      </x:c>
      <x:c r="D316" s="28" t="str">
        <x:v>специфический профиль не детализирован</x:v>
      </x:c>
      <x:c r="E316" s="28" t="str">
        <x:v>вкусовой баланс зависит от сорта, обработки и рецептуры</x:v>
      </x:c>
      <x:c r="F316" s="28" t="str">
        <x:v>обычно минимальный; острые специи и алкоголь могут давать выраженный тройничный эффект</x:v>
      </x:c>
      <x:c r="G316" s="28" t="str">
        <x:v>матрица определяется содержанием воды, жира, белка, сахара и полифенолов</x:v>
      </x:c>
      <x:c r="H316" s="28" t="str">
        <x:v>профиль необходимо проверять после рабочей обработки и при температуре подачи</x:v>
      </x:c>
      <x:c r="I316" s="28" t="n">
        <x:v>1</x:v>
      </x:c>
    </x:row>
    <x:row r="317" ht="50" customHeight="1">
      <x:c r="A317" s="28" t="str">
        <x:v>чёрная смородина</x:v>
      </x:c>
      <x:c r="B317" s="28" t="str">
        <x:v>Прочее</x:v>
      </x:c>
      <x:c r="C317" s="28" t="str">
        <x:v>профиль зависит от конкретного продукта</x:v>
      </x:c>
      <x:c r="D317" s="28" t="str">
        <x:v>специфический профиль не детализирован</x:v>
      </x:c>
      <x:c r="E317" s="28" t="str">
        <x:v>вкусовой баланс зависит от сорта, обработки и рецептуры</x:v>
      </x:c>
      <x:c r="F317" s="28" t="str">
        <x:v>обычно минимальный; острые специи и алкоголь могут давать выраженный тройничный эффект</x:v>
      </x:c>
      <x:c r="G317" s="28" t="str">
        <x:v>матрица определяется содержанием воды, жира, белка, сахара и полифенолов</x:v>
      </x:c>
      <x:c r="H317" s="28" t="str">
        <x:v>профиль необходимо проверять после рабочей обработки и при температуре подачи</x:v>
      </x:c>
      <x:c r="I317" s="28" t="n">
        <x:v>1</x:v>
      </x:c>
    </x:row>
    <x:row r="318" ht="50" customHeight="1">
      <x:c r="A318" s="28" t="str">
        <x:v>чёрный чай</x:v>
      </x:c>
      <x:c r="B318" s="28" t="str">
        <x:v>Чай</x:v>
      </x:c>
      <x:c r="C318" s="28" t="str">
        <x:v>мальтовый, цветочный, фруктовый, древесный и слегка дымный</x:v>
      </x:c>
      <x:c r="D318" s="28" t="str">
        <x:v>3-метилбутаналь, гераниол, линалол, теафлавины, фенольные соединения</x:v>
      </x:c>
      <x:c r="E318" s="28" t="str">
        <x:v>терпкость, горечь, умеренная сладость и кислотность</x:v>
      </x:c>
      <x:c r="F318" s="28" t="str">
        <x:v>сухость и вяжущее ощущение из-за полифенолов</x:v>
      </x:c>
      <x:c r="G318" s="28" t="str">
        <x:v>водный настой с полифенолами и кофеином; молочные белки могут связывать танины</x:v>
      </x:c>
      <x:c r="H318" s="28" t="str">
        <x:v>окисление листа формирует чёрночайный профиль; длительное и горячее заваривание усиливает терпкость</x:v>
      </x:c>
      <x:c r="I318" s="28" t="n">
        <x:v>20</x:v>
      </x:c>
    </x:row>
    <x:row r="319" ht="50" customHeight="1">
      <x:c r="A319" s="28" t="str">
        <x:v>шалфей</x:v>
      </x:c>
      <x:c r="B319" s="28" t="str">
        <x:v>Травы, цветы и листья</x:v>
      </x:c>
      <x:c r="C319" s="28" t="str">
        <x:v>зелёный, цветочный и терпеновый</x:v>
      </x:c>
      <x:c r="D319" s="28" t="str">
        <x:v>линалоол, терпены</x:v>
      </x:c>
      <x:c r="E319" s="28" t="str">
        <x:v>вкусовой баланс зависит от сорта, обработки и рецептуры</x:v>
      </x:c>
      <x:c r="F319" s="28" t="str">
        <x:v>обычно минимальный; острые специи и алкоголь могут давать выраженный тройничный эффект</x:v>
      </x:c>
      <x:c r="G319" s="28" t="str">
        <x:v>матрица определяется содержанием воды, жира, белка, сахара и полифенолов</x:v>
      </x:c>
      <x:c r="H319" s="28" t="str">
        <x:v>профиль необходимо проверять после рабочей обработки и при температуре подачи</x:v>
      </x:c>
      <x:c r="I319" s="28" t="n">
        <x:v>1</x:v>
      </x:c>
    </x:row>
    <x:row r="320" ht="50" customHeight="1">
      <x:c r="A320" s="28" t="str">
        <x:v>шафран</x:v>
      </x:c>
      <x:c r="B320" s="28" t="str">
        <x:v>Прочее</x:v>
      </x:c>
      <x:c r="C320" s="28" t="str">
        <x:v>профиль зависит от конкретного продукта</x:v>
      </x:c>
      <x:c r="D320" s="28" t="str">
        <x:v>специфический профиль не детализирован</x:v>
      </x:c>
      <x:c r="E320" s="28" t="str">
        <x:v>вкусовой баланс зависит от сорта, обработки и рецептуры</x:v>
      </x:c>
      <x:c r="F320" s="28" t="str">
        <x:v>обычно минимальный; острые специи и алкоголь могут давать выраженный тройничный эффект</x:v>
      </x:c>
      <x:c r="G320" s="28" t="str">
        <x:v>матрица определяется содержанием воды, жира, белка, сахара и полифенолов</x:v>
      </x:c>
      <x:c r="H320" s="28" t="str">
        <x:v>профиль необходимо проверять после рабочей обработки и при температуре подачи</x:v>
      </x:c>
      <x:c r="I320" s="28" t="n">
        <x:v>2</x:v>
      </x:c>
    </x:row>
    <x:row r="321" ht="50" customHeight="1">
      <x:c r="A321" s="28" t="str">
        <x:v>шисо</x:v>
      </x:c>
      <x:c r="B321" s="28" t="str">
        <x:v>Травы, цветы и листья</x:v>
      </x:c>
      <x:c r="C321" s="28" t="str">
        <x:v>зелёный, цветочный и терпеновый</x:v>
      </x:c>
      <x:c r="D321" s="28" t="str">
        <x:v>линалоол, терпены</x:v>
      </x:c>
      <x:c r="E321" s="28" t="str">
        <x:v>вкусовой баланс зависит от сорта, обработки и рецептуры</x:v>
      </x:c>
      <x:c r="F321" s="28" t="str">
        <x:v>обычно минимальный; острые специи и алкоголь могут давать выраженный тройничный эффект</x:v>
      </x:c>
      <x:c r="G321" s="28" t="str">
        <x:v>матрица определяется содержанием воды, жира, белка, сахара и полифенолов</x:v>
      </x:c>
      <x:c r="H321" s="28" t="str">
        <x:v>профиль необходимо проверять после рабочей обработки и при температуре подачи</x:v>
      </x:c>
      <x:c r="I321" s="28" t="n">
        <x:v>2</x:v>
      </x:c>
    </x:row>
    <x:row r="322" ht="50" customHeight="1">
      <x:c r="A322" s="28" t="str">
        <x:v>шоколад</x:v>
      </x:c>
      <x:c r="B322" s="28" t="str">
        <x:v>Какао и шоколад</x:v>
      </x:c>
      <x:c r="C322" s="28" t="str">
        <x:v>жареный, какаовый, фруктовый, цветочный, древесный и пряный; профиль зависит от происхождения и обжарки</x:v>
      </x:c>
      <x:c r="D322" s="28" t="str">
        <x:v>альдегиды, пиразины, теобромин, фураны, эфиры</x:v>
      </x:c>
      <x:c r="E322" s="28" t="str">
        <x:v>горечь, терпкость, жирность и сладость в зависимости от рецептуры</x:v>
      </x:c>
      <x:c r="F322" s="28" t="str">
        <x:v>мягкая терпкость; теобромин и кофеин усиливают горькое послевкусие</x:v>
      </x:c>
      <x:c r="G322" s="28" t="str">
        <x:v>какао-масло с частицами какао и сахаром; плавление во рту медленно высвобождает гидрофобные ароматы</x:v>
      </x:c>
      <x:c r="H322" s="28" t="str">
        <x:v>ферментация создаёт фруктово-винные прекурсоры, обжарка — пиразины и фураны; перегрев нарушает темперирование и аромат</x:v>
      </x:c>
      <x:c r="I322" s="28" t="n">
        <x:v>137</x:v>
      </x:c>
    </x:row>
    <x:row r="323" ht="50" customHeight="1">
      <x:c r="A323" s="28" t="str">
        <x:v>шоколад темный</x:v>
      </x:c>
      <x:c r="B323" s="28" t="str">
        <x:v>Какао и шоколад</x:v>
      </x:c>
      <x:c r="C323" s="28" t="str">
        <x:v>какаовый, жареный и горько-сладкий</x:v>
      </x:c>
      <x:c r="D323" s="28" t="str">
        <x:v>альдегиды, пиразины, фураны</x:v>
      </x:c>
      <x:c r="E323" s="28" t="str">
        <x:v>вкусовой баланс зависит от сорта, обработки и рецептуры</x:v>
      </x:c>
      <x:c r="F323" s="28" t="str">
        <x:v>обычно минимальный; острые специи и алкоголь могут давать выраженный тройничный эффект</x:v>
      </x:c>
      <x:c r="G323" s="28" t="str">
        <x:v>матрица определяется содержанием воды, жира, белка, сахара и полифенолов</x:v>
      </x:c>
      <x:c r="H323" s="28" t="str">
        <x:v>профиль необходимо проверять после рабочей обработки и при температуре подачи</x:v>
      </x:c>
      <x:c r="I323" s="28" t="n">
        <x:v>1</x:v>
      </x:c>
    </x:row>
    <x:row r="324" ht="50" customHeight="1">
      <x:c r="A324" s="28" t="str">
        <x:v>юдзу</x:v>
      </x:c>
      <x:c r="B324" s="28" t="str">
        <x:v>Прочее</x:v>
      </x:c>
      <x:c r="C324" s="28" t="str">
        <x:v>профиль зависит от конкретного продукта</x:v>
      </x:c>
      <x:c r="D324" s="28" t="str">
        <x:v>специфический профиль не детализирован</x:v>
      </x:c>
      <x:c r="E324" s="28" t="str">
        <x:v>вкусовой баланс зависит от сорта, обработки и рецептуры</x:v>
      </x:c>
      <x:c r="F324" s="28" t="str">
        <x:v>обычно минимальный; острые специи и алкоголь могут давать выраженный тройничный эффект</x:v>
      </x:c>
      <x:c r="G324" s="28" t="str">
        <x:v>матрица определяется содержанием воды, жира, белка, сахара и полифенолов</x:v>
      </x:c>
      <x:c r="H324" s="28" t="str">
        <x:v>профиль необходимо проверять после рабочей обработки и при температуре подачи</x:v>
      </x:c>
      <x:c r="I324" s="28" t="n">
        <x:v>2</x:v>
      </x:c>
    </x:row>
    <x:row r="325" ht="50" customHeight="1">
      <x:c r="A325" s="28" t="str">
        <x:v>яблоко</x:v>
      </x:c>
      <x:c r="B325" s="28" t="str">
        <x:v>Фрукты и ягоды</x:v>
      </x:c>
      <x:c r="C325" s="28" t="str">
        <x:v>фруктовый, цветочный и свежий</x:v>
      </x:c>
      <x:c r="D325" s="28" t="str">
        <x:v>альдегиды, эфиры</x:v>
      </x:c>
      <x:c r="E325" s="28" t="str">
        <x:v>вкусовой баланс зависит от сорта, обработки и рецептуры</x:v>
      </x:c>
      <x:c r="F325" s="28" t="str">
        <x:v>обычно минимальный; острые специи и алкоголь могут давать выраженный тройничный эффект</x:v>
      </x:c>
      <x:c r="G325" s="28" t="str">
        <x:v>матрица определяется содержанием воды, жира, белка, сахара и полифенолов</x:v>
      </x:c>
      <x:c r="H325" s="28" t="str">
        <x:v>профиль необходимо проверять после рабочей обработки и при температуре подачи</x:v>
      </x:c>
      <x:c r="I325" s="28" t="n">
        <x:v>7</x:v>
      </x:c>
    </x:row>
    <x:row r="326" ht="50" customHeight="1">
      <x:c r="A326" s="28" t="str">
        <x:v>ягоды годжи</x:v>
      </x:c>
      <x:c r="B326" s="28" t="str">
        <x:v>Фрукты и ягоды</x:v>
      </x:c>
      <x:c r="C326" s="28" t="str">
        <x:v>фруктовый, цветочный и свежий</x:v>
      </x:c>
      <x:c r="D326" s="28" t="str">
        <x:v>альдегиды, эфиры</x:v>
      </x:c>
      <x:c r="E326" s="28" t="str">
        <x:v>вкусовой баланс зависит от сорта, обработки и рецептуры</x:v>
      </x:c>
      <x:c r="F326" s="28" t="str">
        <x:v>обычно минимальный; острые специи и алкоголь могут давать выраженный тройничный эффект</x:v>
      </x:c>
      <x:c r="G326" s="28" t="str">
        <x:v>матрица определяется содержанием воды, жира, белка, сахара и полифенолов</x:v>
      </x:c>
      <x:c r="H326" s="28" t="str">
        <x:v>профиль необходимо проверять после рабочей обработки и при температуре подачи</x:v>
      </x:c>
      <x:c r="I326" s="28" t="n">
        <x:v>5</x:v>
      </x:c>
    </x:row>
    <x:row r="327" ht="50" customHeight="1">
      <x:c r="A327" s="28" t="str">
        <x:v>японский соевый соус</x:v>
      </x:c>
      <x:c r="B327" s="28" t="str">
        <x:v>Ферментированные продукты и соусы</x:v>
      </x:c>
      <x:c r="C327" s="28" t="str">
        <x:v>жареный, умами, ферментированный</x:v>
      </x:c>
      <x:c r="D327" s="28" t="str">
        <x:v>пиразины, фураны, эфиры</x:v>
      </x:c>
      <x:c r="E327" s="28" t="str">
        <x:v>вкусовой баланс зависит от сорта, обработки и рецептуры</x:v>
      </x:c>
      <x:c r="F327" s="28" t="str">
        <x:v>обычно минимальный; острые специи и алкоголь могут давать выраженный тройничный эффект</x:v>
      </x:c>
      <x:c r="G327" s="28" t="str">
        <x:v>матрица определяется содержанием воды, жира, белка, сахара и полифенолов</x:v>
      </x:c>
      <x:c r="H327" s="28" t="str">
        <x:v>профиль необходимо проверять после рабочей обработки и при температуре подачи</x:v>
      </x:c>
      <x:c r="I327" s="28" t="n">
        <x:v>1</x:v>
      </x:c>
    </x:row>
  </x:sheetData>
  <x:conditionalFormatting sqref="I2:I327">
    <x:cfRule type="dataBar" priority="1">
      <x:dataBar>
        <x:cfvo type="min"/>
        <x:cfvo type="max"/>
        <x:color rgb="FF6B4A32"/>
      </x:dataBar>
      <x:extLst>
        <x:ext xmlns:x14="http://schemas.microsoft.com/office/spreadsheetml/2009/9/main" uri="{B025F937-C7B1-47D3-B67F-A62EFF666E3E}">
          <x14:id>{2372B28E-2C49-D436-8525-B5C5DB896F7B}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2f538f890c6457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372B28E-2C49-D436-8525-B5C5DB896F7B}">
            <x14:dataBar gradient="1">
              <x14:cfvo type="min"/>
              <x14:cfvo type="max"/>
              <x14:fillColor rgb="FF6B4A32"/>
            </x14:dataBar>
          </x14:cfRule>
          <xm:sqref>I2:I327</xm:sqref>
        </x14:conditionalFormatting>
      </x14:conditionalFormattings>
    </x:ext>
  </x:extLst>
</x:worksheet>
</file>

<file path=xl/worksheets/sheet1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3" hidden="0" customWidth="1"/>
    <x:col min="3" max="3" width="45" hidden="0" customWidth="1"/>
    <x:col min="4" max="4" width="59" hidden="0" customWidth="1"/>
    <x:col min="5" max="5" width="62" hidden="0" customWidth="1"/>
    <x:col min="6" max="6" width="56" hidden="0" customWidth="1"/>
  </x:cols>
  <x:sheetData>
    <x:row r="1">
      <x:c r="A1" s="20" t="str">
        <x:v>Соединение / группа</x:v>
      </x:c>
      <x:c r="B1" s="20" t="str">
        <x:v>Класс</x:v>
      </x:c>
      <x:c r="C1" s="20" t="str">
        <x:v>Аромат / эффект</x:v>
      </x:c>
      <x:c r="D1" s="20" t="str">
        <x:v>Поведение и растворимость</x:v>
      </x:c>
      <x:c r="E1" s="20" t="str">
        <x:v>Роль в сочетаниях</x:v>
      </x:c>
      <x:c r="F1" s="20" t="str">
        <x:v>Критическая точка</x:v>
      </x:c>
    </x:row>
    <x:row r="2" ht="62" customHeight="1">
      <x:c r="A2" s="28" t="str">
        <x:v>Пиразины</x:v>
      </x:c>
      <x:c r="B2" s="28" t="str">
        <x:v>азотсодержащие летучие соединения</x:v>
      </x:c>
      <x:c r="C2" s="28" t="str">
        <x:v>жареный орех, какао, кофе, хлебная корочка</x:v>
      </x:c>
      <x:c r="D2" s="28" t="str">
        <x:v>образуются при обжарке и реакциях Майяра; летучи и растворяются в жире и этаноле</x:v>
      </x:c>
      <x:c r="E2" s="28" t="str">
        <x:v>связывают орехи, шоколад, кофе, выпечку и жареное мясо</x:v>
      </x:c>
      <x:c r="F2" s="28" t="str">
        <x:v>пережаривание смещает профиль от орехового к горелому</x:v>
      </x:c>
    </x:row>
    <x:row r="3" ht="62" customHeight="1">
      <x:c r="A3" s="28" t="str">
        <x:v>Фураны и фурфуролы</x:v>
      </x:c>
      <x:c r="B3" s="28" t="str">
        <x:v>продукты нагрева сахаров</x:v>
      </x:c>
      <x:c r="C3" s="28" t="str">
        <x:v>карамель, хлеб, кофе, орех и жжёный сахар</x:v>
      </x:c>
      <x:c r="D3" s="28" t="str">
        <x:v>образуются при нагреве; часть хорошо переходит в воду и спирт</x:v>
      </x:c>
      <x:c r="E3" s="28" t="str">
        <x:v>поддерживают связи кофе, шоколада, каштана, карамели и выпечки</x:v>
      </x:c>
      <x:c r="F3" s="28" t="str">
        <x:v>высокая концентрация даёт горелый и сухой профиль</x:v>
      </x:c>
    </x:row>
    <x:row r="4" ht="62" customHeight="1">
      <x:c r="A4" s="28" t="str">
        <x:v>Фильбертон</x:v>
      </x:c>
      <x:c r="B4" s="28" t="str">
        <x:v>кетон</x:v>
      </x:c>
      <x:c r="C4" s="28" t="str">
        <x:v>характерный запах фундука</x:v>
      </x:c>
      <x:c r="D4" s="28" t="str">
        <x:v>гидрофобен, усиливается после обжарки фундука</x:v>
      </x:c>
      <x:c r="E4" s="28" t="str">
        <x:v>ключевой маркер фундука и пралине</x:v>
      </x:c>
      <x:c r="F4" s="28" t="str">
        <x:v>не объясняет весь профиль; сорт и обжарка меняют концентрацию</x:v>
      </x:c>
    </x:row>
    <x:row r="5" ht="62" customHeight="1">
      <x:c r="A5" s="28" t="str">
        <x:v>Бензальдегид</x:v>
      </x:c>
      <x:c r="B5" s="28" t="str">
        <x:v>ароматический альдегид</x:v>
      </x:c>
      <x:c r="C5" s="28" t="str">
        <x:v>горький миндаль, марципан, косточка вишни</x:v>
      </x:c>
      <x:c r="D5" s="28" t="str">
        <x:v>летуч, растворяется в этаноле и жире</x:v>
      </x:c>
      <x:c r="E5" s="28" t="str">
        <x:v>связывает миндаль с вишней, абрикосом, марципаном и частью ликёров</x:v>
      </x:c>
      <x:c r="F5" s="28" t="str">
        <x:v>приятный запах не означает безопасность сырых ядер косточковых</x:v>
      </x:c>
    </x:row>
    <x:row r="6" ht="62" customHeight="1">
      <x:c r="A6" s="28" t="str">
        <x:v>2-Фурфурилтиол</x:v>
      </x:c>
      <x:c r="B6" s="28" t="str">
        <x:v>сернистое летучее соединение</x:v>
      </x:c>
      <x:c r="C6" s="28" t="str">
        <x:v>свежезаваренный кофе, жареный и мясной оттенок</x:v>
      </x:c>
      <x:c r="D6" s="28" t="str">
        <x:v>очень низкий порог восприятия и высокая летучесть</x:v>
      </x:c>
      <x:c r="E6" s="28" t="str">
        <x:v>важный маркер свежего кофе; поддерживает связи с жареными и мясными продуктами</x:v>
      </x:c>
      <x:c r="F6" s="28" t="str">
        <x:v>быстро теряется после помола и заваривания</x:v>
      </x:c>
    </x:row>
    <x:row r="7" ht="62" customHeight="1">
      <x:c r="A7" s="28" t="str">
        <x:v>Гваякол и фенольные соединения</x:v>
      </x:c>
      <x:c r="B7" s="28" t="str">
        <x:v>летучие фенолы</x:v>
      </x:c>
      <x:c r="C7" s="28" t="str">
        <x:v>дым, древесина, гвоздика и обжарка</x:v>
      </x:c>
      <x:c r="D7" s="28" t="str">
        <x:v>хорошо переходят в спирт; нарастают при тёмной обжарке и копчении</x:v>
      </x:c>
      <x:c r="E7" s="28" t="str">
        <x:v>соединяют кофе, шоколад, копчёности, виски и древесные специи</x:v>
      </x:c>
      <x:c r="F7" s="28" t="str">
        <x:v>избыток воспринимается как пепел, лекарство или дым</x:v>
      </x:c>
    </x:row>
    <x:row r="8" ht="62" customHeight="1">
      <x:c r="A8" s="28" t="str">
        <x:v>3-Метилбутаналь</x:v>
      </x:c>
      <x:c r="B8" s="28" t="str">
        <x:v>альдегид Стреккера</x:v>
      </x:c>
      <x:c r="C8" s="28" t="str">
        <x:v>мальт, печенье, сыр и какао</x:v>
      </x:c>
      <x:c r="D8" s="28" t="str">
        <x:v>образуется при ферментации и нагреве; летуч</x:v>
      </x:c>
      <x:c r="E8" s="28" t="str">
        <x:v>мост между чёрным чаем, шоколадом, выпечкой и частью сыров</x:v>
      </x:c>
      <x:c r="F8" s="28" t="str">
        <x:v>при высокой концентрации становится резким и солодовым</x:v>
      </x:c>
    </x:row>
    <x:row r="9" ht="62" customHeight="1">
      <x:c r="A9" s="28" t="str">
        <x:v>Линалоол и гераниол</x:v>
      </x:c>
      <x:c r="B9" s="28" t="str">
        <x:v>терпеновые спирты</x:v>
      </x:c>
      <x:c r="C9" s="28" t="str">
        <x:v>цветочный, цитрусовый, розовый</x:v>
      </x:c>
      <x:c r="D9" s="28" t="str">
        <x:v>гидрофобны и летучи; лучше сохраняются при мягком нагреве</x:v>
      </x:c>
      <x:c r="E9" s="28" t="str">
        <x:v>связывают чай, цитрусы, цветы, специи и отдельные сорта кофе/какао</x:v>
      </x:c>
      <x:c r="F9" s="28" t="str">
        <x:v>долгое кипячение разрушает верхние ноты</x:v>
      </x:c>
    </x:row>
    <x:row r="10" ht="62" customHeight="1">
      <x:c r="A10" s="28" t="str">
        <x:v>Катехины, теафлавины и танины</x:v>
      </x:c>
      <x:c r="B10" s="28" t="str">
        <x:v>нелетучие полифенолы</x:v>
      </x:c>
      <x:c r="C10" s="28" t="str">
        <x:v>не являются главным источником запаха</x:v>
      </x:c>
      <x:c r="D10" s="28" t="str">
        <x:v>растворяются в воде; экстракция растёт с температурой и временем</x:v>
      </x:c>
      <x:c r="E10" s="28" t="str">
        <x:v>формируют горечь и терпкость чая, какао и части ореховой кожицы</x:v>
      </x:c>
      <x:c r="F10" s="28" t="str">
        <x:v>переэкстракция и суммирование танинов дают сухой вяжущий профиль</x:v>
      </x:c>
    </x:row>
    <x:row r="11" ht="62" customHeight="1">
      <x:c r="A11" s="28" t="str">
        <x:v>Теобромин и кофеин</x:v>
      </x:c>
      <x:c r="B11" s="28" t="str">
        <x:v>метилксантины</x:v>
      </x:c>
      <x:c r="C11" s="28" t="str">
        <x:v>почти не формируют аромат</x:v>
      </x:c>
      <x:c r="D11" s="28" t="str">
        <x:v>растворимы в воде; отвечают за горечь и физиологический эффект</x:v>
      </x:c>
      <x:c r="E11" s="28" t="str">
        <x:v>участвуют в горьком балансе кофе, чая и какао</x:v>
      </x:c>
      <x:c r="F11" s="28" t="str">
        <x:v>учитывать суммарную стимулирующую нагрузку</x:v>
      </x:c>
    </x:row>
    <x:row r="12" ht="62" customHeight="1">
      <x:c r="A12" s="28" t="str">
        <x:v>Лактоны и диацетил</x:v>
      </x:c>
      <x:c r="B12" s="28" t="str">
        <x:v>кислородсодержащие одоранты</x:v>
      </x:c>
      <x:c r="C12" s="28" t="str">
        <x:v>сливки, масло, кокос и молочный шоколад</x:v>
      </x:c>
      <x:c r="D12" s="28" t="str">
        <x:v>липофильны; хорошо проявляются в молочном и какао-масле</x:v>
      </x:c>
      <x:c r="E12" s="28" t="str">
        <x:v>связывают белый/молочный шоколад, орехи, сливки и кокос</x:v>
      </x:c>
      <x:c r="F12" s="28" t="str">
        <x:v>избыток создаёт восковую или масляную тяжесть</x:v>
      </x:c>
    </x:row>
    <x:row r="13" ht="62" customHeight="1">
      <x:c r="A13" s="28" t="str">
        <x:v>Гексаналь и продукты окисления липидов</x:v>
      </x:c>
      <x:c r="B13" s="28" t="str">
        <x:v>альдегиды</x:v>
      </x:c>
      <x:c r="C13" s="28" t="str">
        <x:v>зелёный орех; при окислении — картон и прогорклое масло</x:v>
      </x:c>
      <x:c r="D13" s="28" t="str">
        <x:v>быстро образуются при контакте измельчённых орехов с кислородом</x:v>
      </x:c>
      <x:c r="E13" s="28" t="str">
        <x:v>объясняют различие свежего и прогорклого орехового профиля</x:v>
      </x:c>
      <x:c r="F13" s="28" t="str">
        <x:v>главный индикатор неправильного хранения жирных орехов</x:v>
      </x:c>
    </x:row>
    <x:row r="14" ht="62" customHeight="1">
      <x:c r="A14" s="28" t="str">
        <x:v>Меланоидины</x:v>
      </x:c>
      <x:c r="B14" s="28" t="str">
        <x:v>нелетучие продукты реакций Майяра</x:v>
      </x:c>
      <x:c r="C14" s="28" t="str">
        <x:v>не являются отдельным запахом, но дают цвет и тело</x:v>
      </x:c>
      <x:c r="D14" s="28" t="str">
        <x:v>растворяются частично в воде; особенно важны для кофе и какао</x:v>
      </x:c>
      <x:c r="E14" s="28" t="str">
        <x:v>формируют тело, горечь и способность связывать ароматические вещества</x:v>
      </x:c>
      <x:c r="F14" s="28" t="str">
        <x:v>тёмная обжарка повышает горечь и скрывает происхождение сырья</x:v>
      </x:c>
    </x:row>
  </x:sheetData>
  <x:pageMargins left="0.7" right="0.7" top="0.75" bottom="0.75" header="0.3" footer="0.3"/>
  <x:tableParts count="1">
    <x:tablePart xmlns:r="http://schemas.openxmlformats.org/officeDocument/2006/relationships" r:id="R5cc6b75295334779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7" hidden="0" customWidth="1"/>
    <x:col min="3" max="3" width="68" hidden="0" customWidth="1"/>
  </x:cols>
  <x:sheetData>
    <x:row r="1" ht="34" customHeight="1">
      <x:c r="A1" s="4" t="str">
        <x:v>МЕТОДИКА СБОРКИ И НАУЧНЫЕ ОГРАНИЧЕНИЯ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20" t="str">
        <x:v>Этап</x:v>
      </x:c>
      <x:c r="B4" s="20" t="str">
        <x:v>Что выполнено</x:v>
      </x:c>
    </x:row>
    <x:row r="5" ht="48" customHeight="1">
      <x:c r="A5" s="28" t="str">
        <x:v>1. Извлечение</x:v>
      </x:c>
      <x:c r="B5" s="28" t="str">
        <x:v>Из трёх PDF извлечены статьи, перекрёстные ссылки, строки таблицы, Classic/Potential pairings и списки Foodpairing.</x:v>
      </x:c>
    </x:row>
    <x:row r="6" ht="48" customHeight="1">
      <x:c r="A6" s="28" t="str">
        <x:v>2. Охват</x:v>
      </x:c>
      <x:c r="B6" s="28" t="str">
        <x:v>Включены орехи, арахис и каштан; какао и три типа шоколада; кофе; чёрный и зелёный чай, улун и ройбуш.</x:v>
      </x:c>
    </x:row>
    <x:row r="7" ht="48" customHeight="1">
      <x:c r="A7" s="28" t="str">
        <x:v>3. Обратные связи</x:v>
      </x:c>
      <x:c r="B7" s="28" t="str">
        <x:v>Учтены случаи, когда базовый ингредиент указан партнёром в профиле другого продукта.</x:v>
      </x:c>
    </x:row>
    <x:row r="8" ht="48" customHeight="1">
      <x:c r="A8" s="28" t="str">
        <x:v>4. Очистка</x:v>
      </x:c>
      <x:c r="B8" s="28" t="str">
        <x:v>Пары A — B и B — A сведены в одну запись; удалены прямые дубли и распознанные OCR-артефакты.</x:v>
      </x:c>
    </x:row>
    <x:row r="9" ht="48" customHeight="1">
      <x:c r="A9" s="28" t="str">
        <x:v>5. Нормализация</x:v>
      </x:c>
      <x:c r="B9" s="28" t="str">
        <x:v>Сорта, способы обжарки и формы продукта сохранены в оригинальных названиях, но сведены к базовым ингредиентам для поиска.</x:v>
      </x:c>
    </x:row>
    <x:row r="10" ht="48" customHeight="1">
      <x:c r="A10" s="28" t="str">
        <x:v>6. Научный слой</x:v>
      </x:c>
      <x:c r="B10" s="28" t="str">
        <x:v>Сопоставлены летучие одоранты, реакции Майяра, полифенолы, жир, белок, вода, этанол и температура.</x:v>
      </x:c>
    </x:row>
    <x:row r="11" ht="48" customHeight="1">
      <x:c r="A11" s="28" t="str">
        <x:v>7. Общие молекулы</x:v>
      </x:c>
      <x:c r="B11" s="28" t="str">
        <x:v>Соединение объявляется общим только при совпадении рабочих профилей; иначе механизм не сводится к одной молекуле.</x:v>
      </x:c>
    </x:row>
    <x:row r="12" ht="48" customHeight="1">
      <x:c r="A12" s="28" t="str">
        <x:v>8. Уверенность</x:v>
      </x:c>
      <x:c r="B12" s="28" t="str">
        <x:v>Высокая: несколько источников или Classic/Potential pairing. Средняя: статья либо pairing grid. Гипотеза: компактная таблица.</x:v>
      </x:c>
    </x:row>
    <x:row r="13" ht="48" customHeight="1">
      <x:c r="A13" s="28" t="str">
        <x:v>9. Практика</x:v>
      </x:c>
      <x:c r="B13" s="28" t="str">
        <x:v>Каждая строка содержит применение, ингредиент-мост, технологические риски и режим обработки.</x:v>
      </x:c>
    </x:row>
    <x:row r="14" ht="48" customHeight="1">
      <x:c r="A14" s="28" t="str">
        <x:v>10. Безопасность</x:v>
      </x:c>
      <x:c r="B14" s="28" t="str">
        <x:v>Отдельно отмечены аллергены, афлатоксины, прогоркание, кофеин, селен и отличие сладкого миндаля от ядер косточковых.</x:v>
      </x:c>
    </x:row>
    <x:row r="15" ht="48" customHeight="1">
      <x:c r="A15" s="28" t="str">
        <x:v>11. Валидация</x:v>
      </x:c>
      <x:c r="B15" s="28" t="str">
        <x:v>Перед внедрением нужна пробная сборка, дегустация при рабочей температуре и повторная оценка после выдержки.</x:v>
      </x:c>
    </x:row>
    <x:row r="17">
      <x:c r="A17" s="36" t="str">
        <x:v>ОГРАНИЧЕНИЕ НАУЧНОГО СЛОЯ</x:v>
      </x:c>
      <x:c r="B17" s="36"/>
      <x:c r="C17" s="36"/>
      <x:c r="D17" s="36"/>
      <x:c r="E17" s="36"/>
      <x:c r="F17" s="36"/>
      <x:c r="G17" s="36"/>
      <x:c r="H17" s="36"/>
    </x:row>
    <x:row r="18" ht="116" customHeight="1">
      <x:c r="A18" s="43" t="str">
        <x:v>Энциклопедия не является количественным GC–MS-анализом конкретной партии. Аромат ореха, кофе, какао и чая зависит от сорта, происхождения, ферментации, обжарки, помола, хранения и способа заваривания. Поэтому поля с молекулами описывают характерные маркеры и вероятный механизм, но не гарантируют одинаковую концентрацию в каждой партии.
Летучие молекулы создают запах. Кофеин, теобромин, катехины, теафлавины и меланоидины преимущественно формируют горечь, терпкость, цвет, тело и физиологический эффект. Полифенольная сухость, жареный аромат и сладость являются разными сенсорными слоями и не должны смешиваться в объяснении.</x:v>
      </x:c>
      <x:c r="B18" s="43"/>
      <x:c r="C18" s="43"/>
      <x:c r="D18" s="43"/>
      <x:c r="E18" s="43"/>
      <x:c r="F18" s="43"/>
      <x:c r="G18" s="43"/>
      <x:c r="H18" s="43"/>
    </x:row>
    <x:row r="19" ht="116" customHeight="1">
      <x:c r="A19" s="43"/>
      <x:c r="B19" s="43"/>
      <x:c r="C19" s="43"/>
      <x:c r="D19" s="43"/>
      <x:c r="E19" s="43"/>
      <x:c r="F19" s="43"/>
      <x:c r="G19" s="43"/>
      <x:c r="H19" s="43"/>
    </x:row>
    <x:row r="20" ht="116" customHeight="1">
      <x:c r="A20" s="43"/>
      <x:c r="B20" s="43"/>
      <x:c r="C20" s="43"/>
      <x:c r="D20" s="43"/>
      <x:c r="E20" s="43"/>
      <x:c r="F20" s="43"/>
      <x:c r="G20" s="43"/>
      <x:c r="H20" s="43"/>
    </x:row>
    <x:row r="21" ht="116" customHeight="1">
      <x:c r="A21" s="43"/>
      <x:c r="B21" s="43"/>
      <x:c r="C21" s="43"/>
      <x:c r="D21" s="43"/>
      <x:c r="E21" s="43"/>
      <x:c r="F21" s="43"/>
      <x:c r="G21" s="43"/>
      <x:c r="H21" s="43"/>
    </x:row>
    <x:row r="22" ht="116" customHeight="1">
      <x:c r="A22" s="43"/>
      <x:c r="B22" s="43"/>
      <x:c r="C22" s="43"/>
      <x:c r="D22" s="43"/>
      <x:c r="E22" s="43"/>
      <x:c r="F22" s="43"/>
      <x:c r="G22" s="43"/>
      <x:c r="H22" s="43"/>
    </x:row>
    <x:row r="23" ht="116" customHeight="1">
      <x:c r="A23" s="43"/>
      <x:c r="B23" s="43"/>
      <x:c r="C23" s="43"/>
      <x:c r="D23" s="43"/>
      <x:c r="E23" s="43"/>
      <x:c r="F23" s="43"/>
      <x:c r="G23" s="43"/>
      <x:c r="H23" s="43"/>
    </x:row>
    <x:row r="24" ht="116" customHeight="1">
      <x:c r="A24" s="43"/>
      <x:c r="B24" s="43"/>
      <x:c r="C24" s="43"/>
      <x:c r="D24" s="43"/>
      <x:c r="E24" s="43"/>
      <x:c r="F24" s="43"/>
      <x:c r="G24" s="43"/>
      <x:c r="H24" s="43"/>
    </x:row>
    <x:row r="25" ht="116" customHeight="1">
      <x:c r="A25" s="43"/>
      <x:c r="B25" s="43"/>
      <x:c r="C25" s="43"/>
      <x:c r="D25" s="43"/>
      <x:c r="E25" s="43"/>
      <x:c r="F25" s="43"/>
      <x:c r="G25" s="43"/>
      <x:c r="H25" s="43"/>
    </x:row>
    <x:row r="26" ht="116" customHeight="1">
      <x:c r="A26" s="43"/>
      <x:c r="B26" s="43"/>
      <x:c r="C26" s="43"/>
      <x:c r="D26" s="43"/>
      <x:c r="E26" s="43"/>
      <x:c r="F26" s="43"/>
      <x:c r="G26" s="43"/>
      <x:c r="H26" s="43"/>
    </x:row>
    <x:row r="27" ht="116" customHeight="1">
      <x:c r="A27" s="43"/>
      <x:c r="B27" s="43"/>
      <x:c r="C27" s="43"/>
      <x:c r="D27" s="43"/>
      <x:c r="E27" s="43"/>
      <x:c r="F27" s="43"/>
      <x:c r="G27" s="43"/>
      <x:c r="H27" s="43"/>
    </x:row>
    <x:row r="29">
      <x:c r="A29" s="20" t="str">
        <x:v>Источник</x:v>
      </x:c>
      <x:c r="B29" s="20" t="str">
        <x:v>Файл</x:v>
      </x:c>
      <x:c r="C29" s="20" t="str">
        <x:v>Что использовано</x:v>
      </x:c>
    </x:row>
    <x:row r="30">
      <x:c r="A30" s="28" t="str">
        <x:v>Ники Сегнит</x:v>
      </x:c>
      <x:c r="B30" s="28" t="str">
        <x:v>Тезариус вкусов (Ники Сегнит)(1).pdf</x:v>
      </x:c>
      <x:c r="C30" s="28" t="str">
        <x:v>Развёрнутые статьи о шоколаде, кофе, арахисе, каштане, грецком орехе, фундуке и миндале</x:v>
      </x:c>
    </x:row>
    <x:row r="31">
      <x:c r="A31" s="28" t="str">
        <x:v>Coucquyt / Lahousse / Langenbick</x:v>
      </x:c>
      <x:c r="B31" s="28" t="str">
        <x:v>The Art &amp; Science of Foodpairing.pdf</x:v>
      </x:c>
      <x:c r="C31" s="28" t="str">
        <x:v>Профили шоколада, кофе, фундука, миндаля и чая; молекулы и pairing grids</x:v>
      </x:c>
    </x:row>
    <x:row r="32">
      <x:c r="A32" s="28" t="str">
        <x:v>Таблица сочетаний</x:v>
      </x:c>
      <x:c r="B32" s="28" t="str">
        <x:v>Таблица сочетания(1).pdf</x:v>
      </x:c>
      <x:c r="C32" s="28" t="str">
        <x:v>Компактные рекомендованные сочетания и обратные связи</x:v>
      </x:c>
    </x:row>
  </x:sheetData>
  <x:mergeCells>
    <x:mergeCell ref="A1:H2"/>
    <x:mergeCell ref="A17:H17"/>
    <x:mergeCell ref="A18:H27"/>
  </x:mergeCells>
  <x:pageMargins left="0.7" right="0.7" top="0.75" bottom="0.75" header="0.3" footer="0.3"/>
</x:worksheet>
</file>